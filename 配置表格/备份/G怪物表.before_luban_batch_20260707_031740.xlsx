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monster_config" sheetId="1" r:id="rId1"/>
    <sheet name="编号表" sheetId="2" r:id="rId2"/>
    <sheet name="名称表" sheetId="3" r:id="rId3"/>
    <sheet name="版本变更" sheetId="4" r:id="rId4"/>
    <sheet name="Sheet1" sheetId="5" r:id="rId5"/>
  </sheets>
  <definedNames>
    <definedName name="_xlnm._FilterDatabase" localSheetId="0" hidden="1">monster_config!$A$2:$BR$331</definedName>
    <definedName name="阵营">名称表!$H$2:$H$9</definedName>
    <definedName name="怪物类型">名称表!$A$3:$A$26</definedName>
    <definedName name="是否">名称表!$C$3:$C$4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<sst xmlns="http://schemas.openxmlformats.org/spreadsheetml/2006/main" count="9931" uniqueCount="1395">
  <si>
    <t>配置ID</t>
  </si>
  <si>
    <t>0怪物ID</t>
  </si>
  <si>
    <t>0名称</t>
  </si>
  <si>
    <t>0内部名</t>
  </si>
  <si>
    <t>0等级</t>
  </si>
  <si>
    <t>0怪物名字颜色</t>
  </si>
  <si>
    <t>区域编号</t>
  </si>
  <si>
    <t>地图内位置</t>
  </si>
  <si>
    <t>0归属场景</t>
  </si>
  <si>
    <t>0怪物身份</t>
  </si>
  <si>
    <t>0序号</t>
  </si>
  <si>
    <t>0序号（计算用）</t>
  </si>
  <si>
    <t>0血条的条数</t>
  </si>
  <si>
    <t>0是否显示百分比</t>
  </si>
  <si>
    <t>碰撞半径</t>
  </si>
  <si>
    <t>0复活时间（ms）</t>
  </si>
  <si>
    <t>0脱战回血</t>
  </si>
  <si>
    <t>0掉落方案1</t>
  </si>
  <si>
    <t>0掉落方案2</t>
  </si>
  <si>
    <t>0掉落方案3</t>
  </si>
  <si>
    <t>0技能ID</t>
  </si>
  <si>
    <t>0怪物职业</t>
  </si>
  <si>
    <t>0怪物模型</t>
  </si>
  <si>
    <t>0缩放比例</t>
  </si>
  <si>
    <t>阴影宽度</t>
  </si>
  <si>
    <t>阴影高度</t>
  </si>
  <si>
    <t>阴影偏移量X</t>
  </si>
  <si>
    <t>阴影偏移量Y</t>
  </si>
  <si>
    <t>0近战/远程</t>
  </si>
  <si>
    <t>0特效模型</t>
  </si>
  <si>
    <t>0绑定特效</t>
  </si>
  <si>
    <t>0绑定特效缩放</t>
  </si>
  <si>
    <t>掉落经验</t>
  </si>
  <si>
    <t>属性名1</t>
  </si>
  <si>
    <t>属性值1</t>
  </si>
  <si>
    <t>属性名2</t>
  </si>
  <si>
    <t>属性值2</t>
  </si>
  <si>
    <t>属性名3</t>
  </si>
  <si>
    <t>属性值3</t>
  </si>
  <si>
    <t>属性名4</t>
  </si>
  <si>
    <t>属性值4</t>
  </si>
  <si>
    <t>属性名5</t>
  </si>
  <si>
    <t>属性值5</t>
  </si>
  <si>
    <t>属性名6</t>
  </si>
  <si>
    <t>属性值6</t>
  </si>
  <si>
    <t>属性名7</t>
  </si>
  <si>
    <t>属性值7</t>
  </si>
  <si>
    <t>属性名8</t>
  </si>
  <si>
    <t>属性值8</t>
  </si>
  <si>
    <t>属性名9</t>
  </si>
  <si>
    <t>属性值9</t>
  </si>
  <si>
    <t>属性名10</t>
  </si>
  <si>
    <t>属性值10</t>
  </si>
  <si>
    <t>属性名11</t>
  </si>
  <si>
    <t>属性值11</t>
  </si>
  <si>
    <t>属性名12</t>
  </si>
  <si>
    <t>属性值12</t>
  </si>
  <si>
    <t>属性名13</t>
  </si>
  <si>
    <t>属性值13</t>
  </si>
  <si>
    <t>属性名14</t>
  </si>
  <si>
    <t>属性值14</t>
  </si>
  <si>
    <t>血条偏移量</t>
  </si>
  <si>
    <t>血条名字偏移量</t>
  </si>
  <si>
    <t>氛围音效</t>
  </si>
  <si>
    <t>氛围音效概率</t>
  </si>
  <si>
    <t>受击音效</t>
  </si>
  <si>
    <t>受击音效概率</t>
  </si>
  <si>
    <t>大地图怪物TIPS</t>
  </si>
  <si>
    <t>ConfigID</t>
  </si>
  <si>
    <t>MonsterID</t>
  </si>
  <si>
    <t>MonsterName</t>
  </si>
  <si>
    <t>Level</t>
  </si>
  <si>
    <t>Color</t>
  </si>
  <si>
    <t>SceneId</t>
  </si>
  <si>
    <t>Dignity</t>
  </si>
  <si>
    <t>HPColorNumber</t>
  </si>
  <si>
    <t>ShowHPPercent</t>
  </si>
  <si>
    <t>Collision</t>
  </si>
  <si>
    <t>RefreshTime</t>
  </si>
  <si>
    <t>ReturnHP</t>
  </si>
  <si>
    <t>DropMethod1</t>
  </si>
  <si>
    <t>DropMethod2</t>
  </si>
  <si>
    <t>DropMethod3</t>
  </si>
  <si>
    <t>SkillID1</t>
  </si>
  <si>
    <t>SkillID2</t>
  </si>
  <si>
    <t>SkillID3</t>
  </si>
  <si>
    <t>Profession</t>
  </si>
  <si>
    <t>ModelID</t>
  </si>
  <si>
    <t>UnitScale</t>
  </si>
  <si>
    <t>ShadowW</t>
  </si>
  <si>
    <t>ShadowH</t>
  </si>
  <si>
    <t>ShadowX</t>
  </si>
  <si>
    <t>ShadowY</t>
  </si>
  <si>
    <t>AttackType</t>
  </si>
  <si>
    <t>AttackEffect</t>
  </si>
  <si>
    <t>Effect</t>
  </si>
  <si>
    <t>EffectScale</t>
  </si>
  <si>
    <t>ExpGift</t>
  </si>
  <si>
    <t>Prop1Name</t>
  </si>
  <si>
    <t>Prop1Value</t>
  </si>
  <si>
    <t>Prop2Name</t>
  </si>
  <si>
    <t>Prop2Value</t>
  </si>
  <si>
    <t>Prop3Name</t>
  </si>
  <si>
    <t>Prop3Value</t>
  </si>
  <si>
    <t>Prop4Name</t>
  </si>
  <si>
    <t>Prop4Value</t>
  </si>
  <si>
    <t>Prop5Name</t>
  </si>
  <si>
    <t>Prop5Value</t>
  </si>
  <si>
    <t>Prop6Name</t>
  </si>
  <si>
    <t>Prop6Value</t>
  </si>
  <si>
    <t>Prop7Name</t>
  </si>
  <si>
    <t>Prop7Value</t>
  </si>
  <si>
    <t>Prop8Name</t>
  </si>
  <si>
    <t>Prop8Value</t>
  </si>
  <si>
    <t>Prop9Name</t>
  </si>
  <si>
    <t>Prop9Value</t>
  </si>
  <si>
    <t>Prop10Name</t>
  </si>
  <si>
    <t>Prop10Value</t>
  </si>
  <si>
    <t>Prop11Name</t>
  </si>
  <si>
    <t>Prop11Value</t>
  </si>
  <si>
    <t>Prop12Name</t>
  </si>
  <si>
    <t>Prop12Value</t>
  </si>
  <si>
    <t>Prop13Name</t>
  </si>
  <si>
    <t>Prop13Value</t>
  </si>
  <si>
    <t>Prop14Name</t>
  </si>
  <si>
    <t>Prop14Value</t>
  </si>
  <si>
    <t>lifeBarPd</t>
  </si>
  <si>
    <t>lifeBarNamePd</t>
  </si>
  <si>
    <t>AmbientSound</t>
  </si>
  <si>
    <t>AmbientRate</t>
  </si>
  <si>
    <t>HitSound</t>
  </si>
  <si>
    <t>HitRate</t>
  </si>
  <si>
    <t>desc</t>
  </si>
  <si>
    <t>a001</t>
  </si>
  <si>
    <t>鸡</t>
  </si>
  <si>
    <t>比奇城内</t>
  </si>
  <si>
    <t>比奇城</t>
  </si>
  <si>
    <t>普通</t>
  </si>
  <si>
    <t>否</t>
  </si>
  <si>
    <t>战士</t>
  </si>
  <si>
    <t>ani_monster_ji_01</t>
  </si>
  <si>
    <t>近战</t>
  </si>
  <si>
    <t>生命值</t>
  </si>
  <si>
    <t>物防下限</t>
  </si>
  <si>
    <t>物防上限</t>
  </si>
  <si>
    <t>魔防下限</t>
  </si>
  <si>
    <t>魔防上限</t>
  </si>
  <si>
    <t>攻击下限</t>
  </si>
  <si>
    <t>攻击上限</t>
  </si>
  <si>
    <t>魔法下限</t>
  </si>
  <si>
    <t>魔法上限</t>
  </si>
  <si>
    <t>道术下限</t>
  </si>
  <si>
    <t>道术上限</t>
  </si>
  <si>
    <t>移动速度</t>
  </si>
  <si>
    <t>攻击范围</t>
  </si>
  <si>
    <t>警戒范围</t>
  </si>
  <si>
    <t>怪物说明功能测试：
怪物身份颜色：|cffFF0000BOSS|r，|cff00FF00精英怪|r，普通怪
概率掉落以下物品：
|cffFFA500美刀|r、|cffd9d919one刀乐|r、|cffA020F0two刀乐</t>
  </si>
  <si>
    <t>a002</t>
  </si>
  <si>
    <t>鹿</t>
  </si>
  <si>
    <t>比奇城-右下</t>
  </si>
  <si>
    <t>ani_monster_lu_01</t>
  </si>
  <si>
    <t>a003</t>
  </si>
  <si>
    <t>羊</t>
  </si>
  <si>
    <t>ani_monster_yang_01</t>
  </si>
  <si>
    <t>a004</t>
  </si>
  <si>
    <t>稻草人</t>
  </si>
  <si>
    <t>ani_monster_caoren_01</t>
  </si>
  <si>
    <t>a005</t>
  </si>
  <si>
    <t>蛤蟆</t>
  </si>
  <si>
    <t>ani_monster_hama_01</t>
  </si>
  <si>
    <t>a007</t>
  </si>
  <si>
    <t>多钩猫</t>
  </si>
  <si>
    <t>比奇城-左下</t>
  </si>
  <si>
    <t>ani_monster_duogoumao_01</t>
  </si>
  <si>
    <t>a008</t>
  </si>
  <si>
    <t>钉耙猫</t>
  </si>
  <si>
    <t>ani_monster_dingpamao_01</t>
  </si>
  <si>
    <t>a009</t>
  </si>
  <si>
    <t>半兽人</t>
  </si>
  <si>
    <t>ani_monster_banshouren_01</t>
  </si>
  <si>
    <t>a010</t>
  </si>
  <si>
    <t>毒蜘蛛</t>
  </si>
  <si>
    <t>ani_monster_duzhizhu_01</t>
  </si>
  <si>
    <t>a012</t>
  </si>
  <si>
    <t>森林雪人</t>
  </si>
  <si>
    <t>比奇城-右上</t>
  </si>
  <si>
    <t>ani_monster_senlinxueren_01</t>
  </si>
  <si>
    <t>a013</t>
  </si>
  <si>
    <t>食人花</t>
  </si>
  <si>
    <t>ani_monster_shirenhua_01</t>
  </si>
  <si>
    <t>a014</t>
  </si>
  <si>
    <t>红蛇</t>
  </si>
  <si>
    <t>ani_monster_hongshe_01</t>
  </si>
  <si>
    <t>a015</t>
  </si>
  <si>
    <t>虎蛇</t>
  </si>
  <si>
    <t>ani_monster_hushe_01</t>
  </si>
  <si>
    <t>a016</t>
  </si>
  <si>
    <t>狼</t>
  </si>
  <si>
    <t>ani_monster_lang_01</t>
  </si>
  <si>
    <t>a018</t>
  </si>
  <si>
    <t>虎卫</t>
  </si>
  <si>
    <t>比奇城-左上</t>
  </si>
  <si>
    <t>ani_monster_huwei_01</t>
  </si>
  <si>
    <t>a019</t>
  </si>
  <si>
    <t>鹰卫</t>
  </si>
  <si>
    <t>ani_monster_yingwei_01</t>
  </si>
  <si>
    <t>远程</t>
  </si>
  <si>
    <t>ani_monster_yingwei_01_01</t>
  </si>
  <si>
    <t>a020</t>
  </si>
  <si>
    <t>多角虫</t>
  </si>
  <si>
    <t>ani_monster_duojiaochong_01</t>
  </si>
  <si>
    <t>a021</t>
  </si>
  <si>
    <t>盔甲虫</t>
  </si>
  <si>
    <t>ani_moster_kuijiachong_01</t>
  </si>
  <si>
    <t>a022</t>
  </si>
  <si>
    <t>沙虫</t>
  </si>
  <si>
    <t>ani_monster_shachong_01</t>
  </si>
  <si>
    <t>a023</t>
  </si>
  <si>
    <t>蝎子</t>
  </si>
  <si>
    <t>ani_monster_xiezi_01</t>
  </si>
  <si>
    <t>a006</t>
  </si>
  <si>
    <t>精英</t>
  </si>
  <si>
    <t>ain_effect_jinengtexiao_52</t>
  </si>
  <si>
    <t>a011</t>
  </si>
  <si>
    <t>多钩猫1</t>
  </si>
  <si>
    <t>a017</t>
  </si>
  <si>
    <t>森林雪人10</t>
  </si>
  <si>
    <t>a024</t>
  </si>
  <si>
    <t>威思而小虫</t>
  </si>
  <si>
    <t>ani_monster_xiaochong_01</t>
  </si>
  <si>
    <t>a025</t>
  </si>
  <si>
    <t>盔甲虫10</t>
  </si>
  <si>
    <t>b001</t>
  </si>
  <si>
    <t>BOSS</t>
  </si>
  <si>
    <t>ain_effect_jinengtexiao_58</t>
  </si>
  <si>
    <t>a026</t>
  </si>
  <si>
    <t>山洞蝙蝠</t>
  </si>
  <si>
    <t>古墓一层</t>
  </si>
  <si>
    <t>兽人古墓一层</t>
  </si>
  <si>
    <t>ani_monster_shandongbianfu_01</t>
  </si>
  <si>
    <t>a027</t>
  </si>
  <si>
    <t>洞蛆</t>
  </si>
  <si>
    <t>ani_monster_dongqu_01</t>
  </si>
  <si>
    <t>a028</t>
  </si>
  <si>
    <t>骷髅</t>
  </si>
  <si>
    <t>ani_monster_kulou_01</t>
  </si>
  <si>
    <t>a029</t>
  </si>
  <si>
    <t>骷髅战士</t>
  </si>
  <si>
    <t>ani_monster_kulouzhanshi_01</t>
  </si>
  <si>
    <t>a030</t>
  </si>
  <si>
    <t>骷髅战将</t>
  </si>
  <si>
    <t>ani_monster_kulouzhanjiang_01</t>
  </si>
  <si>
    <t>a031</t>
  </si>
  <si>
    <t>骷髅战士10</t>
  </si>
  <si>
    <t>b002</t>
  </si>
  <si>
    <t>a032</t>
  </si>
  <si>
    <t>山洞蝙蝠0</t>
  </si>
  <si>
    <t>古墓二层</t>
  </si>
  <si>
    <t>兽人古墓二层</t>
  </si>
  <si>
    <t>a033</t>
  </si>
  <si>
    <t>骷髅0</t>
  </si>
  <si>
    <t>a034</t>
  </si>
  <si>
    <t>骷髅战士0</t>
  </si>
  <si>
    <t>a035</t>
  </si>
  <si>
    <t>骷髅战将0</t>
  </si>
  <si>
    <t>a036</t>
  </si>
  <si>
    <t>掷斧骷髅</t>
  </si>
  <si>
    <t>ani_monster_zhifukulou_01</t>
  </si>
  <si>
    <t>ani_monster_zhifukulou_01_01</t>
  </si>
  <si>
    <t>a037</t>
  </si>
  <si>
    <t>骷髅精灵</t>
  </si>
  <si>
    <t>ani_monster_kuloujingling_01</t>
  </si>
  <si>
    <t>a038</t>
  </si>
  <si>
    <t>掷斧骷髅10</t>
  </si>
  <si>
    <t>a039</t>
  </si>
  <si>
    <t>骷髅精灵10</t>
  </si>
  <si>
    <t>b003</t>
  </si>
  <si>
    <t>boss</t>
  </si>
  <si>
    <t>aa08</t>
  </si>
  <si>
    <t>额外新增怪1</t>
  </si>
  <si>
    <t>国王陵墓</t>
  </si>
  <si>
    <t>aa09</t>
  </si>
  <si>
    <t>额外新增怪2</t>
  </si>
  <si>
    <t>aa10</t>
  </si>
  <si>
    <t>额外新增怪3</t>
  </si>
  <si>
    <t>a040</t>
  </si>
  <si>
    <t>骷髅精灵20</t>
  </si>
  <si>
    <t>b004</t>
  </si>
  <si>
    <t>b005</t>
  </si>
  <si>
    <t>a041</t>
  </si>
  <si>
    <t>僵尸</t>
  </si>
  <si>
    <t>僵尸1</t>
  </si>
  <si>
    <t>废矿区东部</t>
  </si>
  <si>
    <t>ani_monster_jiangshi1_01</t>
  </si>
  <si>
    <t>a042</t>
  </si>
  <si>
    <t>僵尸2</t>
  </si>
  <si>
    <t>ani_monster_jiangshi2_01</t>
  </si>
  <si>
    <t>a043</t>
  </si>
  <si>
    <t>僵尸3</t>
  </si>
  <si>
    <t>ani_monster_jiangshi3_01</t>
  </si>
  <si>
    <t>a044</t>
  </si>
  <si>
    <t>僵尸4</t>
  </si>
  <si>
    <t>ani_monster_jiangshi4_01</t>
  </si>
  <si>
    <t>a045</t>
  </si>
  <si>
    <t>僵尸5</t>
  </si>
  <si>
    <t>ani_monster_jiangshi5_01</t>
  </si>
  <si>
    <t>a046</t>
  </si>
  <si>
    <t>洞蛆0</t>
  </si>
  <si>
    <t>a047</t>
  </si>
  <si>
    <t>电僵尸</t>
  </si>
  <si>
    <t>ani_monster_jiangshi2_01_01</t>
  </si>
  <si>
    <t>a048</t>
  </si>
  <si>
    <t>电僵尸10</t>
  </si>
  <si>
    <t>b006</t>
  </si>
  <si>
    <t>b007</t>
  </si>
  <si>
    <t>b008</t>
  </si>
  <si>
    <t>aa11</t>
  </si>
  <si>
    <t>电僵尸A</t>
  </si>
  <si>
    <t>尸王殿</t>
  </si>
  <si>
    <t>aa12</t>
  </si>
  <si>
    <t>电僵尸B</t>
  </si>
  <si>
    <t>aa13</t>
  </si>
  <si>
    <t>电僵尸C</t>
  </si>
  <si>
    <t>a049</t>
  </si>
  <si>
    <t>尸王</t>
  </si>
  <si>
    <t>ani_monster_shiwang_01</t>
  </si>
  <si>
    <t>b009</t>
  </si>
  <si>
    <t>b010</t>
  </si>
  <si>
    <t>b011</t>
  </si>
  <si>
    <t>a050</t>
  </si>
  <si>
    <t>黑色恶蛆</t>
  </si>
  <si>
    <t>地牢</t>
  </si>
  <si>
    <t>ani_monster_equ_01</t>
  </si>
  <si>
    <t>a051</t>
  </si>
  <si>
    <t>跳跳蜂</t>
  </si>
  <si>
    <t>ani_monster_tiaofeng_01</t>
  </si>
  <si>
    <t>a052</t>
  </si>
  <si>
    <t>蜈蚣</t>
  </si>
  <si>
    <t>ani_monster_wugong_01</t>
  </si>
  <si>
    <t>a053</t>
  </si>
  <si>
    <t>钳虫</t>
  </si>
  <si>
    <t>ani_monster_qianchong_01</t>
  </si>
  <si>
    <t>a054</t>
  </si>
  <si>
    <t>黑色恶蛆10</t>
  </si>
  <si>
    <t>b012</t>
  </si>
  <si>
    <t>b013</t>
  </si>
  <si>
    <t>a055</t>
  </si>
  <si>
    <t>黑色恶蛆0</t>
  </si>
  <si>
    <t>黑暗地带</t>
  </si>
  <si>
    <t>a056</t>
  </si>
  <si>
    <t>跳跳蜂0</t>
  </si>
  <si>
    <t>a057</t>
  </si>
  <si>
    <t>蜈蚣0</t>
  </si>
  <si>
    <t>a058</t>
  </si>
  <si>
    <t>钳虫0</t>
  </si>
  <si>
    <t>a059</t>
  </si>
  <si>
    <t>巨型蠕虫</t>
  </si>
  <si>
    <t>ani_monster_juxingruchong_01</t>
  </si>
  <si>
    <t>a060</t>
  </si>
  <si>
    <t>巨型蠕虫10</t>
  </si>
  <si>
    <t>b014</t>
  </si>
  <si>
    <t>b015</t>
  </si>
  <si>
    <t>a061</t>
  </si>
  <si>
    <t>黑色恶蛆1</t>
  </si>
  <si>
    <t>死亡棺材</t>
  </si>
  <si>
    <t>a062</t>
  </si>
  <si>
    <t>跳跳蜂1</t>
  </si>
  <si>
    <t>a063</t>
  </si>
  <si>
    <t>蜈蚣1</t>
  </si>
  <si>
    <t>a064</t>
  </si>
  <si>
    <t>钳虫1</t>
  </si>
  <si>
    <t>a065</t>
  </si>
  <si>
    <t>巨型蠕虫0</t>
  </si>
  <si>
    <t>a066</t>
  </si>
  <si>
    <t>钳虫10</t>
  </si>
  <si>
    <t>a067</t>
  </si>
  <si>
    <t>巨型蠕虫20</t>
  </si>
  <si>
    <t>a068</t>
  </si>
  <si>
    <t>触龙神</t>
  </si>
  <si>
    <t>ani_monster_chulongshen_01</t>
  </si>
  <si>
    <t>a069</t>
  </si>
  <si>
    <t>白野猪</t>
  </si>
  <si>
    <t>白野猪0</t>
  </si>
  <si>
    <t>未知暗殿</t>
  </si>
  <si>
    <t>ani_monster_baiyezhu_01</t>
  </si>
  <si>
    <t>a070</t>
  </si>
  <si>
    <t>邪恶钳虫</t>
  </si>
  <si>
    <t>ani_monster_xieeqianchong_01</t>
  </si>
  <si>
    <t>a071</t>
  </si>
  <si>
    <t>沃玛卫士</t>
  </si>
  <si>
    <t>沃玛卫士0</t>
  </si>
  <si>
    <t>ani_monster_womaweishi_01</t>
  </si>
  <si>
    <t>a072</t>
  </si>
  <si>
    <t>邪恶毒蛇</t>
  </si>
  <si>
    <t>ani_monster_xieedushe_01</t>
  </si>
  <si>
    <t>a073</t>
  </si>
  <si>
    <t>沃玛教主</t>
  </si>
  <si>
    <t>沃玛教主0</t>
  </si>
  <si>
    <t>ani_monster_womajiaozhu_01</t>
  </si>
  <si>
    <t>a074</t>
  </si>
  <si>
    <t>骷髅精灵0</t>
  </si>
  <si>
    <t>a075</t>
  </si>
  <si>
    <t>巨型多角虫</t>
  </si>
  <si>
    <t>ani_monster_juduojiaochong_01</t>
  </si>
  <si>
    <t>a076</t>
  </si>
  <si>
    <t>尸王0</t>
  </si>
  <si>
    <t>a077</t>
  </si>
  <si>
    <t>半兽勇士</t>
  </si>
  <si>
    <t>ani_monster_banshouyongshi_01</t>
  </si>
  <si>
    <t>a078</t>
  </si>
  <si>
    <t>鹿0</t>
  </si>
  <si>
    <t>a079</t>
  </si>
  <si>
    <t>稻草人0</t>
  </si>
  <si>
    <t>a080</t>
  </si>
  <si>
    <t>粪虫</t>
  </si>
  <si>
    <t>沃玛寺庙一层</t>
  </si>
  <si>
    <t>ani_monster_fenchong_01</t>
  </si>
  <si>
    <t>a081</t>
  </si>
  <si>
    <t>a082</t>
  </si>
  <si>
    <t>沃玛勇士</t>
  </si>
  <si>
    <t>ani_monster_womayongshi_01</t>
  </si>
  <si>
    <t>a083</t>
  </si>
  <si>
    <t>沃玛战将</t>
  </si>
  <si>
    <t>ani_monster_womazhanjiang_01</t>
  </si>
  <si>
    <t>a084</t>
  </si>
  <si>
    <t>火焰沃玛</t>
  </si>
  <si>
    <t>ani_monster_huoyanwoma_01</t>
  </si>
  <si>
    <t>ani_monster_huoyanwoma_01_01</t>
  </si>
  <si>
    <t>a085</t>
  </si>
  <si>
    <t>沃玛卫士10</t>
  </si>
  <si>
    <t>b016</t>
  </si>
  <si>
    <t>a086</t>
  </si>
  <si>
    <t>沃玛卫士1</t>
  </si>
  <si>
    <t>沃玛寺庙二层</t>
  </si>
  <si>
    <t>a087</t>
  </si>
  <si>
    <t>沃玛勇士0</t>
  </si>
  <si>
    <t>a088</t>
  </si>
  <si>
    <t>沃玛战将0</t>
  </si>
  <si>
    <t>a089</t>
  </si>
  <si>
    <t>火焰沃玛0</t>
  </si>
  <si>
    <t>a090</t>
  </si>
  <si>
    <t>暗黑战士</t>
  </si>
  <si>
    <t>ani_monster_anheizhanshi_01</t>
  </si>
  <si>
    <t>a091</t>
  </si>
  <si>
    <t>火焰沃玛10</t>
  </si>
  <si>
    <t>b017</t>
  </si>
  <si>
    <t>a092</t>
  </si>
  <si>
    <t>沃玛卫士2</t>
  </si>
  <si>
    <t>沃玛教主大殿</t>
  </si>
  <si>
    <t>a093</t>
  </si>
  <si>
    <t>沃玛勇士1</t>
  </si>
  <si>
    <t>a094</t>
  </si>
  <si>
    <t>沃玛战将1</t>
  </si>
  <si>
    <t>a095</t>
  </si>
  <si>
    <t>火焰沃玛1</t>
  </si>
  <si>
    <t>a096</t>
  </si>
  <si>
    <t>暗黑战士0</t>
  </si>
  <si>
    <t>a097</t>
  </si>
  <si>
    <t>火焰沃玛20</t>
  </si>
  <si>
    <t>a098</t>
  </si>
  <si>
    <t>a099</t>
  </si>
  <si>
    <t>黑色恶蛆2</t>
  </si>
  <si>
    <t>石墓一层</t>
  </si>
  <si>
    <t>a100</t>
  </si>
  <si>
    <t>楔蛾</t>
  </si>
  <si>
    <t>ani_monster_qie_01</t>
  </si>
  <si>
    <t>a101</t>
  </si>
  <si>
    <t>黑野猪</t>
  </si>
  <si>
    <t>ani_monster_heiyezhu_01</t>
  </si>
  <si>
    <t>a102</t>
  </si>
  <si>
    <t>红野猪</t>
  </si>
  <si>
    <t>ani_monster_hongyezhu_01</t>
  </si>
  <si>
    <t>a103</t>
  </si>
  <si>
    <t>红野猪10</t>
  </si>
  <si>
    <t>b018</t>
  </si>
  <si>
    <t>a104</t>
  </si>
  <si>
    <t>黑色恶蛆3</t>
  </si>
  <si>
    <t>石墓阵入口</t>
  </si>
  <si>
    <t>a105</t>
  </si>
  <si>
    <t>楔蛾0</t>
  </si>
  <si>
    <t>a106</t>
  </si>
  <si>
    <t>黑野猪0</t>
  </si>
  <si>
    <t>a107</t>
  </si>
  <si>
    <t>红野猪0</t>
  </si>
  <si>
    <t>a108</t>
  </si>
  <si>
    <t>蝎蛇</t>
  </si>
  <si>
    <t>ani_monster_xieshe_01</t>
  </si>
  <si>
    <t>a109</t>
  </si>
  <si>
    <t>角蝇</t>
  </si>
  <si>
    <t>ani_monster_jiaoying_01</t>
  </si>
  <si>
    <t>a110</t>
  </si>
  <si>
    <t>红野猪20</t>
  </si>
  <si>
    <t>a111</t>
  </si>
  <si>
    <t>蝎蛇10</t>
  </si>
  <si>
    <t>b019</t>
  </si>
  <si>
    <t>a112</t>
  </si>
  <si>
    <t>黑色恶蛆4</t>
  </si>
  <si>
    <t>石墓阵出口</t>
  </si>
  <si>
    <t>a113</t>
  </si>
  <si>
    <t>楔蛾1</t>
  </si>
  <si>
    <t>a114</t>
  </si>
  <si>
    <t>黑野猪1</t>
  </si>
  <si>
    <t>a115</t>
  </si>
  <si>
    <t>红野猪1</t>
  </si>
  <si>
    <t>a116</t>
  </si>
  <si>
    <t>蝎蛇0</t>
  </si>
  <si>
    <t>a117</t>
  </si>
  <si>
    <t>角蝇0</t>
  </si>
  <si>
    <t>a118</t>
  </si>
  <si>
    <t>蝙蝠</t>
  </si>
  <si>
    <t>ani_monster_bianfu_01</t>
  </si>
  <si>
    <t>a119</t>
  </si>
  <si>
    <t>红野猪30</t>
  </si>
  <si>
    <t>a120</t>
  </si>
  <si>
    <t>蝎蛇20</t>
  </si>
  <si>
    <t>b020</t>
  </si>
  <si>
    <t>a121</t>
  </si>
  <si>
    <t>黑色恶蛆5</t>
  </si>
  <si>
    <t>石墓顶层</t>
  </si>
  <si>
    <t>a122</t>
  </si>
  <si>
    <t>a123</t>
  </si>
  <si>
    <t>角蝇1</t>
  </si>
  <si>
    <t>a124</t>
  </si>
  <si>
    <t>蝙蝠0</t>
  </si>
  <si>
    <t>a125</t>
  </si>
  <si>
    <t>白野猪10</t>
  </si>
  <si>
    <t>a126</t>
  </si>
  <si>
    <t>石墓尸王</t>
  </si>
  <si>
    <t>ani_monster_shimushiwang_01</t>
  </si>
  <si>
    <t>a127</t>
  </si>
  <si>
    <t>蜜蜂</t>
  </si>
  <si>
    <t>桃源之门</t>
  </si>
  <si>
    <t>ani_monster_mifeng_01</t>
  </si>
  <si>
    <t>a128</t>
  </si>
  <si>
    <t>神兽</t>
  </si>
  <si>
    <t>ani_monster_shenshou_01</t>
  </si>
  <si>
    <t>a129</t>
  </si>
  <si>
    <t>变异骷髅</t>
  </si>
  <si>
    <t>ani_monster_bianyikulou_01</t>
  </si>
  <si>
    <t>a130</t>
  </si>
  <si>
    <t>变异骷髅10</t>
  </si>
  <si>
    <t>aa01</t>
  </si>
  <si>
    <t>暗之双头血魔</t>
  </si>
  <si>
    <t>自己额外加的</t>
  </si>
  <si>
    <t>困惑殿堂</t>
  </si>
  <si>
    <t>ani_monster_shuangtouxuemo_an_01</t>
  </si>
  <si>
    <t>aa02</t>
  </si>
  <si>
    <t>aa03</t>
  </si>
  <si>
    <t>aa04</t>
  </si>
  <si>
    <t>a131</t>
  </si>
  <si>
    <t>a132</t>
  </si>
  <si>
    <t>大老鼠</t>
  </si>
  <si>
    <t>祖玛寺庙一层</t>
  </si>
  <si>
    <t>ani_monster_dalaoshu_01</t>
  </si>
  <si>
    <t>a133</t>
  </si>
  <si>
    <t>楔蛾2</t>
  </si>
  <si>
    <t>a134</t>
  </si>
  <si>
    <t>祖玛卫士</t>
  </si>
  <si>
    <t>ani_monster_zumaweishi_01</t>
  </si>
  <si>
    <t>a135</t>
  </si>
  <si>
    <t>祖玛弓箭手</t>
  </si>
  <si>
    <t>ani_monster_zumagongjian_01</t>
  </si>
  <si>
    <t>ani_monster_zumagongjian_01_01</t>
  </si>
  <si>
    <t>a136</t>
  </si>
  <si>
    <t>祖玛卫士10</t>
  </si>
  <si>
    <t>b021</t>
  </si>
  <si>
    <t>a137</t>
  </si>
  <si>
    <t>楔蛾3</t>
  </si>
  <si>
    <t>祖玛寺庙二层</t>
  </si>
  <si>
    <t>a138</t>
  </si>
  <si>
    <t>祖玛卫士1</t>
  </si>
  <si>
    <t>a139</t>
  </si>
  <si>
    <t>祖玛弓箭手1</t>
  </si>
  <si>
    <t>a140</t>
  </si>
  <si>
    <t>祖玛雕像</t>
  </si>
  <si>
    <t>ani_monster_zumadiaoxiang_01</t>
  </si>
  <si>
    <t>a141</t>
  </si>
  <si>
    <t>祖玛卫士20</t>
  </si>
  <si>
    <t>b022</t>
  </si>
  <si>
    <t>a142</t>
  </si>
  <si>
    <t>大老鼠0</t>
  </si>
  <si>
    <t>祖玛阁</t>
  </si>
  <si>
    <t>a143</t>
  </si>
  <si>
    <t>楔蛾4</t>
  </si>
  <si>
    <t>a144</t>
  </si>
  <si>
    <t>祖玛卫士2</t>
  </si>
  <si>
    <t>a145</t>
  </si>
  <si>
    <t>祖玛弓箭手2</t>
  </si>
  <si>
    <t>a146</t>
  </si>
  <si>
    <t>祖玛雕像0</t>
  </si>
  <si>
    <t>a147</t>
  </si>
  <si>
    <t>祖玛卫士30</t>
  </si>
  <si>
    <t>b023</t>
  </si>
  <si>
    <t>a148</t>
  </si>
  <si>
    <t>楔蛾5</t>
  </si>
  <si>
    <t>祖玛教主之家</t>
  </si>
  <si>
    <t>a149</t>
  </si>
  <si>
    <t>角蝇2</t>
  </si>
  <si>
    <t>a150</t>
  </si>
  <si>
    <t>祖玛弓箭手3</t>
  </si>
  <si>
    <t>a151</t>
  </si>
  <si>
    <t>蝙蝠1</t>
  </si>
  <si>
    <t>a152</t>
  </si>
  <si>
    <t>祖玛弓箭手10</t>
  </si>
  <si>
    <t>a153</t>
  </si>
  <si>
    <t>祖玛教主</t>
  </si>
  <si>
    <t>ani_monster_zumajiaozhu_01</t>
  </si>
  <si>
    <t>a154</t>
  </si>
  <si>
    <t>洞蛆1</t>
  </si>
  <si>
    <t>封魔矿区</t>
  </si>
  <si>
    <t>a155</t>
  </si>
  <si>
    <t>a156</t>
  </si>
  <si>
    <t>a157</t>
  </si>
  <si>
    <t>a158</t>
  </si>
  <si>
    <t>a159</t>
  </si>
  <si>
    <t>a160</t>
  </si>
  <si>
    <t>尸王10</t>
  </si>
  <si>
    <t>b024</t>
  </si>
  <si>
    <t>a161</t>
  </si>
  <si>
    <t>楔蛾6</t>
  </si>
  <si>
    <t>光芒回廊</t>
  </si>
  <si>
    <t>a162</t>
  </si>
  <si>
    <t>红野猪2</t>
  </si>
  <si>
    <t>a163</t>
  </si>
  <si>
    <t>黑野猪2</t>
  </si>
  <si>
    <t>a164</t>
  </si>
  <si>
    <t>白野猪1</t>
  </si>
  <si>
    <t>a165</t>
  </si>
  <si>
    <t>蝎蛇1</t>
  </si>
  <si>
    <t>a166</t>
  </si>
  <si>
    <t>祖玛弓箭手4</t>
  </si>
  <si>
    <t>a167</t>
  </si>
  <si>
    <t>祖玛卫士3</t>
  </si>
  <si>
    <t>a168</t>
  </si>
  <si>
    <t>祖玛雕像2</t>
  </si>
  <si>
    <t>a169</t>
  </si>
  <si>
    <t>白野猪20</t>
  </si>
  <si>
    <t>a170</t>
  </si>
  <si>
    <t>祖玛弓箭手20</t>
  </si>
  <si>
    <t>b025</t>
  </si>
  <si>
    <t>a171</t>
  </si>
  <si>
    <t>红野猪3</t>
  </si>
  <si>
    <t>封魔殿</t>
  </si>
  <si>
    <t>a172</t>
  </si>
  <si>
    <t>黑野猪3</t>
  </si>
  <si>
    <t>a173</t>
  </si>
  <si>
    <t>白野猪2</t>
  </si>
  <si>
    <t>a174</t>
  </si>
  <si>
    <t>蝎蛇2</t>
  </si>
  <si>
    <t>a175</t>
  </si>
  <si>
    <t>祖玛弓箭手5</t>
  </si>
  <si>
    <t>a176</t>
  </si>
  <si>
    <t>祖玛卫士4</t>
  </si>
  <si>
    <t>a177</t>
  </si>
  <si>
    <t>祖玛雕像3</t>
  </si>
  <si>
    <t>aa05</t>
  </si>
  <si>
    <t>虹魔猪卫</t>
  </si>
  <si>
    <t>ani_monster_hongmozhuwei_01</t>
  </si>
  <si>
    <t>aa06</t>
  </si>
  <si>
    <t>虹魔蝎卫</t>
  </si>
  <si>
    <t>ani_monster_hongmoxiewei_01</t>
  </si>
  <si>
    <t>aa07</t>
  </si>
  <si>
    <t>虹魔教主</t>
  </si>
  <si>
    <t>ani_monster_hongmojiaozhu_01</t>
  </si>
  <si>
    <t>a178</t>
  </si>
  <si>
    <t>a179</t>
  </si>
  <si>
    <t>a180</t>
  </si>
  <si>
    <t>a181</t>
  </si>
  <si>
    <t>恶灵僵尸</t>
  </si>
  <si>
    <t>尸魔洞一层</t>
  </si>
  <si>
    <t>ani_monster_elingjiangshi_01</t>
  </si>
  <si>
    <t>a182</t>
  </si>
  <si>
    <t>恶灵尸王</t>
  </si>
  <si>
    <t>ani_monster_elingshiwang_01</t>
  </si>
  <si>
    <t>a183</t>
  </si>
  <si>
    <t>恶灵尸王10</t>
  </si>
  <si>
    <t>b026</t>
  </si>
  <si>
    <t>a184</t>
  </si>
  <si>
    <t>恶灵僵尸0</t>
  </si>
  <si>
    <t>尸魔洞二层</t>
  </si>
  <si>
    <t>a185</t>
  </si>
  <si>
    <t>恶灵尸王0</t>
  </si>
  <si>
    <t>a186</t>
  </si>
  <si>
    <t>恶灵尸王20</t>
  </si>
  <si>
    <t>b027</t>
  </si>
  <si>
    <t>a187</t>
  </si>
  <si>
    <t>骷髅弓箭手</t>
  </si>
  <si>
    <t>骨魔洞一层</t>
  </si>
  <si>
    <t>ani_monster_kulougongjian_01</t>
  </si>
  <si>
    <t>ani_monster_kulougongjian_01_01</t>
  </si>
  <si>
    <t>a188</t>
  </si>
  <si>
    <t>骷髅刀斧手</t>
  </si>
  <si>
    <t>ani_monster_kuloudaofu_01</t>
  </si>
  <si>
    <t>a189</t>
  </si>
  <si>
    <t>骷髅长枪兵</t>
  </si>
  <si>
    <t>ani_monster_kulouchangqiang_01</t>
  </si>
  <si>
    <t>a190</t>
  </si>
  <si>
    <t>骷髅锤兵</t>
  </si>
  <si>
    <t>ani_monster_kulouchui_01</t>
  </si>
  <si>
    <t>a191</t>
  </si>
  <si>
    <t>骷髅刀斧手10</t>
  </si>
  <si>
    <t>b028</t>
  </si>
  <si>
    <t>a192</t>
  </si>
  <si>
    <t>骷髅弓箭手0</t>
  </si>
  <si>
    <t>骨魔洞二层</t>
  </si>
  <si>
    <t>a193</t>
  </si>
  <si>
    <t>骷髅刀斧手0</t>
  </si>
  <si>
    <t>a194</t>
  </si>
  <si>
    <t>骷髅长枪兵0</t>
  </si>
  <si>
    <t>a195</t>
  </si>
  <si>
    <t>骷髅锤兵0</t>
  </si>
  <si>
    <t>a196</t>
  </si>
  <si>
    <t>骷髅刀斧手20</t>
  </si>
  <si>
    <t>a197</t>
  </si>
  <si>
    <t>黄泉教主</t>
  </si>
  <si>
    <t>ani_monster_huangquanjiaozhu_01</t>
  </si>
  <si>
    <t>a198</t>
  </si>
  <si>
    <t>牛魔斗士</t>
  </si>
  <si>
    <t>牛魔寺庙入口</t>
  </si>
  <si>
    <t>ani_monster_niumodoushi_01</t>
  </si>
  <si>
    <t>a199</t>
  </si>
  <si>
    <t>牛头魔</t>
  </si>
  <si>
    <t>ani_monster_niutoumo_01</t>
  </si>
  <si>
    <t>a200</t>
  </si>
  <si>
    <t>牛魔战士</t>
  </si>
  <si>
    <t>ani_monster_niumozhanshi_01</t>
  </si>
  <si>
    <t>a201</t>
  </si>
  <si>
    <t>牛魔法师</t>
  </si>
  <si>
    <t>ani_monster_niumofashi_01</t>
  </si>
  <si>
    <t>ani_monster_niumofashi_01_01</t>
  </si>
  <si>
    <t>a202</t>
  </si>
  <si>
    <t>牛魔将军</t>
  </si>
  <si>
    <t>ani_monster_niumojiangjun_01</t>
  </si>
  <si>
    <t>a203</t>
  </si>
  <si>
    <t>牛魔战士10</t>
  </si>
  <si>
    <t>b029</t>
  </si>
  <si>
    <t>a204</t>
  </si>
  <si>
    <t>牛头魔0</t>
  </si>
  <si>
    <t>牛魔寺庙一层</t>
  </si>
  <si>
    <t>a205</t>
  </si>
  <si>
    <t>牛魔战士0</t>
  </si>
  <si>
    <t>a206</t>
  </si>
  <si>
    <t>牛魔法师0</t>
  </si>
  <si>
    <t>a207</t>
  </si>
  <si>
    <t>牛魔将军0</t>
  </si>
  <si>
    <t>a208</t>
  </si>
  <si>
    <t>牛魔祭祀</t>
  </si>
  <si>
    <t>ani_monster_niumojisi_01</t>
  </si>
  <si>
    <t>ani_monster_niumojisi_01_01</t>
  </si>
  <si>
    <t>a209</t>
  </si>
  <si>
    <t>牛魔侍卫</t>
  </si>
  <si>
    <t>ani_monster_niumoshiwei_01</t>
  </si>
  <si>
    <t>a210</t>
  </si>
  <si>
    <t>牛魔战士20</t>
  </si>
  <si>
    <t>a211</t>
  </si>
  <si>
    <t>牛魔侍卫10</t>
  </si>
  <si>
    <t>b030</t>
  </si>
  <si>
    <t>a212</t>
  </si>
  <si>
    <t>牛头魔1</t>
  </si>
  <si>
    <t>牛魔寺庙大厅</t>
  </si>
  <si>
    <t>a213</t>
  </si>
  <si>
    <t>牛魔战士1</t>
  </si>
  <si>
    <t>a214</t>
  </si>
  <si>
    <t>牛魔法师1</t>
  </si>
  <si>
    <t>a215</t>
  </si>
  <si>
    <t>牛魔将军1</t>
  </si>
  <si>
    <t>a216</t>
  </si>
  <si>
    <t>牛魔祭祀0</t>
  </si>
  <si>
    <t>a217</t>
  </si>
  <si>
    <t>牛魔侍卫0</t>
  </si>
  <si>
    <t>a218</t>
  </si>
  <si>
    <t>牛魔将军10</t>
  </si>
  <si>
    <t>a219</t>
  </si>
  <si>
    <t>牛魔侍卫20</t>
  </si>
  <si>
    <t>a220</t>
  </si>
  <si>
    <t>牛魔王</t>
  </si>
  <si>
    <t>ani_monster_niumowang_01</t>
  </si>
  <si>
    <t>a221</t>
  </si>
  <si>
    <t>天狼蜘蛛</t>
  </si>
  <si>
    <t>丛林迷宫</t>
  </si>
  <si>
    <t>ani_monster_tianlangzhizhu_01</t>
  </si>
  <si>
    <t>a222</t>
  </si>
  <si>
    <t>钢牙蜘蛛</t>
  </si>
  <si>
    <t>ani_monster_gangyazhizhu_01</t>
  </si>
  <si>
    <t>a223</t>
  </si>
  <si>
    <t>暴牙蜘蛛</t>
  </si>
  <si>
    <t>ani_monster_baoyazhizhu_01</t>
  </si>
  <si>
    <t>a224</t>
  </si>
  <si>
    <t>黑锷蜘蛛</t>
  </si>
  <si>
    <t>ani_monster_heiezhizhu_01</t>
  </si>
  <si>
    <t>a225</t>
  </si>
  <si>
    <t>花吻蜘蛛</t>
  </si>
  <si>
    <t>ani_monster_huawenzhizhu_01</t>
  </si>
  <si>
    <t>a226</t>
  </si>
  <si>
    <t>黑锷蜘蛛10</t>
  </si>
  <si>
    <t>b031</t>
  </si>
  <si>
    <t>a227</t>
  </si>
  <si>
    <t>钢牙蜘蛛0</t>
  </si>
  <si>
    <t>赤月峡谷西走廊</t>
  </si>
  <si>
    <t>a228</t>
  </si>
  <si>
    <t>暴牙蜘蛛0</t>
  </si>
  <si>
    <t>a229</t>
  </si>
  <si>
    <t>黑锷蜘蛛0</t>
  </si>
  <si>
    <t>a230</t>
  </si>
  <si>
    <t>月魔蜘蛛</t>
  </si>
  <si>
    <t>ani_monster_yuemozhizhu_01</t>
  </si>
  <si>
    <t>a231</t>
  </si>
  <si>
    <t>花吻蜘蛛0</t>
  </si>
  <si>
    <t>a232</t>
  </si>
  <si>
    <t>月魔蜘蛛10</t>
  </si>
  <si>
    <t>b032</t>
  </si>
  <si>
    <t>a233</t>
  </si>
  <si>
    <t>钢牙蜘蛛1</t>
  </si>
  <si>
    <t>赤月峡谷东二层</t>
  </si>
  <si>
    <t>a234</t>
  </si>
  <si>
    <t>暴牙蜘蛛1</t>
  </si>
  <si>
    <t>a235</t>
  </si>
  <si>
    <t>黑锷蜘蛛1</t>
  </si>
  <si>
    <t>a236</t>
  </si>
  <si>
    <t>月魔蜘蛛0</t>
  </si>
  <si>
    <t>a237</t>
  </si>
  <si>
    <t>花吻蜘蛛1</t>
  </si>
  <si>
    <t>a238</t>
  </si>
  <si>
    <t>月魔蜘蛛20</t>
  </si>
  <si>
    <t>b033</t>
  </si>
  <si>
    <t>a239</t>
  </si>
  <si>
    <t>钢牙蜘蛛2</t>
  </si>
  <si>
    <t>赤月峡谷广场</t>
  </si>
  <si>
    <t>a240</t>
  </si>
  <si>
    <t>暴牙蜘蛛2</t>
  </si>
  <si>
    <t>a241</t>
  </si>
  <si>
    <t>黑锷蜘蛛2</t>
  </si>
  <si>
    <t>a242</t>
  </si>
  <si>
    <t>月魔蜘蛛1</t>
  </si>
  <si>
    <t>a243</t>
  </si>
  <si>
    <t>花吻蜘蛛2</t>
  </si>
  <si>
    <t>a244</t>
  </si>
  <si>
    <t>花吻蜘蛛10</t>
  </si>
  <si>
    <t>b034</t>
  </si>
  <si>
    <t>a245</t>
  </si>
  <si>
    <t>黑锷蜘蛛3</t>
  </si>
  <si>
    <t>抉择之地</t>
  </si>
  <si>
    <t>a246</t>
  </si>
  <si>
    <t>月魔蜘蛛2</t>
  </si>
  <si>
    <t>a247</t>
  </si>
  <si>
    <t>花吻蜘蛛3</t>
  </si>
  <si>
    <t>a248</t>
  </si>
  <si>
    <t>血巨人</t>
  </si>
  <si>
    <t>ani_monster_xuejuren_01</t>
  </si>
  <si>
    <t>a249</t>
  </si>
  <si>
    <t>邪恶巨人</t>
  </si>
  <si>
    <t>ani_monster_shuangtoujingang_01</t>
  </si>
  <si>
    <t>a250</t>
  </si>
  <si>
    <t>血僵尸</t>
  </si>
  <si>
    <t>ani_monster_xuejiangshi_01</t>
  </si>
  <si>
    <t>a251</t>
  </si>
  <si>
    <t>花吻蜘蛛20</t>
  </si>
  <si>
    <t>a252</t>
  </si>
  <si>
    <t>血巨人10</t>
  </si>
  <si>
    <t>b035</t>
  </si>
  <si>
    <t>a253</t>
  </si>
  <si>
    <t>暴牙蜘蛛4</t>
  </si>
  <si>
    <t>恶魔祭坛</t>
  </si>
  <si>
    <t>a254</t>
  </si>
  <si>
    <t>黑锷蜘蛛4</t>
  </si>
  <si>
    <t>a255</t>
  </si>
  <si>
    <t>月魔蜘蛛3</t>
  </si>
  <si>
    <t>a256</t>
  </si>
  <si>
    <t>血巨人0</t>
  </si>
  <si>
    <t>a257</t>
  </si>
  <si>
    <t>血僵尸0</t>
  </si>
  <si>
    <t>a258</t>
  </si>
  <si>
    <t>血巨人20</t>
  </si>
  <si>
    <t>a259</t>
  </si>
  <si>
    <t>双头血魔</t>
  </si>
  <si>
    <t>ani_monster_shuangtouxuemo_01</t>
  </si>
  <si>
    <t>a260</t>
  </si>
  <si>
    <t>双头金刚</t>
  </si>
  <si>
    <t>a261</t>
  </si>
  <si>
    <t>黑锷蜘蛛5</t>
  </si>
  <si>
    <t>赤月魔穴</t>
  </si>
  <si>
    <t>a262</t>
  </si>
  <si>
    <t>月魔蜘蛛4</t>
  </si>
  <si>
    <t>a263</t>
  </si>
  <si>
    <t>邪恶巨人0</t>
  </si>
  <si>
    <t>a264</t>
  </si>
  <si>
    <t>血巨人1</t>
  </si>
  <si>
    <t>a265</t>
  </si>
  <si>
    <t>血僵尸1</t>
  </si>
  <si>
    <t>a266</t>
  </si>
  <si>
    <t>血巨人30</t>
  </si>
  <si>
    <t>a267</t>
  </si>
  <si>
    <t>双头血魔0</t>
  </si>
  <si>
    <t>a268</t>
  </si>
  <si>
    <t>双头金刚0</t>
  </si>
  <si>
    <t>a269</t>
  </si>
  <si>
    <t>赤月恶魔</t>
  </si>
  <si>
    <t>ani_monster_chiyueemo_01</t>
  </si>
  <si>
    <t>a270</t>
  </si>
  <si>
    <t>木桩1</t>
  </si>
  <si>
    <t>a271</t>
  </si>
  <si>
    <t>木桩2</t>
  </si>
  <si>
    <t>a272</t>
  </si>
  <si>
    <t>木桩3</t>
  </si>
  <si>
    <t>a273</t>
  </si>
  <si>
    <t>npc鸡</t>
  </si>
  <si>
    <t>白色</t>
  </si>
  <si>
    <t>场景归属</t>
  </si>
  <si>
    <t>内部编号</t>
  </si>
  <si>
    <t>怪物身份</t>
  </si>
  <si>
    <t>颜色</t>
  </si>
  <si>
    <t>新手</t>
  </si>
  <si>
    <t>沃玛级</t>
  </si>
  <si>
    <t>绿色</t>
  </si>
  <si>
    <t>装备是5开头8位数</t>
  </si>
  <si>
    <t>祖玛级</t>
  </si>
  <si>
    <t>大精英</t>
  </si>
  <si>
    <t>紫色</t>
  </si>
  <si>
    <t>第1位</t>
  </si>
  <si>
    <t>6开头代表怪物</t>
  </si>
  <si>
    <t>苍月级</t>
  </si>
  <si>
    <t>橙色</t>
  </si>
  <si>
    <t>第2位</t>
  </si>
  <si>
    <r>
      <rPr>
        <sz val="9"/>
        <color rgb="FF000000"/>
        <rFont val="微软雅黑"/>
        <charset val="134"/>
      </rPr>
      <t>用场景来代表级别。相当于装备的阶级，沃玛级，祖玛级，苍月级，赤月级等，2位应该够，暂时用3位保险。</t>
    </r>
    <r>
      <rPr>
        <sz val="9"/>
        <color rgb="FFFF0000"/>
        <rFont val="微软雅黑"/>
        <charset val="134"/>
      </rPr>
      <t>这个级别和场景区域配置严格匹配，相等</t>
    </r>
    <r>
      <rPr>
        <sz val="9"/>
        <color rgb="FF000000"/>
        <rFont val="微软雅黑"/>
        <charset val="134"/>
      </rPr>
      <t>。</t>
    </r>
  </si>
  <si>
    <t>赤月级</t>
  </si>
  <si>
    <t>大BOSS</t>
  </si>
  <si>
    <t>红色</t>
  </si>
  <si>
    <t>第3位</t>
  </si>
  <si>
    <t>雷霆级</t>
  </si>
  <si>
    <t>任务</t>
  </si>
  <si>
    <t>第4位</t>
  </si>
  <si>
    <t>战神级</t>
  </si>
  <si>
    <t>活动</t>
  </si>
  <si>
    <t>第5位</t>
  </si>
  <si>
    <t>怪物身份，区分普通/精英怪/BOSS</t>
  </si>
  <si>
    <t>星王级</t>
  </si>
  <si>
    <t>第6位</t>
  </si>
  <si>
    <t>具体数字，填在正表E列，3位数总共1000个，代表本类别的具体序号。每个场景的每一类怪物分别计。比如比奇城的普通怪，从0开始计算1，2，3……比奇城的精英怪的序号，BOSS的序号也都是从0开始重新计算</t>
  </si>
  <si>
    <t>天龙级</t>
  </si>
  <si>
    <t>第7位</t>
  </si>
  <si>
    <t>王者级</t>
  </si>
  <si>
    <t>第8位</t>
  </si>
  <si>
    <t>皓天级</t>
  </si>
  <si>
    <t>传奇级</t>
  </si>
  <si>
    <t>怪物的区分</t>
  </si>
  <si>
    <t>区域，代表等级范围或者说级别，决定掉落，经验，数值</t>
  </si>
  <si>
    <t>身份，决定掉落，经验，数值</t>
  </si>
  <si>
    <t>ID使用公式的主要原因</t>
  </si>
  <si>
    <t>在配置内容频繁的变化，新增，尤其是插入新内容的改动时，确保对应ID的内在逻辑顺畅，方便在调用该ID的地方方便配置，减少出错也方便查错。同时保证在频繁变动的情况下，更好的保证ID的唯一性。</t>
  </si>
  <si>
    <t>比如，技能分战士，法师，道士，坐骑，翅膀等等N个大类，在后续新增了某翅膀和对应的技能，并在道具表，活动配置，装备表，掉落表等多地都要用到该ID时，使用公式算出来的ID填写，查错都会便捷非常多。</t>
  </si>
  <si>
    <t>按照变动频率来预估，变动最频繁的是掉落方案和技能表，状态表和物品表其次，装备表和怪物表的变动频率最低。</t>
  </si>
  <si>
    <t>BOSS物编使用B开头，BNNN</t>
  </si>
  <si>
    <t>化骨妖</t>
  </si>
  <si>
    <t>妖姬（小boss）</t>
  </si>
  <si>
    <t>血腥女王（大boss）</t>
  </si>
  <si>
    <t>血炎兽</t>
  </si>
  <si>
    <t>剑刃魔王（大boss）</t>
  </si>
  <si>
    <t>邪灵</t>
  </si>
  <si>
    <t>巨魔守卫（小boss）</t>
  </si>
  <si>
    <t>蛮族尊主（大boss）</t>
  </si>
  <si>
    <t>百年尸草</t>
  </si>
  <si>
    <t>千年树灵（小boss）</t>
  </si>
  <si>
    <t>万年尸草王（大boss）</t>
  </si>
  <si>
    <t>魔熊</t>
  </si>
  <si>
    <t>上古魔使（大boss）</t>
  </si>
  <si>
    <t>天降福神专用</t>
  </si>
  <si>
    <t>封魔塔1层小怪专用</t>
  </si>
  <si>
    <t>未央遗迹</t>
  </si>
  <si>
    <t>第1玩法</t>
  </si>
  <si>
    <t>简单的殴打BOSS</t>
  </si>
  <si>
    <t>第2玩法</t>
  </si>
  <si>
    <t>极限刷怪，在规定时间内打到200个怪，就先通关，有些怪物固定伤害的</t>
  </si>
  <si>
    <t>第3玩法</t>
  </si>
  <si>
    <t>boss叫小怪，每个30秒叫1个小怪固定伤害，小怪增强怪物攻击</t>
  </si>
  <si>
    <t>第4玩法</t>
  </si>
  <si>
    <t>boss（血厚低攻）叫怪，每个1分钟叫一波小怪攻高，血薄</t>
  </si>
  <si>
    <t>第5玩法</t>
  </si>
  <si>
    <t>boss叫小怪，小怪固定伤害，极高攻击，需要跑位，或者眩晕小怪，同时boss无敌，共叫4次</t>
  </si>
  <si>
    <t>第6玩法</t>
  </si>
  <si>
    <t>极限刷怪，每击杀到50个怪的时候，会出现一个BOSS(BOSS血厚，降低玩家的攻击，最多出现3个)</t>
  </si>
  <si>
    <t>第7玩法</t>
  </si>
  <si>
    <t>狂暴-BOSS，每30秒狂暴一次，持续10秒</t>
  </si>
  <si>
    <t>地宫小怪</t>
  </si>
  <si>
    <t>OwnerMode</t>
  </si>
  <si>
    <t>掉落类型</t>
  </si>
  <si>
    <t>阵营</t>
  </si>
  <si>
    <t>显示名字类型</t>
  </si>
  <si>
    <t>等级</t>
  </si>
  <si>
    <t>名字颜色</t>
  </si>
  <si>
    <t>职业</t>
  </si>
  <si>
    <t>种族</t>
  </si>
  <si>
    <t>属主模型</t>
  </si>
  <si>
    <t>掉落_均可见属主拾取</t>
  </si>
  <si>
    <t>阵营_普通玩家</t>
  </si>
  <si>
    <t>名字_显示</t>
  </si>
  <si>
    <t>职业_战士</t>
  </si>
  <si>
    <t>种族_风</t>
  </si>
  <si>
    <t>怪物类型_普通</t>
  </si>
  <si>
    <t>是</t>
  </si>
  <si>
    <t>属主_首刀</t>
  </si>
  <si>
    <t>掉落_属主可见可拾取</t>
  </si>
  <si>
    <t>阵营_普通怪物</t>
  </si>
  <si>
    <t>名字_不显示</t>
  </si>
  <si>
    <t>职业_法师</t>
  </si>
  <si>
    <t>种族_火</t>
  </si>
  <si>
    <t>怪物类型_世界BOSS</t>
  </si>
  <si>
    <t>属主_组队伤害</t>
  </si>
  <si>
    <t>掉落_均可见均可拾取</t>
  </si>
  <si>
    <t>阵营_中立怪物</t>
  </si>
  <si>
    <t>名字_永久显示</t>
  </si>
  <si>
    <t>职业_牧师</t>
  </si>
  <si>
    <t>种族_雷</t>
  </si>
  <si>
    <t>怪物类型_人数值</t>
  </si>
  <si>
    <t>属主_组队伤害唯一</t>
  </si>
  <si>
    <t>掉落_均可见队伍拾取</t>
  </si>
  <si>
    <t>阵营_友好怪物</t>
  </si>
  <si>
    <t>职业_萨满</t>
  </si>
  <si>
    <t>种族_水</t>
  </si>
  <si>
    <t>怪物类型_宠数值</t>
  </si>
  <si>
    <t>属主_仇恨</t>
  </si>
  <si>
    <t>掉落_均可见区服拾取</t>
  </si>
  <si>
    <t>阵营_动画怪物</t>
  </si>
  <si>
    <t>怪物类型_精英</t>
  </si>
  <si>
    <t>属主_普通</t>
  </si>
  <si>
    <t>阵营_动画怪物2</t>
  </si>
  <si>
    <t>属主_末刀</t>
  </si>
  <si>
    <t>阵营_动画怪物3</t>
  </si>
  <si>
    <t>属主_个人伤害</t>
  </si>
  <si>
    <t>阵营_动画怪物4</t>
  </si>
  <si>
    <t>属主_个人伤害唯一</t>
  </si>
  <si>
    <t>蓝色</t>
  </si>
  <si>
    <t>怪物类型_首领</t>
  </si>
  <si>
    <t>怪物类型_世界PVPBOSS</t>
  </si>
  <si>
    <t>怪物类型_散仙陷阱</t>
  </si>
  <si>
    <t>怪物类型_采集物</t>
  </si>
  <si>
    <t>怪物类型_琅琊福地NPC</t>
  </si>
  <si>
    <t>怪物类型_阵营战炮台</t>
  </si>
  <si>
    <t>怪物类型_技能召唤</t>
  </si>
  <si>
    <t>怪物类型_前台怪</t>
  </si>
  <si>
    <t>怪物类型_受击掉落</t>
  </si>
  <si>
    <t>版本号</t>
  </si>
  <si>
    <t>改动内容</t>
  </si>
  <si>
    <t>V1.12</t>
  </si>
  <si>
    <t>1、删除金币掉落字段
2、更新怪物模型</t>
  </si>
  <si>
    <t>V1.13</t>
  </si>
  <si>
    <t>1、新增怪物缩放比例
2、更改盔甲虫模型</t>
  </si>
  <si>
    <t>V1.14</t>
  </si>
  <si>
    <t>1、更改了比奇城怪物攻击数值
2、更改的归属场景数据</t>
  </si>
  <si>
    <t>V1.15</t>
  </si>
  <si>
    <t>更新掉落方案</t>
  </si>
  <si>
    <t>V1.16</t>
  </si>
  <si>
    <t>更新怪物普攻和技能ID</t>
  </si>
  <si>
    <t>V1.17</t>
  </si>
  <si>
    <t>更改怪物的编号计算规则和对应的编号</t>
  </si>
  <si>
    <t>V1.18</t>
  </si>
  <si>
    <t>更新“蛤蟆”模型</t>
  </si>
  <si>
    <t>V1.19</t>
  </si>
  <si>
    <t>更新移动速度巡逻半径等数据</t>
  </si>
  <si>
    <t>V1.20</t>
  </si>
  <si>
    <t>所有蛤蟆模型放大到原5倍</t>
  </si>
  <si>
    <t>V1.21</t>
  </si>
  <si>
    <t>祖玛弓箭手模型更新</t>
  </si>
  <si>
    <t>V1.22</t>
  </si>
  <si>
    <t>怪物距离和速度属性更改</t>
  </si>
  <si>
    <t>V1.23</t>
  </si>
  <si>
    <t>删掉原来的速度一列，新增属性移动速度</t>
  </si>
  <si>
    <t>V1.24</t>
  </si>
  <si>
    <t>增加远程怪物字段，弹道模型字段</t>
  </si>
  <si>
    <t>V1.25</t>
  </si>
  <si>
    <t>怪物增加攻击范围属性</t>
  </si>
  <si>
    <t>V1.26</t>
  </si>
  <si>
    <t>怪物动作模型更新</t>
  </si>
  <si>
    <t>V1.27</t>
  </si>
  <si>
    <t>更新怪物模型</t>
  </si>
  <si>
    <t>V1.28</t>
  </si>
  <si>
    <t>60371394 60371395，黑狐赤狐改为测试数值</t>
  </si>
  <si>
    <t>V1.29</t>
  </si>
  <si>
    <t>V1.30</t>
  </si>
  <si>
    <t>V1.31</t>
  </si>
  <si>
    <t>V1.32</t>
  </si>
  <si>
    <t>V1.33</t>
  </si>
  <si>
    <t>V1.34</t>
  </si>
  <si>
    <t>V1.35</t>
  </si>
  <si>
    <t>删掉视野半径和巡逻范围，新增属性警戒范围。</t>
  </si>
  <si>
    <t>V1.36</t>
  </si>
  <si>
    <t>调整掉落方案，对应调整怪物表</t>
  </si>
  <si>
    <t>V1.37</t>
  </si>
  <si>
    <t>怪物数据使用李鑫配置版本，同时所有的ID规则进行调整。困惑殿堂新增2普通2精英怪，封魔殿新增3精英物编ID用aa开头</t>
  </si>
  <si>
    <t>V1.38</t>
  </si>
  <si>
    <t>调整模型大小，1.36版本模型大小应该是对的，这个版本是之前复制李鑫的数据，模型大小可能比较原始，对所有＞0.5的基本都改成0.5了，持续修改
复制过来遗留的0全都删了，模型缩放不要配置0！！！
所有模型改前缀，很多模型名字乱填的都改了，还有2个模型缺失，先用别的代替了。</t>
  </si>
  <si>
    <t>V1.39</t>
  </si>
  <si>
    <t>修改模型大小，沃玛战将模型用沃玛勇士暂替，碰撞体积20改为10</t>
  </si>
  <si>
    <t>V1.40</t>
  </si>
  <si>
    <t>新增任务掉落</t>
  </si>
  <si>
    <t>V1.41</t>
  </si>
  <si>
    <t>掉落方案出现BUG，把错误的掉落方案ID改正。增加一个木桩。所有怪物复活时间×10</t>
  </si>
  <si>
    <t>V1.42</t>
  </si>
  <si>
    <t>新增3个配置项，2个绑定特效+缩放，新增一个技能配置，改技能ID。修改警戒范围，</t>
  </si>
  <si>
    <t>V1.43</t>
  </si>
  <si>
    <t>增加NPC鸡</t>
  </si>
  <si>
    <t>V1.44</t>
  </si>
  <si>
    <t>V1.45</t>
  </si>
  <si>
    <t>V1.46</t>
  </si>
  <si>
    <t>V1.47</t>
  </si>
  <si>
    <t>V1.48</t>
  </si>
  <si>
    <t>V1.49</t>
  </si>
  <si>
    <t>V1.50</t>
  </si>
  <si>
    <t>A107</t>
  </si>
  <si>
    <t>待定</t>
  </si>
  <si>
    <t>A038</t>
  </si>
  <si>
    <t>A120</t>
  </si>
  <si>
    <t>A036</t>
  </si>
  <si>
    <t>A033</t>
  </si>
  <si>
    <t>A034</t>
  </si>
  <si>
    <t>A013</t>
  </si>
  <si>
    <t>A001</t>
  </si>
  <si>
    <t>A106</t>
  </si>
  <si>
    <t>A020</t>
  </si>
  <si>
    <t>A029</t>
  </si>
  <si>
    <t>A027</t>
  </si>
  <si>
    <t>A091</t>
  </si>
  <si>
    <t>A017</t>
  </si>
  <si>
    <t>A015</t>
  </si>
  <si>
    <t>A023</t>
  </si>
  <si>
    <t>A128</t>
  </si>
  <si>
    <t>A122</t>
  </si>
  <si>
    <t>A133</t>
  </si>
  <si>
    <t>A082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</si>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</sst>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indexed="8"/>
      <name val="宋体"/>
      <charset val="134"/>
    </font>
    <font>
      <sz val="11"/>
      <color indexed="8"/>
      <name val="微软雅黑"/>
      <charset val="134"/>
    </font>
    <font>
      <sz val="11"/>
      <name val="微软雅黑"/>
      <charset val="134"/>
    </font>
    <font>
      <sz val="9"/>
      <color theme="1"/>
      <name val="微软雅黑"/>
      <charset val="134"/>
    </font>
    <font>
      <sz val="9"/>
      <color indexed="8"/>
      <name val="微软雅黑"/>
      <charset val="134"/>
    </font>
    <font>
      <sz val="9"/>
      <color rgb="FF00B050"/>
      <name val="微软雅黑"/>
      <charset val="134"/>
    </font>
    <font>
      <sz val="9"/>
      <name val="微软雅黑"/>
      <charset val="134"/>
    </font>
    <font>
      <sz val="9"/>
      <color rgb="FF000000"/>
      <name val="微软雅黑"/>
      <charset val="134"/>
    </font>
    <font>
      <sz val="9"/>
      <color rgb="FFFF0000"/>
      <name val="微软雅黑"/>
      <charset val="134"/>
    </font>
    <font>
      <sz val="10"/>
      <name val="微软雅黑"/>
      <charset val="134"/>
    </font>
    <font>
      <sz val="10"/>
      <color rgb="FF000000"/>
      <name val="宋体"/>
      <charset val="134"/>
    </font>
    <font>
      <sz val="11"/>
      <color rgb="FF222222"/>
      <name val="Carlito"/>
      <charset val="134"/>
    </font>
    <font>
      <sz val="11"/>
      <name val="Carlito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ahoma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sz val="12"/>
      <name val="宋体"/>
      <charset val="134"/>
    </font>
    <font>
      <u/>
      <sz val="11"/>
      <color indexed="12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 tint="-0.14886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8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5" applyNumberFormat="0" applyAlignment="0" applyProtection="0">
      <alignment vertical="center"/>
    </xf>
    <xf numFmtId="0" fontId="23" fillId="10" borderId="6" applyNumberFormat="0" applyAlignment="0" applyProtection="0">
      <alignment vertical="center"/>
    </xf>
    <xf numFmtId="0" fontId="24" fillId="10" borderId="5" applyNumberFormat="0" applyAlignment="0" applyProtection="0">
      <alignment vertical="center"/>
    </xf>
    <xf numFmtId="0" fontId="25" fillId="11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4" fillId="0" borderId="0">
      <alignment vertical="center"/>
    </xf>
    <xf numFmtId="0" fontId="33" fillId="0" borderId="0"/>
    <xf numFmtId="0" fontId="13" fillId="0" borderId="0"/>
    <xf numFmtId="0" fontId="34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6" fillId="0" borderId="0">
      <alignment vertical="center"/>
    </xf>
    <xf numFmtId="0" fontId="13" fillId="0" borderId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0" fontId="12" fillId="0" borderId="0"/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NumberFormat="1" applyFont="1" applyFill="1" applyBorder="1">
      <alignment vertical="center"/>
    </xf>
    <xf numFmtId="0" fontId="4" fillId="2" borderId="0" xfId="0" applyFont="1" applyFill="1">
      <alignment vertical="center"/>
    </xf>
    <xf numFmtId="0" fontId="3" fillId="0" borderId="0" xfId="0" applyFont="1" applyAlignment="1"/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8" fillId="0" borderId="0" xfId="0" applyFont="1">
      <alignment vertical="center"/>
    </xf>
    <xf numFmtId="0" fontId="4" fillId="4" borderId="0" xfId="0" applyFont="1" applyFill="1">
      <alignment vertical="center"/>
    </xf>
    <xf numFmtId="0" fontId="4" fillId="5" borderId="0" xfId="0" applyFont="1" applyFill="1">
      <alignment vertical="center"/>
    </xf>
    <xf numFmtId="0" fontId="4" fillId="0" borderId="0" xfId="0" applyFont="1" applyFill="1">
      <alignment vertical="center"/>
    </xf>
    <xf numFmtId="0" fontId="4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9" fillId="4" borderId="1" xfId="0" applyFont="1" applyFill="1" applyBorder="1" applyAlignment="1"/>
    <xf numFmtId="0" fontId="10" fillId="0" borderId="0" xfId="0" applyFont="1" applyAlignment="1">
      <alignment horizontal="center" vertical="center"/>
    </xf>
    <xf numFmtId="0" fontId="11" fillId="0" borderId="0" xfId="57" applyNumberFormat="1" applyFont="1" applyFill="1" applyBorder="1" applyAlignment="1">
      <alignment vertical="center"/>
    </xf>
    <xf numFmtId="0" fontId="12" fillId="0" borderId="0" xfId="57"/>
    <xf numFmtId="0" fontId="4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4" fillId="6" borderId="0" xfId="0" applyFont="1" applyFill="1">
      <alignment vertical="center"/>
    </xf>
    <xf numFmtId="0" fontId="4" fillId="7" borderId="0" xfId="0" applyFont="1" applyFill="1">
      <alignment vertical="center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7 2 2" xfId="49"/>
    <cellStyle name="常规 2 16" xfId="50"/>
    <cellStyle name="常规 39" xfId="51"/>
    <cellStyle name="适中 2 4" xfId="52"/>
    <cellStyle name="好 2 2" xfId="53"/>
    <cellStyle name="常规 2 3 2 2 2" xfId="54"/>
    <cellStyle name="常规 40" xfId="55"/>
    <cellStyle name="超链接 4 3" xfId="56"/>
    <cellStyle name="Normal" xfId="57"/>
  </cellStyles>
  <dxfs count="21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17"/>
  </sheetPr>
  <dimension ref="A1:BR598"/>
  <sheetViews>
    <sheetView tabSelected="1" zoomScale="115" zoomScaleNormal="115" workbookViewId="0">
      <pane xSplit="7" ySplit="2" topLeftCell="AX3" activePane="bottomRight" state="frozen"/>
      <selection/>
      <selection pane="topRight"/>
      <selection pane="bottomLeft"/>
      <selection pane="bottomRight" activeCell="R8" sqref="R8"/>
    </sheetView>
  </sheetViews>
  <sheetFormatPr defaultColWidth="9" defaultRowHeight="14.25"/>
  <cols>
    <col min="1" max="1" width="11.275" style="7"/>
    <col min="2" max="2" width="10.1166666666667" style="7" customWidth="1"/>
    <col min="3" max="3" width="12.125" style="7" customWidth="1"/>
    <col min="4" max="4" width="13.025" style="7" customWidth="1"/>
    <col min="5" max="5" width="5.69166666666667" style="7" customWidth="1"/>
    <col min="6" max="6" width="7.06666666666667" style="18" customWidth="1"/>
    <col min="7" max="7" width="6.71666666666667" style="7" customWidth="1"/>
    <col min="8" max="8" width="9.8" style="7" customWidth="1"/>
    <col min="9" max="9" width="11.375" style="7" customWidth="1"/>
    <col min="10" max="10" width="9.16666666666667" style="7" customWidth="1"/>
    <col min="11" max="12" width="6" style="7" customWidth="1"/>
    <col min="13" max="14" width="7.98333333333333" style="18" customWidth="1"/>
    <col min="15" max="15" width="6.16666666666667" style="18" customWidth="1"/>
    <col min="16" max="16" width="8.05833333333333" style="18" customWidth="1"/>
    <col min="17" max="17" width="6.00833333333333" style="18" customWidth="1"/>
    <col min="18" max="20" width="10.6666666666667" style="18" customWidth="1"/>
    <col min="21" max="23" width="8.53333333333333" style="7" customWidth="1"/>
    <col min="24" max="24" width="9.71666666666667" style="18" customWidth="1"/>
    <col min="25" max="25" width="30.5916666666667" style="19" customWidth="1"/>
    <col min="26" max="26" width="11.6333333333333" style="7" customWidth="1"/>
    <col min="27" max="28" width="6.00833333333333" style="18" customWidth="1"/>
    <col min="29" max="29" width="9.875" style="18" customWidth="1"/>
    <col min="30" max="30" width="9.75833333333333" style="18" customWidth="1"/>
    <col min="31" max="31" width="10.4333333333333" style="7" customWidth="1"/>
    <col min="32" max="32" width="31.0666666666667" style="7" customWidth="1"/>
    <col min="33" max="33" width="25.7583333333333" style="7" customWidth="1"/>
    <col min="34" max="34" width="14.7" style="7" customWidth="1"/>
    <col min="35" max="35" width="10.9833333333333" style="7" customWidth="1"/>
    <col min="36" max="36" width="9" style="7"/>
    <col min="37" max="37" width="10" style="7"/>
    <col min="38" max="50" width="9" style="7"/>
    <col min="51" max="51" width="10.3583333333333" style="7" customWidth="1"/>
    <col min="52" max="63" width="9" style="7"/>
    <col min="64" max="64" width="9" style="20"/>
    <col min="65" max="65" width="15.4333333333333" style="20" customWidth="1"/>
    <col min="66" max="69" width="7.58333333333333" style="20" customWidth="1"/>
    <col min="70" max="70" width="9" style="20"/>
    <col min="71" max="16384" width="9" style="7"/>
  </cols>
  <sheetData>
    <row r="1" s="7" customFormat="1" ht="21" customHeight="1" spans="1:7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20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25</v>
      </c>
      <c r="AC1" s="7" t="s">
        <v>26</v>
      </c>
      <c r="AD1" s="7" t="s">
        <v>27</v>
      </c>
      <c r="AE1" s="7" t="s">
        <v>28</v>
      </c>
      <c r="AF1" s="7" t="s">
        <v>29</v>
      </c>
      <c r="AG1" s="7" t="s">
        <v>30</v>
      </c>
      <c r="AH1" s="7" t="s">
        <v>31</v>
      </c>
      <c r="AI1" s="7" t="s">
        <v>32</v>
      </c>
      <c r="AJ1" s="7" t="s">
        <v>33</v>
      </c>
      <c r="AK1" s="7" t="s">
        <v>34</v>
      </c>
      <c r="AL1" s="7" t="s">
        <v>35</v>
      </c>
      <c r="AM1" s="7" t="s">
        <v>36</v>
      </c>
      <c r="AN1" s="7" t="s">
        <v>37</v>
      </c>
      <c r="AO1" s="7" t="s">
        <v>38</v>
      </c>
      <c r="AP1" s="7" t="s">
        <v>39</v>
      </c>
      <c r="AQ1" s="7" t="s">
        <v>40</v>
      </c>
      <c r="AR1" s="7" t="s">
        <v>41</v>
      </c>
      <c r="AS1" s="7" t="s">
        <v>42</v>
      </c>
      <c r="AT1" s="7" t="s">
        <v>43</v>
      </c>
      <c r="AU1" s="7" t="s">
        <v>44</v>
      </c>
      <c r="AV1" s="7" t="s">
        <v>45</v>
      </c>
      <c r="AW1" s="7" t="s">
        <v>46</v>
      </c>
      <c r="AX1" s="7" t="s">
        <v>47</v>
      </c>
      <c r="AY1" s="7" t="s">
        <v>48</v>
      </c>
      <c r="AZ1" s="7" t="s">
        <v>49</v>
      </c>
      <c r="BA1" s="7" t="s">
        <v>50</v>
      </c>
      <c r="BB1" s="7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s="7" t="s">
        <v>56</v>
      </c>
      <c r="BH1" s="7" t="s">
        <v>57</v>
      </c>
      <c r="BI1" s="7" t="s">
        <v>58</v>
      </c>
      <c r="BJ1" s="7" t="s">
        <v>59</v>
      </c>
      <c r="BK1" s="7" t="s">
        <v>60</v>
      </c>
      <c r="BL1" s="20" t="s">
        <v>61</v>
      </c>
      <c r="BM1" s="20" t="s">
        <v>62</v>
      </c>
      <c r="BN1" s="20" t="s">
        <v>63</v>
      </c>
      <c r="BO1" s="20" t="s">
        <v>64</v>
      </c>
      <c r="BP1" s="20" t="s">
        <v>65</v>
      </c>
      <c r="BQ1" s="20" t="s">
        <v>66</v>
      </c>
      <c r="BR1" s="20" t="s">
        <v>67</v>
      </c>
    </row>
    <row r="2" s="7" customFormat="1" spans="1:70">
      <c r="A2" s="7" t="s">
        <v>68</v>
      </c>
      <c r="B2" s="7" t="s">
        <v>69</v>
      </c>
      <c r="C2" s="7" t="s">
        <v>70</v>
      </c>
      <c r="D2" s="7"/>
      <c r="E2" s="7" t="s">
        <v>71</v>
      </c>
      <c r="F2" s="7" t="s">
        <v>72</v>
      </c>
      <c r="G2" s="7"/>
      <c r="I2" s="7" t="s">
        <v>73</v>
      </c>
      <c r="J2" s="7" t="s">
        <v>74</v>
      </c>
      <c r="K2" s="7"/>
      <c r="L2" s="7"/>
      <c r="M2" s="7" t="s">
        <v>75</v>
      </c>
      <c r="N2" s="7" t="s">
        <v>76</v>
      </c>
      <c r="O2" s="7" t="s">
        <v>77</v>
      </c>
      <c r="P2" s="7" t="s">
        <v>78</v>
      </c>
      <c r="Q2" s="7" t="s">
        <v>79</v>
      </c>
      <c r="R2" s="7" t="s">
        <v>80</v>
      </c>
      <c r="S2" s="7" t="s">
        <v>81</v>
      </c>
      <c r="T2" s="7" t="s">
        <v>82</v>
      </c>
      <c r="U2" s="7" t="s">
        <v>83</v>
      </c>
      <c r="V2" s="7" t="s">
        <v>84</v>
      </c>
      <c r="W2" s="7" t="s">
        <v>85</v>
      </c>
      <c r="X2" s="7" t="s">
        <v>86</v>
      </c>
      <c r="Y2" s="7" t="s">
        <v>87</v>
      </c>
      <c r="Z2" s="7" t="s">
        <v>88</v>
      </c>
      <c r="AA2" s="7" t="s">
        <v>89</v>
      </c>
      <c r="AB2" s="7" t="s">
        <v>90</v>
      </c>
      <c r="AC2" s="7" t="s">
        <v>91</v>
      </c>
      <c r="AD2" s="7" t="s">
        <v>92</v>
      </c>
      <c r="AE2" s="7" t="s">
        <v>93</v>
      </c>
      <c r="AF2" s="7" t="s">
        <v>94</v>
      </c>
      <c r="AG2" s="7" t="s">
        <v>95</v>
      </c>
      <c r="AH2" s="7" t="s">
        <v>96</v>
      </c>
      <c r="AI2" s="7" t="s">
        <v>97</v>
      </c>
      <c r="AJ2" s="7" t="s">
        <v>98</v>
      </c>
      <c r="AK2" s="7" t="s">
        <v>99</v>
      </c>
      <c r="AL2" s="7" t="s">
        <v>100</v>
      </c>
      <c r="AM2" s="7" t="s">
        <v>101</v>
      </c>
      <c r="AN2" s="7" t="s">
        <v>102</v>
      </c>
      <c r="AO2" s="7" t="s">
        <v>103</v>
      </c>
      <c r="AP2" s="7" t="s">
        <v>104</v>
      </c>
      <c r="AQ2" s="7" t="s">
        <v>105</v>
      </c>
      <c r="AR2" s="7" t="s">
        <v>106</v>
      </c>
      <c r="AS2" s="7" t="s">
        <v>107</v>
      </c>
      <c r="AT2" s="7" t="s">
        <v>108</v>
      </c>
      <c r="AU2" s="7" t="s">
        <v>109</v>
      </c>
      <c r="AV2" s="7" t="s">
        <v>110</v>
      </c>
      <c r="AW2" s="7" t="s">
        <v>111</v>
      </c>
      <c r="AX2" s="7" t="s">
        <v>112</v>
      </c>
      <c r="AY2" s="7" t="s">
        <v>113</v>
      </c>
      <c r="AZ2" s="7" t="s">
        <v>114</v>
      </c>
      <c r="BA2" s="7" t="s">
        <v>115</v>
      </c>
      <c r="BB2" s="7" t="s">
        <v>116</v>
      </c>
      <c r="BC2" s="7" t="s">
        <v>117</v>
      </c>
      <c r="BD2" s="7" t="s">
        <v>118</v>
      </c>
      <c r="BE2" s="7" t="s">
        <v>119</v>
      </c>
      <c r="BF2" s="7" t="s">
        <v>120</v>
      </c>
      <c r="BG2" s="7" t="s">
        <v>121</v>
      </c>
      <c r="BH2" s="7" t="s">
        <v>122</v>
      </c>
      <c r="BI2" s="7" t="s">
        <v>123</v>
      </c>
      <c r="BJ2" s="7" t="s">
        <v>124</v>
      </c>
      <c r="BK2" s="7" t="s">
        <v>125</v>
      </c>
      <c r="BL2" s="20" t="s">
        <v>126</v>
      </c>
      <c r="BM2" s="20" t="s">
        <v>127</v>
      </c>
      <c r="BN2" s="20" t="s">
        <v>128</v>
      </c>
      <c r="BO2" s="20" t="s">
        <v>129</v>
      </c>
      <c r="BP2" s="20" t="s">
        <v>130</v>
      </c>
      <c r="BQ2" s="20" t="s">
        <v>131</v>
      </c>
      <c r="BR2" s="20" t="s">
        <v>132</v>
      </c>
    </row>
    <row r="3" s="7" customFormat="1" ht="13" customHeight="1" spans="1:70">
      <c r="A3" s="7">
        <f>60000000+INDEX(编号表!$B:$B,MATCH(I3,编号表!$A:$A,0))*10000+INDEX(编号表!$B:$B,MATCH(J3,编号表!$C:$C,0))*1000+K3</f>
        <v>60011000</v>
      </c>
      <c r="B3" s="7" t="s">
        <v>133</v>
      </c>
      <c r="C3" s="7" t="s">
        <v>134</v>
      </c>
      <c r="D3" s="7" t="s">
        <v>134</v>
      </c>
      <c r="E3" s="7">
        <v>5</v>
      </c>
      <c r="F3" s="7" t="str" cm="1">
        <f t="array" ref="F3">INDEX(编号表!$E:$E,MATCH(J3,编号表!$C:$C,0))</f>
        <v>白色</v>
      </c>
      <c r="G3" s="7">
        <v>1</v>
      </c>
      <c r="H3" s="7" t="s">
        <v>135</v>
      </c>
      <c r="I3" s="7" t="s">
        <v>136</v>
      </c>
      <c r="J3" s="7" t="s">
        <v>137</v>
      </c>
      <c r="K3" s="7">
        <v>0</v>
      </c>
      <c r="L3" s="7">
        <f>COUNTIFS(I3:I$11,I3,J3:J$11,J3)-1</f>
        <v>4</v>
      </c>
      <c r="O3" s="7">
        <v>10</v>
      </c>
      <c r="P3" s="7">
        <v>100000</v>
      </c>
      <c r="Q3" s="7" t="s">
        <v>138</v>
      </c>
      <c r="R3" s="21">
        <v>40140001</v>
      </c>
      <c r="U3" s="7">
        <v>11010001</v>
      </c>
      <c r="V3" s="7">
        <v>11020001</v>
      </c>
      <c r="X3" s="7" t="s">
        <v>139</v>
      </c>
      <c r="Y3" s="7" t="s">
        <v>140</v>
      </c>
      <c r="AA3" s="7">
        <v>30</v>
      </c>
      <c r="AB3" s="7">
        <v>30</v>
      </c>
      <c r="AC3" s="7">
        <v>10</v>
      </c>
      <c r="AD3" s="7">
        <v>20</v>
      </c>
      <c r="AE3" s="7" t="s">
        <v>141</v>
      </c>
      <c r="AG3" s="22"/>
      <c r="AI3" s="23">
        <v>12</v>
      </c>
      <c r="AJ3" s="7" t="s">
        <v>142</v>
      </c>
      <c r="AK3" s="24">
        <v>15</v>
      </c>
      <c r="AL3" s="7" t="s">
        <v>143</v>
      </c>
      <c r="AN3" s="7" t="s">
        <v>144</v>
      </c>
      <c r="AP3" s="7" t="s">
        <v>145</v>
      </c>
      <c r="AR3" s="7" t="s">
        <v>146</v>
      </c>
      <c r="AT3" s="7" t="s">
        <v>147</v>
      </c>
      <c r="AU3" s="7">
        <v>1</v>
      </c>
      <c r="AV3" s="7" t="s">
        <v>148</v>
      </c>
      <c r="AW3" s="7">
        <v>2</v>
      </c>
      <c r="AX3" s="7" t="s">
        <v>149</v>
      </c>
      <c r="AY3" s="7">
        <v>1</v>
      </c>
      <c r="AZ3" s="7" t="s">
        <v>150</v>
      </c>
      <c r="BA3" s="7">
        <v>2</v>
      </c>
      <c r="BB3" s="7" t="s">
        <v>151</v>
      </c>
      <c r="BC3" s="7">
        <v>1</v>
      </c>
      <c r="BD3" s="7" t="s">
        <v>152</v>
      </c>
      <c r="BE3" s="7">
        <v>2</v>
      </c>
      <c r="BF3" s="7" t="s">
        <v>153</v>
      </c>
      <c r="BG3" s="7">
        <v>100</v>
      </c>
      <c r="BH3" s="7" t="s">
        <v>154</v>
      </c>
      <c r="BI3" s="7">
        <v>10</v>
      </c>
      <c r="BJ3" s="7" t="s">
        <v>155</v>
      </c>
      <c r="BK3" s="7">
        <v>200</v>
      </c>
      <c r="BL3" s="20"/>
      <c r="BM3" s="20"/>
      <c r="BN3" s="20">
        <v>1</v>
      </c>
      <c r="BO3" s="20">
        <v>2500</v>
      </c>
      <c r="BP3" s="20">
        <v>2</v>
      </c>
      <c r="BQ3" s="20">
        <v>2500</v>
      </c>
      <c r="BR3" s="20" t="s">
        <v>156</v>
      </c>
    </row>
    <row r="4" s="7" customFormat="1" ht="16.5" spans="1:70">
      <c r="A4" s="7">
        <f>60000000+INDEX(编号表!$B:$B,MATCH(I4,编号表!$A:$A,0))*10000+INDEX(编号表!$B:$B,MATCH(J4,编号表!$C:$C,0))*1000+K4</f>
        <v>60011001</v>
      </c>
      <c r="B4" s="7" t="s">
        <v>157</v>
      </c>
      <c r="C4" s="7" t="s">
        <v>158</v>
      </c>
      <c r="D4" s="7" t="s">
        <v>158</v>
      </c>
      <c r="E4" s="7">
        <v>12</v>
      </c>
      <c r="F4" s="7" t="str" cm="1">
        <f t="array" ref="F4">INDEX(编号表!$E:$E,MATCH(J4,编号表!$C:$C,0))</f>
        <v>白色</v>
      </c>
      <c r="G4" s="7">
        <v>2</v>
      </c>
      <c r="H4" s="7" t="s">
        <v>159</v>
      </c>
      <c r="I4" s="7" t="s">
        <v>136</v>
      </c>
      <c r="J4" s="7" t="s">
        <v>137</v>
      </c>
      <c r="K4" s="7">
        <v>1</v>
      </c>
      <c r="L4" s="7">
        <f>COUNTIFS(I4:I$11,I4,J4:J$11,J4)-1</f>
        <v>3</v>
      </c>
      <c r="O4" s="7">
        <v>10</v>
      </c>
      <c r="P4" s="7">
        <v>150000</v>
      </c>
      <c r="Q4" s="7" t="s">
        <v>138</v>
      </c>
      <c r="R4" s="21">
        <v>40140002</v>
      </c>
      <c r="S4" s="21"/>
      <c r="U4" s="7">
        <v>11010001</v>
      </c>
      <c r="V4" s="7">
        <v>11020001</v>
      </c>
      <c r="X4" s="7" t="s">
        <v>139</v>
      </c>
      <c r="Y4" s="7" t="s">
        <v>160</v>
      </c>
      <c r="AA4" s="7">
        <v>50</v>
      </c>
      <c r="AB4" s="7">
        <v>50</v>
      </c>
      <c r="AC4" s="7">
        <v>20</v>
      </c>
      <c r="AD4" s="7">
        <v>30</v>
      </c>
      <c r="AE4" s="7" t="s">
        <v>141</v>
      </c>
      <c r="AG4" s="22"/>
      <c r="AI4" s="23">
        <v>33</v>
      </c>
      <c r="AJ4" s="7" t="s">
        <v>142</v>
      </c>
      <c r="AK4" s="24">
        <v>28</v>
      </c>
      <c r="AL4" s="7" t="s">
        <v>143</v>
      </c>
      <c r="AN4" s="7" t="s">
        <v>144</v>
      </c>
      <c r="AP4" s="7" t="s">
        <v>145</v>
      </c>
      <c r="AR4" s="7" t="s">
        <v>146</v>
      </c>
      <c r="AT4" s="7" t="s">
        <v>147</v>
      </c>
      <c r="AU4" s="7">
        <v>1</v>
      </c>
      <c r="AV4" s="7" t="s">
        <v>148</v>
      </c>
      <c r="AW4" s="7">
        <v>2</v>
      </c>
      <c r="AX4" s="7" t="s">
        <v>149</v>
      </c>
      <c r="AY4" s="7">
        <v>1</v>
      </c>
      <c r="AZ4" s="7" t="s">
        <v>150</v>
      </c>
      <c r="BA4" s="7">
        <v>2</v>
      </c>
      <c r="BB4" s="7" t="s">
        <v>151</v>
      </c>
      <c r="BC4" s="7">
        <v>1</v>
      </c>
      <c r="BD4" s="7" t="s">
        <v>152</v>
      </c>
      <c r="BE4" s="7">
        <v>2</v>
      </c>
      <c r="BF4" s="7" t="s">
        <v>153</v>
      </c>
      <c r="BG4" s="7">
        <v>100</v>
      </c>
      <c r="BH4" s="7" t="s">
        <v>154</v>
      </c>
      <c r="BI4" s="7">
        <v>10</v>
      </c>
      <c r="BJ4" s="7" t="s">
        <v>155</v>
      </c>
      <c r="BK4" s="7">
        <v>200</v>
      </c>
      <c r="BL4" s="20"/>
      <c r="BM4" s="20"/>
      <c r="BN4" s="20">
        <v>1</v>
      </c>
      <c r="BO4" s="20">
        <v>2500</v>
      </c>
      <c r="BP4" s="20">
        <v>2</v>
      </c>
      <c r="BQ4" s="20">
        <v>2500</v>
      </c>
      <c r="BR4" s="20" t="s">
        <v>156</v>
      </c>
    </row>
    <row r="5" s="7" customFormat="1" ht="16.5" spans="1:70">
      <c r="A5" s="7">
        <f>60000000+INDEX(编号表!$B:$B,MATCH(I5,编号表!$A:$A,0))*10000+INDEX(编号表!$B:$B,MATCH(J5,编号表!$C:$C,0))*1000+K5</f>
        <v>60011002</v>
      </c>
      <c r="B5" s="7" t="s">
        <v>161</v>
      </c>
      <c r="C5" s="7" t="s">
        <v>162</v>
      </c>
      <c r="D5" s="7" t="s">
        <v>162</v>
      </c>
      <c r="E5" s="7">
        <v>13</v>
      </c>
      <c r="F5" s="7" t="str" cm="1">
        <f t="array" ref="F5">INDEX(编号表!$E:$E,MATCH(J5,编号表!$C:$C,0))</f>
        <v>白色</v>
      </c>
      <c r="G5" s="7">
        <v>2</v>
      </c>
      <c r="H5" s="7" t="s">
        <v>159</v>
      </c>
      <c r="I5" s="7" t="s">
        <v>136</v>
      </c>
      <c r="J5" s="7" t="s">
        <v>137</v>
      </c>
      <c r="K5" s="7">
        <v>2</v>
      </c>
      <c r="L5" s="7">
        <f>COUNTIFS(I5:I$11,I5,J5:J$11,J5)-1</f>
        <v>2</v>
      </c>
      <c r="O5" s="7">
        <v>10</v>
      </c>
      <c r="P5" s="7">
        <v>300000</v>
      </c>
      <c r="Q5" s="7" t="s">
        <v>138</v>
      </c>
      <c r="R5" s="21">
        <v>40140002</v>
      </c>
      <c r="S5" s="21"/>
      <c r="U5" s="7">
        <v>11010001</v>
      </c>
      <c r="V5" s="7">
        <v>11020001</v>
      </c>
      <c r="X5" s="7" t="s">
        <v>139</v>
      </c>
      <c r="Y5" s="7" t="s">
        <v>163</v>
      </c>
      <c r="AA5" s="7">
        <v>50</v>
      </c>
      <c r="AB5" s="7">
        <v>50</v>
      </c>
      <c r="AC5" s="7">
        <v>20</v>
      </c>
      <c r="AD5" s="7">
        <v>30</v>
      </c>
      <c r="AE5" s="7" t="s">
        <v>141</v>
      </c>
      <c r="AG5" s="22"/>
      <c r="AI5" s="23">
        <v>36</v>
      </c>
      <c r="AJ5" s="7" t="s">
        <v>142</v>
      </c>
      <c r="AK5" s="24">
        <v>39</v>
      </c>
      <c r="AL5" s="7" t="s">
        <v>143</v>
      </c>
      <c r="AN5" s="7" t="s">
        <v>144</v>
      </c>
      <c r="AP5" s="7" t="s">
        <v>145</v>
      </c>
      <c r="AR5" s="7" t="s">
        <v>146</v>
      </c>
      <c r="AT5" s="7" t="s">
        <v>147</v>
      </c>
      <c r="AU5" s="7">
        <v>1</v>
      </c>
      <c r="AV5" s="7" t="s">
        <v>148</v>
      </c>
      <c r="AW5" s="7">
        <v>2</v>
      </c>
      <c r="AX5" s="7" t="s">
        <v>149</v>
      </c>
      <c r="AY5" s="7">
        <v>1</v>
      </c>
      <c r="AZ5" s="7" t="s">
        <v>150</v>
      </c>
      <c r="BA5" s="7">
        <v>2</v>
      </c>
      <c r="BB5" s="7" t="s">
        <v>151</v>
      </c>
      <c r="BC5" s="7">
        <v>1</v>
      </c>
      <c r="BD5" s="7" t="s">
        <v>152</v>
      </c>
      <c r="BE5" s="7">
        <v>2</v>
      </c>
      <c r="BF5" s="7" t="s">
        <v>153</v>
      </c>
      <c r="BG5" s="7">
        <v>100</v>
      </c>
      <c r="BH5" s="7" t="s">
        <v>154</v>
      </c>
      <c r="BI5" s="7">
        <v>10</v>
      </c>
      <c r="BJ5" s="7" t="s">
        <v>155</v>
      </c>
      <c r="BK5" s="7">
        <v>200</v>
      </c>
      <c r="BL5" s="20"/>
      <c r="BM5" s="20"/>
      <c r="BN5" s="20">
        <v>1</v>
      </c>
      <c r="BO5" s="20">
        <v>2500</v>
      </c>
      <c r="BP5" s="20">
        <v>2</v>
      </c>
      <c r="BQ5" s="20">
        <v>2500</v>
      </c>
      <c r="BR5" s="20" t="s">
        <v>156</v>
      </c>
    </row>
    <row r="6" s="7" customFormat="1" ht="16.5" spans="1:70">
      <c r="A6" s="7">
        <f>60000000+INDEX(编号表!$B:$B,MATCH(I6,编号表!$A:$A,0))*10000+INDEX(编号表!$B:$B,MATCH(J6,编号表!$C:$C,0))*1000+K6</f>
        <v>60011003</v>
      </c>
      <c r="B6" s="7" t="s">
        <v>164</v>
      </c>
      <c r="C6" s="7" t="s">
        <v>165</v>
      </c>
      <c r="D6" s="7" t="s">
        <v>165</v>
      </c>
      <c r="E6" s="7">
        <v>10</v>
      </c>
      <c r="F6" s="7" t="str" cm="1">
        <f t="array" ref="F6">INDEX(编号表!$E:$E,MATCH(J6,编号表!$C:$C,0))</f>
        <v>白色</v>
      </c>
      <c r="G6" s="7">
        <v>2</v>
      </c>
      <c r="H6" s="7" t="s">
        <v>159</v>
      </c>
      <c r="I6" s="7" t="s">
        <v>136</v>
      </c>
      <c r="J6" s="7" t="s">
        <v>137</v>
      </c>
      <c r="K6" s="7">
        <v>3</v>
      </c>
      <c r="L6" s="7">
        <f>COUNTIFS(I6:I$11,I6,J6:J$11,J6)-1</f>
        <v>1</v>
      </c>
      <c r="O6" s="7">
        <v>10</v>
      </c>
      <c r="P6" s="7">
        <v>150000</v>
      </c>
      <c r="Q6" s="7" t="s">
        <v>138</v>
      </c>
      <c r="R6" s="21">
        <v>40140002</v>
      </c>
      <c r="U6" s="7">
        <v>11010001</v>
      </c>
      <c r="V6" s="7">
        <v>11020001</v>
      </c>
      <c r="X6" s="7" t="s">
        <v>139</v>
      </c>
      <c r="Y6" s="7" t="s">
        <v>166</v>
      </c>
      <c r="Z6" s="7">
        <v>1.2</v>
      </c>
      <c r="AA6" s="7">
        <v>50</v>
      </c>
      <c r="AB6" s="7">
        <v>50</v>
      </c>
      <c r="AC6" s="7">
        <v>20</v>
      </c>
      <c r="AD6" s="7">
        <v>30</v>
      </c>
      <c r="AE6" s="7" t="s">
        <v>141</v>
      </c>
      <c r="AG6" s="22"/>
      <c r="AI6" s="23">
        <v>26</v>
      </c>
      <c r="AJ6" s="7" t="s">
        <v>142</v>
      </c>
      <c r="AK6" s="24">
        <v>100</v>
      </c>
      <c r="AL6" s="7" t="s">
        <v>143</v>
      </c>
      <c r="AM6" s="7">
        <v>2</v>
      </c>
      <c r="AN6" s="7" t="s">
        <v>144</v>
      </c>
      <c r="AO6" s="7">
        <v>3</v>
      </c>
      <c r="AP6" s="7" t="s">
        <v>145</v>
      </c>
      <c r="AQ6" s="7">
        <v>2</v>
      </c>
      <c r="AR6" s="7" t="s">
        <v>146</v>
      </c>
      <c r="AS6" s="7">
        <v>3</v>
      </c>
      <c r="AT6" s="7" t="s">
        <v>147</v>
      </c>
      <c r="AU6" s="7">
        <v>5</v>
      </c>
      <c r="AV6" s="7" t="s">
        <v>148</v>
      </c>
      <c r="AW6" s="7">
        <v>7</v>
      </c>
      <c r="AX6" s="7" t="s">
        <v>149</v>
      </c>
      <c r="AY6" s="7">
        <v>5</v>
      </c>
      <c r="AZ6" s="7" t="s">
        <v>150</v>
      </c>
      <c r="BA6" s="7">
        <v>7</v>
      </c>
      <c r="BB6" s="7" t="s">
        <v>151</v>
      </c>
      <c r="BC6" s="7">
        <v>0</v>
      </c>
      <c r="BD6" s="7" t="s">
        <v>152</v>
      </c>
      <c r="BE6" s="7">
        <v>0</v>
      </c>
      <c r="BF6" s="7" t="s">
        <v>153</v>
      </c>
      <c r="BG6" s="7">
        <v>100</v>
      </c>
      <c r="BH6" s="7" t="s">
        <v>154</v>
      </c>
      <c r="BI6" s="7">
        <v>10</v>
      </c>
      <c r="BJ6" s="7" t="s">
        <v>155</v>
      </c>
      <c r="BK6" s="7">
        <v>200</v>
      </c>
      <c r="BL6" s="20"/>
      <c r="BM6" s="20"/>
      <c r="BN6" s="20">
        <v>1</v>
      </c>
      <c r="BO6" s="20">
        <v>2500</v>
      </c>
      <c r="BP6" s="20">
        <v>2</v>
      </c>
      <c r="BQ6" s="20">
        <v>2500</v>
      </c>
      <c r="BR6" s="20" t="s">
        <v>156</v>
      </c>
    </row>
    <row r="7" s="7" customFormat="1" spans="1:70">
      <c r="BL7" s="20"/>
      <c r="BM7" s="20"/>
      <c r="BN7" s="20"/>
      <c r="BO7" s="20"/>
      <c r="BP7" s="20"/>
      <c r="BQ7" s="20"/>
      <c r="BR7" s="20"/>
    </row>
    <row r="8" s="7" customFormat="1" spans="1:70">
      <c r="BL8" s="20"/>
      <c r="BM8" s="20"/>
      <c r="BN8" s="20"/>
      <c r="BO8" s="20"/>
      <c r="BP8" s="20"/>
      <c r="BQ8" s="20"/>
      <c r="BR8" s="20"/>
    </row>
    <row r="9" s="7" customFormat="1" spans="1:70">
      <c r="BL9" s="20"/>
      <c r="BM9" s="20"/>
      <c r="BN9" s="20"/>
      <c r="BO9" s="20"/>
      <c r="BP9" s="20"/>
      <c r="BQ9" s="20"/>
      <c r="BR9" s="20"/>
    </row>
    <row r="10" s="7" customFormat="1" spans="1:70">
      <c r="BL10" s="20"/>
      <c r="BM10" s="20"/>
      <c r="BN10" s="20"/>
      <c r="BO10" s="20"/>
      <c r="BP10" s="20"/>
      <c r="BQ10" s="20"/>
      <c r="BR10" s="20"/>
    </row>
    <row r="11" s="7" customFormat="1" ht="13" customHeight="1" spans="1:70">
      <c r="A11" s="7">
        <f>60000000+INDEX(编号表!$B:$B,MATCH(I11,编号表!$A:$A,0))*10000+INDEX(编号表!$B:$B,MATCH(J11,编号表!$C:$C,0))*1000+K11</f>
        <v>60011000</v>
      </c>
      <c r="B11" s="7" t="s">
        <v>133</v>
      </c>
      <c r="C11" s="7" t="s">
        <v>134</v>
      </c>
      <c r="D11" s="7" t="s">
        <v>134</v>
      </c>
      <c r="E11" s="7">
        <v>5</v>
      </c>
      <c r="F11" s="7" t="str" cm="1">
        <f t="array" ref="F11">INDEX(编号表!$E:$E,MATCH(J11,编号表!$C:$C,0))</f>
        <v>白色</v>
      </c>
      <c r="G11" s="7">
        <v>1</v>
      </c>
      <c r="H11" s="7" t="s">
        <v>135</v>
      </c>
      <c r="I11" s="7" t="s">
        <v>136</v>
      </c>
      <c r="J11" s="7" t="s">
        <v>137</v>
      </c>
      <c r="K11" s="7">
        <v>0</v>
      </c>
      <c r="L11" s="7">
        <f>COUNTIFS(I$11:I11,I11,J$11:J11,J11)-1</f>
        <v>0</v>
      </c>
      <c r="O11" s="7">
        <v>10</v>
      </c>
      <c r="P11" s="7">
        <v>100000</v>
      </c>
      <c r="Q11" s="7" t="s">
        <v>138</v>
      </c>
      <c r="R11" s="21">
        <v>40140001</v>
      </c>
      <c r="S11" s="7"/>
      <c r="T11" s="7"/>
      <c r="U11" s="7">
        <v>11010001</v>
      </c>
      <c r="V11" s="7">
        <v>11020001</v>
      </c>
      <c r="X11" s="7" t="s">
        <v>139</v>
      </c>
      <c r="Y11" s="7" t="s">
        <v>140</v>
      </c>
      <c r="Z11" s="7"/>
      <c r="AA11" s="7">
        <v>30</v>
      </c>
      <c r="AB11" s="7">
        <v>30</v>
      </c>
      <c r="AC11" s="7">
        <v>10</v>
      </c>
      <c r="AD11" s="7">
        <v>20</v>
      </c>
      <c r="AE11" s="7" t="s">
        <v>141</v>
      </c>
      <c r="AF11" s="7"/>
      <c r="AG11" s="22"/>
      <c r="AI11" s="23">
        <v>12</v>
      </c>
      <c r="AJ11" s="7" t="s">
        <v>142</v>
      </c>
      <c r="AK11" s="24">
        <v>15</v>
      </c>
      <c r="AL11" s="7" t="s">
        <v>143</v>
      </c>
      <c r="AM11" s="7"/>
      <c r="AN11" s="7" t="s">
        <v>144</v>
      </c>
      <c r="AO11" s="7"/>
      <c r="AP11" s="7" t="s">
        <v>145</v>
      </c>
      <c r="AQ11" s="7"/>
      <c r="AR11" s="7" t="s">
        <v>146</v>
      </c>
      <c r="AS11" s="7"/>
      <c r="AT11" s="7" t="s">
        <v>147</v>
      </c>
      <c r="AU11" s="7">
        <v>1</v>
      </c>
      <c r="AV11" s="7" t="s">
        <v>148</v>
      </c>
      <c r="AW11" s="7">
        <v>2</v>
      </c>
      <c r="AX11" s="7" t="s">
        <v>149</v>
      </c>
      <c r="AY11" s="7">
        <v>1</v>
      </c>
      <c r="AZ11" s="7" t="s">
        <v>150</v>
      </c>
      <c r="BA11" s="7">
        <v>2</v>
      </c>
      <c r="BB11" s="7" t="s">
        <v>151</v>
      </c>
      <c r="BC11" s="7">
        <v>1</v>
      </c>
      <c r="BD11" s="7" t="s">
        <v>152</v>
      </c>
      <c r="BE11" s="7">
        <v>2</v>
      </c>
      <c r="BF11" s="7" t="s">
        <v>153</v>
      </c>
      <c r="BG11" s="7">
        <v>100</v>
      </c>
      <c r="BH11" s="7" t="s">
        <v>154</v>
      </c>
      <c r="BI11" s="7">
        <v>10</v>
      </c>
      <c r="BJ11" s="7" t="s">
        <v>155</v>
      </c>
      <c r="BK11" s="7">
        <v>200</v>
      </c>
      <c r="BL11" s="20"/>
      <c r="BM11" s="20"/>
      <c r="BN11" s="20">
        <v>1</v>
      </c>
      <c r="BO11" s="20">
        <v>2500</v>
      </c>
      <c r="BP11" s="20">
        <v>2</v>
      </c>
      <c r="BQ11" s="20">
        <v>2500</v>
      </c>
      <c r="BR11" s="20" t="s">
        <v>156</v>
      </c>
    </row>
    <row r="12" s="7" customFormat="1" ht="16.5" spans="1:70">
      <c r="A12" s="7">
        <f>60000000+INDEX(编号表!$B:$B,MATCH(I12,编号表!$A:$A,0))*10000+INDEX(编号表!$B:$B,MATCH(J12,编号表!$C:$C,0))*1000+K12</f>
        <v>60011001</v>
      </c>
      <c r="B12" s="7" t="s">
        <v>157</v>
      </c>
      <c r="C12" s="7" t="s">
        <v>158</v>
      </c>
      <c r="D12" s="7" t="s">
        <v>158</v>
      </c>
      <c r="E12" s="7">
        <v>12</v>
      </c>
      <c r="F12" s="7" t="str" cm="1">
        <f t="array" ref="F12">INDEX(编号表!$E:$E,MATCH(J12,编号表!$C:$C,0))</f>
        <v>白色</v>
      </c>
      <c r="G12" s="7">
        <v>2</v>
      </c>
      <c r="H12" s="7" t="s">
        <v>159</v>
      </c>
      <c r="I12" s="7" t="s">
        <v>136</v>
      </c>
      <c r="J12" s="7" t="s">
        <v>137</v>
      </c>
      <c r="K12" s="7">
        <v>1</v>
      </c>
      <c r="L12" s="7">
        <f>COUNTIFS(I$11:I12,I12,J$11:J12,J12)-1</f>
        <v>1</v>
      </c>
      <c r="O12" s="7">
        <v>10</v>
      </c>
      <c r="P12" s="7">
        <v>150000</v>
      </c>
      <c r="Q12" s="7" t="s">
        <v>138</v>
      </c>
      <c r="R12" s="21">
        <v>40140002</v>
      </c>
      <c r="S12" s="21"/>
      <c r="T12" s="7"/>
      <c r="U12" s="7">
        <v>11010001</v>
      </c>
      <c r="V12" s="7">
        <v>11020001</v>
      </c>
      <c r="X12" s="7" t="s">
        <v>139</v>
      </c>
      <c r="Y12" s="7" t="s">
        <v>160</v>
      </c>
      <c r="Z12" s="7"/>
      <c r="AA12" s="7">
        <v>50</v>
      </c>
      <c r="AB12" s="7">
        <v>50</v>
      </c>
      <c r="AC12" s="7">
        <v>20</v>
      </c>
      <c r="AD12" s="7">
        <v>30</v>
      </c>
      <c r="AE12" s="7" t="s">
        <v>141</v>
      </c>
      <c r="AF12" s="7"/>
      <c r="AG12" s="22"/>
      <c r="AI12" s="23">
        <v>33</v>
      </c>
      <c r="AJ12" s="7" t="s">
        <v>142</v>
      </c>
      <c r="AK12" s="24">
        <v>28</v>
      </c>
      <c r="AL12" s="7" t="s">
        <v>143</v>
      </c>
      <c r="AM12" s="7"/>
      <c r="AN12" s="7" t="s">
        <v>144</v>
      </c>
      <c r="AO12" s="7"/>
      <c r="AP12" s="7" t="s">
        <v>145</v>
      </c>
      <c r="AQ12" s="7"/>
      <c r="AR12" s="7" t="s">
        <v>146</v>
      </c>
      <c r="AS12" s="7"/>
      <c r="AT12" s="7" t="s">
        <v>147</v>
      </c>
      <c r="AU12" s="7">
        <v>1</v>
      </c>
      <c r="AV12" s="7" t="s">
        <v>148</v>
      </c>
      <c r="AW12" s="7">
        <v>2</v>
      </c>
      <c r="AX12" s="7" t="s">
        <v>149</v>
      </c>
      <c r="AY12" s="7">
        <v>1</v>
      </c>
      <c r="AZ12" s="7" t="s">
        <v>150</v>
      </c>
      <c r="BA12" s="7">
        <v>2</v>
      </c>
      <c r="BB12" s="7" t="s">
        <v>151</v>
      </c>
      <c r="BC12" s="7">
        <v>1</v>
      </c>
      <c r="BD12" s="7" t="s">
        <v>152</v>
      </c>
      <c r="BE12" s="7">
        <v>2</v>
      </c>
      <c r="BF12" s="7" t="s">
        <v>153</v>
      </c>
      <c r="BG12" s="7">
        <v>100</v>
      </c>
      <c r="BH12" s="7" t="s">
        <v>154</v>
      </c>
      <c r="BI12" s="7">
        <v>10</v>
      </c>
      <c r="BJ12" s="7" t="s">
        <v>155</v>
      </c>
      <c r="BK12" s="7">
        <v>200</v>
      </c>
      <c r="BL12" s="20"/>
      <c r="BM12" s="20"/>
      <c r="BN12" s="20">
        <v>1</v>
      </c>
      <c r="BO12" s="20">
        <v>2500</v>
      </c>
      <c r="BP12" s="20">
        <v>2</v>
      </c>
      <c r="BQ12" s="20">
        <v>2500</v>
      </c>
      <c r="BR12" s="20" t="s">
        <v>156</v>
      </c>
    </row>
    <row r="13" s="7" customFormat="1" ht="16.5" spans="1:70">
      <c r="A13" s="7">
        <f>60000000+INDEX(编号表!$B:$B,MATCH(I13,编号表!$A:$A,0))*10000+INDEX(编号表!$B:$B,MATCH(J13,编号表!$C:$C,0))*1000+K13</f>
        <v>60011002</v>
      </c>
      <c r="B13" s="7" t="s">
        <v>161</v>
      </c>
      <c r="C13" s="7" t="s">
        <v>162</v>
      </c>
      <c r="D13" s="7" t="s">
        <v>162</v>
      </c>
      <c r="E13" s="7">
        <v>13</v>
      </c>
      <c r="F13" s="7" t="str" cm="1">
        <f t="array" ref="F13">INDEX(编号表!$E:$E,MATCH(J13,编号表!$C:$C,0))</f>
        <v>白色</v>
      </c>
      <c r="G13" s="7">
        <v>2</v>
      </c>
      <c r="H13" s="7" t="s">
        <v>159</v>
      </c>
      <c r="I13" s="7" t="s">
        <v>136</v>
      </c>
      <c r="J13" s="7" t="s">
        <v>137</v>
      </c>
      <c r="K13" s="7">
        <v>2</v>
      </c>
      <c r="L13" s="7">
        <f>COUNTIFS(I$11:I13,I13,J$11:J13,J13)-1</f>
        <v>2</v>
      </c>
      <c r="O13" s="7">
        <v>10</v>
      </c>
      <c r="P13" s="7">
        <v>300000</v>
      </c>
      <c r="Q13" s="7" t="s">
        <v>138</v>
      </c>
      <c r="R13" s="21">
        <v>40140002</v>
      </c>
      <c r="S13" s="21"/>
      <c r="T13" s="7"/>
      <c r="U13" s="7">
        <v>11010001</v>
      </c>
      <c r="V13" s="7">
        <v>11020001</v>
      </c>
      <c r="X13" s="7" t="s">
        <v>139</v>
      </c>
      <c r="Y13" s="7" t="s">
        <v>163</v>
      </c>
      <c r="Z13" s="7"/>
      <c r="AA13" s="7">
        <v>50</v>
      </c>
      <c r="AB13" s="7">
        <v>50</v>
      </c>
      <c r="AC13" s="7">
        <v>20</v>
      </c>
      <c r="AD13" s="7">
        <v>30</v>
      </c>
      <c r="AE13" s="7" t="s">
        <v>141</v>
      </c>
      <c r="AF13" s="7"/>
      <c r="AG13" s="22"/>
      <c r="AI13" s="23">
        <v>36</v>
      </c>
      <c r="AJ13" s="7" t="s">
        <v>142</v>
      </c>
      <c r="AK13" s="24">
        <v>39</v>
      </c>
      <c r="AL13" s="7" t="s">
        <v>143</v>
      </c>
      <c r="AM13" s="7"/>
      <c r="AN13" s="7" t="s">
        <v>144</v>
      </c>
      <c r="AO13" s="7"/>
      <c r="AP13" s="7" t="s">
        <v>145</v>
      </c>
      <c r="AQ13" s="7"/>
      <c r="AR13" s="7" t="s">
        <v>146</v>
      </c>
      <c r="AS13" s="7"/>
      <c r="AT13" s="7" t="s">
        <v>147</v>
      </c>
      <c r="AU13" s="7">
        <v>1</v>
      </c>
      <c r="AV13" s="7" t="s">
        <v>148</v>
      </c>
      <c r="AW13" s="7">
        <v>2</v>
      </c>
      <c r="AX13" s="7" t="s">
        <v>149</v>
      </c>
      <c r="AY13" s="7">
        <v>1</v>
      </c>
      <c r="AZ13" s="7" t="s">
        <v>150</v>
      </c>
      <c r="BA13" s="7">
        <v>2</v>
      </c>
      <c r="BB13" s="7" t="s">
        <v>151</v>
      </c>
      <c r="BC13" s="7">
        <v>1</v>
      </c>
      <c r="BD13" s="7" t="s">
        <v>152</v>
      </c>
      <c r="BE13" s="7">
        <v>2</v>
      </c>
      <c r="BF13" s="7" t="s">
        <v>153</v>
      </c>
      <c r="BG13" s="7">
        <v>100</v>
      </c>
      <c r="BH13" s="7" t="s">
        <v>154</v>
      </c>
      <c r="BI13" s="7">
        <v>10</v>
      </c>
      <c r="BJ13" s="7" t="s">
        <v>155</v>
      </c>
      <c r="BK13" s="7">
        <v>200</v>
      </c>
      <c r="BL13" s="20"/>
      <c r="BM13" s="20"/>
      <c r="BN13" s="20">
        <v>1</v>
      </c>
      <c r="BO13" s="20">
        <v>2500</v>
      </c>
      <c r="BP13" s="20">
        <v>2</v>
      </c>
      <c r="BQ13" s="20">
        <v>2500</v>
      </c>
      <c r="BR13" s="20" t="s">
        <v>156</v>
      </c>
    </row>
    <row r="14" s="7" customFormat="1" ht="16.5" spans="1:70">
      <c r="A14" s="7">
        <f>60000000+INDEX(编号表!$B:$B,MATCH(I14,编号表!$A:$A,0))*10000+INDEX(编号表!$B:$B,MATCH(J14,编号表!$C:$C,0))*1000+K14</f>
        <v>60011003</v>
      </c>
      <c r="B14" s="7" t="s">
        <v>164</v>
      </c>
      <c r="C14" s="7" t="s">
        <v>165</v>
      </c>
      <c r="D14" s="7" t="s">
        <v>165</v>
      </c>
      <c r="E14" s="7">
        <v>10</v>
      </c>
      <c r="F14" s="7" t="str" cm="1">
        <f t="array" ref="F14">INDEX(编号表!$E:$E,MATCH(J14,编号表!$C:$C,0))</f>
        <v>白色</v>
      </c>
      <c r="G14" s="7">
        <v>2</v>
      </c>
      <c r="H14" s="7" t="s">
        <v>159</v>
      </c>
      <c r="I14" s="7" t="s">
        <v>136</v>
      </c>
      <c r="J14" s="7" t="s">
        <v>137</v>
      </c>
      <c r="K14" s="7">
        <v>3</v>
      </c>
      <c r="L14" s="7">
        <f>COUNTIFS(I$11:I14,I14,J$11:J14,J14)-1</f>
        <v>3</v>
      </c>
      <c r="O14" s="7">
        <v>10</v>
      </c>
      <c r="P14" s="7">
        <v>150000</v>
      </c>
      <c r="Q14" s="7" t="s">
        <v>138</v>
      </c>
      <c r="R14" s="21">
        <v>40140002</v>
      </c>
      <c r="S14" s="7"/>
      <c r="T14" s="7"/>
      <c r="U14" s="7">
        <v>11010001</v>
      </c>
      <c r="V14" s="7">
        <v>11020001</v>
      </c>
      <c r="X14" s="7" t="s">
        <v>139</v>
      </c>
      <c r="Y14" s="7" t="s">
        <v>166</v>
      </c>
      <c r="Z14" s="7">
        <v>1.2</v>
      </c>
      <c r="AA14" s="7">
        <v>50</v>
      </c>
      <c r="AB14" s="7">
        <v>50</v>
      </c>
      <c r="AC14" s="7">
        <v>20</v>
      </c>
      <c r="AD14" s="7">
        <v>30</v>
      </c>
      <c r="AE14" s="7" t="s">
        <v>141</v>
      </c>
      <c r="AF14" s="7"/>
      <c r="AG14" s="22"/>
      <c r="AI14" s="23">
        <v>26</v>
      </c>
      <c r="AJ14" s="7" t="s">
        <v>142</v>
      </c>
      <c r="AK14" s="24">
        <v>100</v>
      </c>
      <c r="AL14" s="7" t="s">
        <v>143</v>
      </c>
      <c r="AM14" s="7">
        <v>2</v>
      </c>
      <c r="AN14" s="7" t="s">
        <v>144</v>
      </c>
      <c r="AO14" s="7">
        <v>3</v>
      </c>
      <c r="AP14" s="7" t="s">
        <v>145</v>
      </c>
      <c r="AQ14" s="7">
        <v>2</v>
      </c>
      <c r="AR14" s="7" t="s">
        <v>146</v>
      </c>
      <c r="AS14" s="7">
        <v>3</v>
      </c>
      <c r="AT14" s="7" t="s">
        <v>147</v>
      </c>
      <c r="AU14" s="7">
        <v>5</v>
      </c>
      <c r="AV14" s="7" t="s">
        <v>148</v>
      </c>
      <c r="AW14" s="7">
        <v>7</v>
      </c>
      <c r="AX14" s="7" t="s">
        <v>149</v>
      </c>
      <c r="AY14" s="7">
        <v>5</v>
      </c>
      <c r="AZ14" s="7" t="s">
        <v>150</v>
      </c>
      <c r="BA14" s="7">
        <v>7</v>
      </c>
      <c r="BB14" s="7" t="s">
        <v>151</v>
      </c>
      <c r="BC14" s="7">
        <v>0</v>
      </c>
      <c r="BD14" s="7" t="s">
        <v>152</v>
      </c>
      <c r="BE14" s="7">
        <v>0</v>
      </c>
      <c r="BF14" s="7" t="s">
        <v>153</v>
      </c>
      <c r="BG14" s="7">
        <v>100</v>
      </c>
      <c r="BH14" s="7" t="s">
        <v>154</v>
      </c>
      <c r="BI14" s="7">
        <v>10</v>
      </c>
      <c r="BJ14" s="7" t="s">
        <v>155</v>
      </c>
      <c r="BK14" s="7">
        <v>200</v>
      </c>
      <c r="BL14" s="20"/>
      <c r="BM14" s="20"/>
      <c r="BN14" s="20">
        <v>1</v>
      </c>
      <c r="BO14" s="20">
        <v>2500</v>
      </c>
      <c r="BP14" s="20">
        <v>2</v>
      </c>
      <c r="BQ14" s="20">
        <v>2500</v>
      </c>
      <c r="BR14" s="20" t="s">
        <v>156</v>
      </c>
    </row>
    <row r="15" s="7" customFormat="1" ht="16.5" spans="1:70">
      <c r="A15" s="7">
        <f>60000000+INDEX(编号表!$B:$B,MATCH(I15,编号表!$A:$A,0))*10000+INDEX(编号表!$B:$B,MATCH(J15,编号表!$C:$C,0))*1000+K15</f>
        <v>60011004</v>
      </c>
      <c r="B15" s="7" t="s">
        <v>167</v>
      </c>
      <c r="C15" s="7" t="s">
        <v>168</v>
      </c>
      <c r="D15" s="7" t="s">
        <v>168</v>
      </c>
      <c r="E15" s="7">
        <v>12</v>
      </c>
      <c r="F15" s="7" t="str" cm="1">
        <f t="array" ref="F15">INDEX(编号表!$E:$E,MATCH(J15,编号表!$C:$C,0))</f>
        <v>白色</v>
      </c>
      <c r="G15" s="7">
        <v>2</v>
      </c>
      <c r="H15" s="7" t="s">
        <v>159</v>
      </c>
      <c r="I15" s="7" t="s">
        <v>136</v>
      </c>
      <c r="J15" s="7" t="s">
        <v>137</v>
      </c>
      <c r="K15" s="7">
        <v>4</v>
      </c>
      <c r="L15" s="7">
        <f>COUNTIFS(I$11:I15,I15,J$11:J15,J15)-1</f>
        <v>4</v>
      </c>
      <c r="O15" s="7">
        <v>10</v>
      </c>
      <c r="P15" s="7">
        <v>150000</v>
      </c>
      <c r="Q15" s="7" t="s">
        <v>138</v>
      </c>
      <c r="R15" s="21">
        <v>40140002</v>
      </c>
      <c r="S15" s="7"/>
      <c r="T15" s="7"/>
      <c r="U15" s="7">
        <v>11010001</v>
      </c>
      <c r="V15" s="7">
        <v>11020001</v>
      </c>
      <c r="X15" s="7" t="s">
        <v>139</v>
      </c>
      <c r="Y15" s="7" t="s">
        <v>169</v>
      </c>
      <c r="Z15" s="7"/>
      <c r="AA15" s="7">
        <v>50</v>
      </c>
      <c r="AB15" s="7">
        <v>50</v>
      </c>
      <c r="AC15" s="7">
        <v>20</v>
      </c>
      <c r="AD15" s="7">
        <v>30</v>
      </c>
      <c r="AE15" s="7" t="s">
        <v>141</v>
      </c>
      <c r="AF15" s="7"/>
      <c r="AG15" s="22"/>
      <c r="AI15" s="23">
        <v>33</v>
      </c>
      <c r="AJ15" s="7" t="s">
        <v>142</v>
      </c>
      <c r="AK15" s="24">
        <v>125</v>
      </c>
      <c r="AL15" s="7" t="s">
        <v>143</v>
      </c>
      <c r="AM15" s="7">
        <v>3</v>
      </c>
      <c r="AN15" s="7" t="s">
        <v>144</v>
      </c>
      <c r="AO15" s="7">
        <v>4</v>
      </c>
      <c r="AP15" s="7" t="s">
        <v>145</v>
      </c>
      <c r="AQ15" s="7">
        <v>3</v>
      </c>
      <c r="AR15" s="7" t="s">
        <v>146</v>
      </c>
      <c r="AS15" s="7">
        <v>4</v>
      </c>
      <c r="AT15" s="7" t="s">
        <v>147</v>
      </c>
      <c r="AU15" s="7">
        <v>7</v>
      </c>
      <c r="AV15" s="7" t="s">
        <v>148</v>
      </c>
      <c r="AW15" s="7">
        <v>9</v>
      </c>
      <c r="AX15" s="7" t="s">
        <v>149</v>
      </c>
      <c r="AY15" s="7">
        <v>7</v>
      </c>
      <c r="AZ15" s="7" t="s">
        <v>150</v>
      </c>
      <c r="BA15" s="7">
        <v>9</v>
      </c>
      <c r="BB15" s="7" t="s">
        <v>151</v>
      </c>
      <c r="BC15" s="7">
        <v>0</v>
      </c>
      <c r="BD15" s="7" t="s">
        <v>152</v>
      </c>
      <c r="BE15" s="7">
        <v>0</v>
      </c>
      <c r="BF15" s="7" t="s">
        <v>153</v>
      </c>
      <c r="BG15" s="7">
        <v>100</v>
      </c>
      <c r="BH15" s="7" t="s">
        <v>154</v>
      </c>
      <c r="BI15" s="7">
        <v>10</v>
      </c>
      <c r="BJ15" s="7" t="s">
        <v>155</v>
      </c>
      <c r="BK15" s="7">
        <v>200</v>
      </c>
      <c r="BL15" s="20"/>
      <c r="BM15" s="20"/>
      <c r="BN15" s="20">
        <v>1</v>
      </c>
      <c r="BO15" s="20">
        <v>2500</v>
      </c>
      <c r="BP15" s="20">
        <v>2</v>
      </c>
      <c r="BQ15" s="20">
        <v>2500</v>
      </c>
      <c r="BR15" s="20" t="s">
        <v>156</v>
      </c>
    </row>
    <row r="16" s="7" customFormat="1" ht="16.5" spans="1:70">
      <c r="A16" s="7">
        <f>60000000+INDEX(编号表!$B:$B,MATCH(I16,编号表!$A:$A,0))*10000+INDEX(编号表!$B:$B,MATCH(J16,编号表!$C:$C,0))*1000+K16</f>
        <v>60011005</v>
      </c>
      <c r="B16" s="7" t="s">
        <v>170</v>
      </c>
      <c r="C16" s="7" t="s">
        <v>171</v>
      </c>
      <c r="D16" s="7" t="s">
        <v>171</v>
      </c>
      <c r="E16" s="7">
        <v>13</v>
      </c>
      <c r="F16" s="7" t="str">
        <f t="array" ref="F16">INDEX(编号表!$E:$E,MATCH(J16,编号表!$C:$C,0))</f>
        <v>白色</v>
      </c>
      <c r="G16" s="7">
        <v>3</v>
      </c>
      <c r="H16" s="7" t="s">
        <v>172</v>
      </c>
      <c r="I16" s="7" t="s">
        <v>136</v>
      </c>
      <c r="J16" s="7" t="s">
        <v>137</v>
      </c>
      <c r="K16" s="7">
        <v>5</v>
      </c>
      <c r="L16" s="7">
        <f>COUNTIFS(I$11:I16,I16,J$11:J16,J16)-1</f>
        <v>5</v>
      </c>
      <c r="O16" s="7">
        <v>10</v>
      </c>
      <c r="P16" s="7">
        <v>150000</v>
      </c>
      <c r="Q16" s="7" t="s">
        <v>138</v>
      </c>
      <c r="R16" s="21">
        <v>40140002</v>
      </c>
      <c r="S16" s="21"/>
      <c r="T16" s="7"/>
      <c r="U16" s="7">
        <v>11010001</v>
      </c>
      <c r="V16" s="7">
        <v>11020001</v>
      </c>
      <c r="X16" s="7" t="s">
        <v>139</v>
      </c>
      <c r="Y16" s="7" t="s">
        <v>173</v>
      </c>
      <c r="Z16" s="7">
        <v>1.2</v>
      </c>
      <c r="AA16" s="7">
        <v>80</v>
      </c>
      <c r="AB16" s="7">
        <v>80</v>
      </c>
      <c r="AC16" s="7">
        <v>20</v>
      </c>
      <c r="AD16" s="7">
        <v>30</v>
      </c>
      <c r="AE16" s="7" t="s">
        <v>141</v>
      </c>
      <c r="AF16" s="7"/>
      <c r="AG16" s="22"/>
      <c r="AI16" s="23">
        <v>36</v>
      </c>
      <c r="AJ16" s="7" t="s">
        <v>142</v>
      </c>
      <c r="AK16" s="24">
        <v>140</v>
      </c>
      <c r="AL16" s="7" t="s">
        <v>143</v>
      </c>
      <c r="AM16" s="7">
        <v>3</v>
      </c>
      <c r="AN16" s="7" t="s">
        <v>144</v>
      </c>
      <c r="AO16" s="7">
        <v>5</v>
      </c>
      <c r="AP16" s="7" t="s">
        <v>145</v>
      </c>
      <c r="AQ16" s="7">
        <v>3</v>
      </c>
      <c r="AR16" s="7" t="s">
        <v>146</v>
      </c>
      <c r="AS16" s="7">
        <v>4</v>
      </c>
      <c r="AT16" s="7" t="s">
        <v>147</v>
      </c>
      <c r="AU16" s="7">
        <v>7</v>
      </c>
      <c r="AV16" s="7" t="s">
        <v>148</v>
      </c>
      <c r="AW16" s="7">
        <v>10</v>
      </c>
      <c r="AX16" s="7" t="s">
        <v>149</v>
      </c>
      <c r="AY16" s="7">
        <v>7</v>
      </c>
      <c r="AZ16" s="7" t="s">
        <v>150</v>
      </c>
      <c r="BA16" s="7">
        <v>10</v>
      </c>
      <c r="BB16" s="7" t="s">
        <v>151</v>
      </c>
      <c r="BC16" s="7">
        <v>0</v>
      </c>
      <c r="BD16" s="7" t="s">
        <v>152</v>
      </c>
      <c r="BE16" s="7">
        <v>0</v>
      </c>
      <c r="BF16" s="7" t="s">
        <v>153</v>
      </c>
      <c r="BG16" s="7">
        <v>100</v>
      </c>
      <c r="BH16" s="7" t="s">
        <v>154</v>
      </c>
      <c r="BI16" s="7">
        <v>10</v>
      </c>
      <c r="BJ16" s="7" t="s">
        <v>155</v>
      </c>
      <c r="BK16" s="7">
        <v>200</v>
      </c>
      <c r="BL16" s="20"/>
      <c r="BM16" s="20"/>
      <c r="BN16" s="20">
        <v>1</v>
      </c>
      <c r="BO16" s="20">
        <v>2500</v>
      </c>
      <c r="BP16" s="20">
        <v>2</v>
      </c>
      <c r="BQ16" s="20">
        <v>2500</v>
      </c>
      <c r="BR16" s="20" t="s">
        <v>156</v>
      </c>
    </row>
    <row r="17" s="7" customFormat="1" ht="16.5" spans="1:70">
      <c r="A17" s="7">
        <f>60000000+INDEX(编号表!$B:$B,MATCH(I17,编号表!$A:$A,0))*10000+INDEX(编号表!$B:$B,MATCH(J17,编号表!$C:$C,0))*1000+K17</f>
        <v>60011006</v>
      </c>
      <c r="B17" s="7" t="s">
        <v>174</v>
      </c>
      <c r="C17" s="7" t="s">
        <v>175</v>
      </c>
      <c r="D17" s="7" t="s">
        <v>175</v>
      </c>
      <c r="E17" s="7">
        <v>13</v>
      </c>
      <c r="F17" s="7" t="str">
        <f t="array" ref="F17">INDEX(编号表!$E:$E,MATCH(J17,编号表!$C:$C,0))</f>
        <v>白色</v>
      </c>
      <c r="G17" s="7">
        <v>3</v>
      </c>
      <c r="H17" s="7" t="s">
        <v>172</v>
      </c>
      <c r="I17" s="7" t="s">
        <v>136</v>
      </c>
      <c r="J17" s="7" t="s">
        <v>137</v>
      </c>
      <c r="K17" s="7">
        <v>6</v>
      </c>
      <c r="L17" s="7">
        <f>COUNTIFS(I$11:I17,I17,J$11:J17,J17)-1</f>
        <v>6</v>
      </c>
      <c r="O17" s="7">
        <v>10</v>
      </c>
      <c r="P17" s="7">
        <v>150000</v>
      </c>
      <c r="Q17" s="7" t="s">
        <v>138</v>
      </c>
      <c r="R17" s="21">
        <v>40140002</v>
      </c>
      <c r="S17" s="21"/>
      <c r="T17" s="7"/>
      <c r="U17" s="7">
        <v>11010001</v>
      </c>
      <c r="V17" s="7">
        <v>11020001</v>
      </c>
      <c r="X17" s="7" t="s">
        <v>139</v>
      </c>
      <c r="Y17" s="7" t="s">
        <v>176</v>
      </c>
      <c r="Z17" s="7">
        <v>1.2</v>
      </c>
      <c r="AA17" s="7">
        <v>80</v>
      </c>
      <c r="AB17" s="7">
        <v>80</v>
      </c>
      <c r="AC17" s="7">
        <v>20</v>
      </c>
      <c r="AD17" s="7">
        <v>30</v>
      </c>
      <c r="AE17" s="7" t="s">
        <v>141</v>
      </c>
      <c r="AF17" s="7"/>
      <c r="AG17" s="22"/>
      <c r="AI17" s="23">
        <v>36</v>
      </c>
      <c r="AJ17" s="7" t="s">
        <v>142</v>
      </c>
      <c r="AK17" s="24">
        <v>140</v>
      </c>
      <c r="AL17" s="7" t="s">
        <v>143</v>
      </c>
      <c r="AM17" s="7">
        <v>3</v>
      </c>
      <c r="AN17" s="7" t="s">
        <v>144</v>
      </c>
      <c r="AO17" s="7">
        <v>5</v>
      </c>
      <c r="AP17" s="7" t="s">
        <v>145</v>
      </c>
      <c r="AQ17" s="7">
        <v>3</v>
      </c>
      <c r="AR17" s="7" t="s">
        <v>146</v>
      </c>
      <c r="AS17" s="7">
        <v>4</v>
      </c>
      <c r="AT17" s="7" t="s">
        <v>147</v>
      </c>
      <c r="AU17" s="7">
        <v>7</v>
      </c>
      <c r="AV17" s="7" t="s">
        <v>148</v>
      </c>
      <c r="AW17" s="7">
        <v>10</v>
      </c>
      <c r="AX17" s="7" t="s">
        <v>149</v>
      </c>
      <c r="AY17" s="7">
        <v>7</v>
      </c>
      <c r="AZ17" s="7" t="s">
        <v>150</v>
      </c>
      <c r="BA17" s="7">
        <v>10</v>
      </c>
      <c r="BB17" s="7" t="s">
        <v>151</v>
      </c>
      <c r="BC17" s="7">
        <v>0</v>
      </c>
      <c r="BD17" s="7" t="s">
        <v>152</v>
      </c>
      <c r="BE17" s="7">
        <v>0</v>
      </c>
      <c r="BF17" s="7" t="s">
        <v>153</v>
      </c>
      <c r="BG17" s="7">
        <v>100</v>
      </c>
      <c r="BH17" s="7" t="s">
        <v>154</v>
      </c>
      <c r="BI17" s="7">
        <v>10</v>
      </c>
      <c r="BJ17" s="7" t="s">
        <v>155</v>
      </c>
      <c r="BK17" s="7">
        <v>200</v>
      </c>
      <c r="BL17" s="20"/>
      <c r="BM17" s="20"/>
      <c r="BN17" s="20">
        <v>1</v>
      </c>
      <c r="BO17" s="20">
        <v>2500</v>
      </c>
      <c r="BP17" s="20">
        <v>2</v>
      </c>
      <c r="BQ17" s="20">
        <v>2500</v>
      </c>
      <c r="BR17" s="20" t="s">
        <v>156</v>
      </c>
    </row>
    <row r="18" s="7" customFormat="1" ht="16.5" spans="1:70">
      <c r="A18" s="7">
        <f>60000000+INDEX(编号表!$B:$B,MATCH(I18,编号表!$A:$A,0))*10000+INDEX(编号表!$B:$B,MATCH(J18,编号表!$C:$C,0))*1000+K18</f>
        <v>60011007</v>
      </c>
      <c r="B18" s="7" t="s">
        <v>177</v>
      </c>
      <c r="C18" s="7" t="s">
        <v>178</v>
      </c>
      <c r="D18" s="7" t="s">
        <v>178</v>
      </c>
      <c r="E18" s="7">
        <v>15</v>
      </c>
      <c r="F18" s="7" t="str">
        <f t="array" ref="F18">INDEX(编号表!$E:$E,MATCH(J18,编号表!$C:$C,0))</f>
        <v>白色</v>
      </c>
      <c r="G18" s="7">
        <v>3</v>
      </c>
      <c r="H18" s="7" t="s">
        <v>172</v>
      </c>
      <c r="I18" s="7" t="s">
        <v>136</v>
      </c>
      <c r="J18" s="7" t="s">
        <v>137</v>
      </c>
      <c r="K18" s="7">
        <v>7</v>
      </c>
      <c r="L18" s="7">
        <f>COUNTIFS(I$11:I18,I18,J$11:J18,J18)-1</f>
        <v>7</v>
      </c>
      <c r="O18" s="7">
        <v>10</v>
      </c>
      <c r="P18" s="7">
        <v>300000</v>
      </c>
      <c r="Q18" s="7" t="s">
        <v>138</v>
      </c>
      <c r="R18" s="21">
        <v>40140002</v>
      </c>
      <c r="S18" s="7"/>
      <c r="T18" s="7"/>
      <c r="U18" s="7">
        <v>11010001</v>
      </c>
      <c r="V18" s="7">
        <v>11020001</v>
      </c>
      <c r="X18" s="7" t="s">
        <v>139</v>
      </c>
      <c r="Y18" s="7" t="s">
        <v>179</v>
      </c>
      <c r="Z18" s="7">
        <v>0.8</v>
      </c>
      <c r="AA18" s="7">
        <v>80</v>
      </c>
      <c r="AB18" s="7">
        <v>80</v>
      </c>
      <c r="AC18" s="7">
        <v>20</v>
      </c>
      <c r="AD18" s="7">
        <v>30</v>
      </c>
      <c r="AE18" s="7" t="s">
        <v>141</v>
      </c>
      <c r="AF18" s="7"/>
      <c r="AG18" s="22"/>
      <c r="AI18" s="23">
        <v>44</v>
      </c>
      <c r="AJ18" s="7" t="s">
        <v>142</v>
      </c>
      <c r="AK18" s="24">
        <v>175</v>
      </c>
      <c r="AL18" s="7" t="s">
        <v>143</v>
      </c>
      <c r="AM18" s="7">
        <v>4</v>
      </c>
      <c r="AN18" s="7" t="s">
        <v>144</v>
      </c>
      <c r="AO18" s="7">
        <v>5</v>
      </c>
      <c r="AP18" s="7" t="s">
        <v>145</v>
      </c>
      <c r="AQ18" s="7">
        <v>3</v>
      </c>
      <c r="AR18" s="7" t="s">
        <v>146</v>
      </c>
      <c r="AS18" s="7">
        <v>5</v>
      </c>
      <c r="AT18" s="7" t="s">
        <v>147</v>
      </c>
      <c r="AU18" s="7">
        <v>9</v>
      </c>
      <c r="AV18" s="7" t="s">
        <v>148</v>
      </c>
      <c r="AW18" s="7">
        <v>12</v>
      </c>
      <c r="AX18" s="7" t="s">
        <v>149</v>
      </c>
      <c r="AY18" s="7">
        <v>9</v>
      </c>
      <c r="AZ18" s="7" t="s">
        <v>150</v>
      </c>
      <c r="BA18" s="7">
        <v>12</v>
      </c>
      <c r="BB18" s="7" t="s">
        <v>151</v>
      </c>
      <c r="BC18" s="7">
        <v>1</v>
      </c>
      <c r="BD18" s="7" t="s">
        <v>152</v>
      </c>
      <c r="BE18" s="7">
        <v>2</v>
      </c>
      <c r="BF18" s="7" t="s">
        <v>153</v>
      </c>
      <c r="BG18" s="7">
        <v>100</v>
      </c>
      <c r="BH18" s="7" t="s">
        <v>154</v>
      </c>
      <c r="BI18" s="7">
        <v>10</v>
      </c>
      <c r="BJ18" s="7" t="s">
        <v>155</v>
      </c>
      <c r="BK18" s="7">
        <v>200</v>
      </c>
      <c r="BL18" s="20"/>
      <c r="BM18" s="20"/>
      <c r="BN18" s="20">
        <v>1</v>
      </c>
      <c r="BO18" s="20">
        <v>2500</v>
      </c>
      <c r="BP18" s="20">
        <v>2</v>
      </c>
      <c r="BQ18" s="20">
        <v>2500</v>
      </c>
      <c r="BR18" s="20" t="s">
        <v>156</v>
      </c>
    </row>
    <row r="19" s="7" customFormat="1" ht="16.5" spans="1:70">
      <c r="A19" s="7">
        <f>60000000+INDEX(编号表!$B:$B,MATCH(I19,编号表!$A:$A,0))*10000+INDEX(编号表!$B:$B,MATCH(J19,编号表!$C:$C,0))*1000+K19</f>
        <v>60011008</v>
      </c>
      <c r="B19" s="7" t="s">
        <v>180</v>
      </c>
      <c r="C19" s="7" t="s">
        <v>181</v>
      </c>
      <c r="D19" s="7" t="s">
        <v>181</v>
      </c>
      <c r="E19" s="7">
        <v>16</v>
      </c>
      <c r="F19" s="7" t="str">
        <f t="array" ref="F19">INDEX(编号表!$E:$E,MATCH(J19,编号表!$C:$C,0))</f>
        <v>白色</v>
      </c>
      <c r="G19" s="7">
        <v>3</v>
      </c>
      <c r="H19" s="7" t="s">
        <v>172</v>
      </c>
      <c r="I19" s="7" t="s">
        <v>136</v>
      </c>
      <c r="J19" s="7" t="s">
        <v>137</v>
      </c>
      <c r="K19" s="7">
        <v>8</v>
      </c>
      <c r="L19" s="7">
        <f>COUNTIFS(I$11:I19,I19,J$11:J19,J19)-1</f>
        <v>8</v>
      </c>
      <c r="O19" s="7">
        <v>10</v>
      </c>
      <c r="P19" s="7">
        <v>150000</v>
      </c>
      <c r="Q19" s="7" t="s">
        <v>138</v>
      </c>
      <c r="R19" s="21">
        <v>40140002</v>
      </c>
      <c r="S19" s="7"/>
      <c r="T19" s="7"/>
      <c r="U19" s="7">
        <v>11010001</v>
      </c>
      <c r="V19" s="7">
        <v>11020001</v>
      </c>
      <c r="X19" s="7" t="s">
        <v>139</v>
      </c>
      <c r="Y19" s="7" t="s">
        <v>182</v>
      </c>
      <c r="Z19" s="7">
        <v>0.8</v>
      </c>
      <c r="AA19" s="7">
        <v>80</v>
      </c>
      <c r="AB19" s="7">
        <v>80</v>
      </c>
      <c r="AC19" s="7">
        <v>20</v>
      </c>
      <c r="AD19" s="7">
        <v>30</v>
      </c>
      <c r="AE19" s="7" t="s">
        <v>141</v>
      </c>
      <c r="AF19" s="7"/>
      <c r="AG19" s="22"/>
      <c r="AI19" s="23">
        <v>49</v>
      </c>
      <c r="AJ19" s="7" t="s">
        <v>142</v>
      </c>
      <c r="AK19" s="24">
        <v>190</v>
      </c>
      <c r="AL19" s="7" t="s">
        <v>143</v>
      </c>
      <c r="AM19" s="7">
        <v>4</v>
      </c>
      <c r="AN19" s="7" t="s">
        <v>144</v>
      </c>
      <c r="AO19" s="7">
        <v>6</v>
      </c>
      <c r="AP19" s="7" t="s">
        <v>145</v>
      </c>
      <c r="AQ19" s="7">
        <v>4</v>
      </c>
      <c r="AR19" s="7" t="s">
        <v>146</v>
      </c>
      <c r="AS19" s="7">
        <v>5</v>
      </c>
      <c r="AT19" s="7" t="s">
        <v>147</v>
      </c>
      <c r="AU19" s="7">
        <v>10</v>
      </c>
      <c r="AV19" s="7" t="s">
        <v>148</v>
      </c>
      <c r="AW19" s="7">
        <v>13</v>
      </c>
      <c r="AX19" s="7" t="s">
        <v>149</v>
      </c>
      <c r="AY19" s="7">
        <v>10</v>
      </c>
      <c r="AZ19" s="7" t="s">
        <v>150</v>
      </c>
      <c r="BA19" s="7">
        <v>13</v>
      </c>
      <c r="BB19" s="7" t="s">
        <v>151</v>
      </c>
      <c r="BC19" s="7">
        <v>0</v>
      </c>
      <c r="BD19" s="7" t="s">
        <v>152</v>
      </c>
      <c r="BE19" s="7">
        <v>0</v>
      </c>
      <c r="BF19" s="7" t="s">
        <v>153</v>
      </c>
      <c r="BG19" s="7">
        <v>100</v>
      </c>
      <c r="BH19" s="7" t="s">
        <v>154</v>
      </c>
      <c r="BI19" s="7">
        <v>10</v>
      </c>
      <c r="BJ19" s="7" t="s">
        <v>155</v>
      </c>
      <c r="BK19" s="7">
        <v>200</v>
      </c>
      <c r="BL19" s="20"/>
      <c r="BM19" s="20"/>
      <c r="BN19" s="20">
        <v>1</v>
      </c>
      <c r="BO19" s="20">
        <v>2500</v>
      </c>
      <c r="BP19" s="20">
        <v>2</v>
      </c>
      <c r="BQ19" s="20">
        <v>2500</v>
      </c>
      <c r="BR19" s="20" t="s">
        <v>156</v>
      </c>
    </row>
    <row r="20" s="7" customFormat="1" ht="16.5" spans="1:70">
      <c r="A20" s="7">
        <f>60000000+INDEX(编号表!$B:$B,MATCH(I20,编号表!$A:$A,0))*10000+INDEX(编号表!$B:$B,MATCH(J20,编号表!$C:$C,0))*1000+K20</f>
        <v>60011009</v>
      </c>
      <c r="B20" s="7" t="s">
        <v>183</v>
      </c>
      <c r="C20" s="7" t="s">
        <v>184</v>
      </c>
      <c r="D20" s="7" t="s">
        <v>184</v>
      </c>
      <c r="E20" s="7">
        <v>16</v>
      </c>
      <c r="F20" s="7" t="str">
        <f t="array" ref="F20">INDEX(编号表!$E:$E,MATCH(J20,编号表!$C:$C,0))</f>
        <v>白色</v>
      </c>
      <c r="G20" s="7">
        <v>4</v>
      </c>
      <c r="H20" s="7" t="s">
        <v>185</v>
      </c>
      <c r="I20" s="7" t="s">
        <v>136</v>
      </c>
      <c r="J20" s="7" t="s">
        <v>137</v>
      </c>
      <c r="K20" s="7">
        <v>9</v>
      </c>
      <c r="L20" s="7">
        <f>COUNTIFS(I$11:I20,I20,J$11:J20,J20)-1</f>
        <v>9</v>
      </c>
      <c r="O20" s="7">
        <v>10</v>
      </c>
      <c r="P20" s="7">
        <v>150000</v>
      </c>
      <c r="Q20" s="7" t="s">
        <v>138</v>
      </c>
      <c r="R20" s="21">
        <v>40140002</v>
      </c>
      <c r="S20" s="7"/>
      <c r="T20" s="7"/>
      <c r="U20" s="7">
        <v>11010001</v>
      </c>
      <c r="V20" s="7">
        <v>11020001</v>
      </c>
      <c r="X20" s="7" t="s">
        <v>139</v>
      </c>
      <c r="Y20" s="7" t="s">
        <v>186</v>
      </c>
      <c r="Z20" s="7">
        <v>1.2</v>
      </c>
      <c r="AA20" s="7">
        <v>80</v>
      </c>
      <c r="AB20" s="7">
        <v>80</v>
      </c>
      <c r="AC20" s="7">
        <v>20</v>
      </c>
      <c r="AD20" s="7">
        <v>30</v>
      </c>
      <c r="AE20" s="7" t="s">
        <v>141</v>
      </c>
      <c r="AF20" s="7"/>
      <c r="AG20" s="22"/>
      <c r="AI20" s="23">
        <v>49</v>
      </c>
      <c r="AJ20" s="7" t="s">
        <v>142</v>
      </c>
      <c r="AK20" s="24">
        <v>190</v>
      </c>
      <c r="AL20" s="7" t="s">
        <v>143</v>
      </c>
      <c r="AM20" s="7">
        <v>4</v>
      </c>
      <c r="AN20" s="7" t="s">
        <v>144</v>
      </c>
      <c r="AO20" s="7">
        <v>6</v>
      </c>
      <c r="AP20" s="7" t="s">
        <v>145</v>
      </c>
      <c r="AQ20" s="7">
        <v>4</v>
      </c>
      <c r="AR20" s="7" t="s">
        <v>146</v>
      </c>
      <c r="AS20" s="7">
        <v>5</v>
      </c>
      <c r="AT20" s="7" t="s">
        <v>147</v>
      </c>
      <c r="AU20" s="7">
        <v>9</v>
      </c>
      <c r="AV20" s="7" t="s">
        <v>148</v>
      </c>
      <c r="AW20" s="7">
        <v>12</v>
      </c>
      <c r="AX20" s="7" t="s">
        <v>149</v>
      </c>
      <c r="AY20" s="7">
        <v>9</v>
      </c>
      <c r="AZ20" s="7" t="s">
        <v>150</v>
      </c>
      <c r="BA20" s="7">
        <v>12</v>
      </c>
      <c r="BB20" s="7" t="s">
        <v>151</v>
      </c>
      <c r="BC20" s="7">
        <v>0</v>
      </c>
      <c r="BD20" s="7" t="s">
        <v>152</v>
      </c>
      <c r="BE20" s="7">
        <v>0</v>
      </c>
      <c r="BF20" s="7" t="s">
        <v>153</v>
      </c>
      <c r="BG20" s="7">
        <v>100</v>
      </c>
      <c r="BH20" s="7" t="s">
        <v>154</v>
      </c>
      <c r="BI20" s="7">
        <v>10</v>
      </c>
      <c r="BJ20" s="7" t="s">
        <v>155</v>
      </c>
      <c r="BK20" s="7">
        <v>200</v>
      </c>
      <c r="BL20" s="20"/>
      <c r="BM20" s="20"/>
      <c r="BN20" s="20">
        <v>1</v>
      </c>
      <c r="BO20" s="20">
        <v>2500</v>
      </c>
      <c r="BP20" s="20">
        <v>2</v>
      </c>
      <c r="BQ20" s="20">
        <v>2500</v>
      </c>
      <c r="BR20" s="20" t="s">
        <v>156</v>
      </c>
    </row>
    <row r="21" s="7" customFormat="1" ht="16.5" spans="1:70">
      <c r="A21" s="7">
        <f>60000000+INDEX(编号表!$B:$B,MATCH(I21,编号表!$A:$A,0))*10000+INDEX(编号表!$B:$B,MATCH(J21,编号表!$C:$C,0))*1000+K21</f>
        <v>60011010</v>
      </c>
      <c r="B21" s="7" t="s">
        <v>187</v>
      </c>
      <c r="C21" s="7" t="s">
        <v>188</v>
      </c>
      <c r="D21" s="7" t="s">
        <v>188</v>
      </c>
      <c r="E21" s="7">
        <v>18</v>
      </c>
      <c r="F21" s="7" t="str">
        <f t="array" ref="F21">INDEX(编号表!$E:$E,MATCH(J21,编号表!$C:$C,0))</f>
        <v>白色</v>
      </c>
      <c r="G21" s="7">
        <v>4</v>
      </c>
      <c r="H21" s="7" t="s">
        <v>185</v>
      </c>
      <c r="I21" s="7" t="s">
        <v>136</v>
      </c>
      <c r="J21" s="7" t="s">
        <v>137</v>
      </c>
      <c r="K21" s="7">
        <v>10</v>
      </c>
      <c r="L21" s="7">
        <f>COUNTIFS(I$11:I21,I21,J$11:J21,J21)-1</f>
        <v>10</v>
      </c>
      <c r="O21" s="7">
        <v>10</v>
      </c>
      <c r="P21" s="7">
        <v>300000</v>
      </c>
      <c r="Q21" s="7" t="s">
        <v>138</v>
      </c>
      <c r="R21" s="21">
        <v>40140002</v>
      </c>
      <c r="S21" s="7"/>
      <c r="T21" s="7"/>
      <c r="U21" s="7">
        <v>11010001</v>
      </c>
      <c r="V21" s="7">
        <v>11020001</v>
      </c>
      <c r="X21" s="7" t="s">
        <v>139</v>
      </c>
      <c r="Y21" s="7" t="s">
        <v>189</v>
      </c>
      <c r="Z21" s="7">
        <v>0.8</v>
      </c>
      <c r="AA21" s="7">
        <v>50</v>
      </c>
      <c r="AB21" s="7">
        <v>50</v>
      </c>
      <c r="AC21" s="7">
        <v>20</v>
      </c>
      <c r="AD21" s="7">
        <v>30</v>
      </c>
      <c r="AE21" s="7" t="s">
        <v>141</v>
      </c>
      <c r="AF21" s="7"/>
      <c r="AG21" s="22"/>
      <c r="AI21" s="23">
        <v>58</v>
      </c>
      <c r="AJ21" s="7" t="s">
        <v>142</v>
      </c>
      <c r="AK21" s="24">
        <v>230</v>
      </c>
      <c r="AL21" s="7" t="s">
        <v>143</v>
      </c>
      <c r="AM21" s="7">
        <v>5</v>
      </c>
      <c r="AN21" s="7" t="s">
        <v>144</v>
      </c>
      <c r="AO21" s="7">
        <v>7</v>
      </c>
      <c r="AP21" s="7" t="s">
        <v>145</v>
      </c>
      <c r="AQ21" s="7">
        <v>4</v>
      </c>
      <c r="AR21" s="7" t="s">
        <v>146</v>
      </c>
      <c r="AS21" s="7">
        <v>6</v>
      </c>
      <c r="AT21" s="7" t="s">
        <v>147</v>
      </c>
      <c r="AU21" s="7">
        <v>11</v>
      </c>
      <c r="AV21" s="7" t="s">
        <v>148</v>
      </c>
      <c r="AW21" s="7">
        <v>14</v>
      </c>
      <c r="AX21" s="7" t="s">
        <v>149</v>
      </c>
      <c r="AY21" s="7">
        <v>11</v>
      </c>
      <c r="AZ21" s="7" t="s">
        <v>150</v>
      </c>
      <c r="BA21" s="7">
        <v>14</v>
      </c>
      <c r="BB21" s="7" t="s">
        <v>151</v>
      </c>
      <c r="BC21" s="7">
        <v>1</v>
      </c>
      <c r="BD21" s="7" t="s">
        <v>152</v>
      </c>
      <c r="BE21" s="7">
        <v>2</v>
      </c>
      <c r="BF21" s="7" t="s">
        <v>153</v>
      </c>
      <c r="BG21" s="7">
        <v>100</v>
      </c>
      <c r="BH21" s="7" t="s">
        <v>154</v>
      </c>
      <c r="BI21" s="7">
        <v>10</v>
      </c>
      <c r="BJ21" s="7" t="s">
        <v>155</v>
      </c>
      <c r="BK21" s="7">
        <v>200</v>
      </c>
      <c r="BL21" s="20"/>
      <c r="BM21" s="20"/>
      <c r="BN21" s="20">
        <v>1</v>
      </c>
      <c r="BO21" s="20">
        <v>2500</v>
      </c>
      <c r="BP21" s="20">
        <v>2</v>
      </c>
      <c r="BQ21" s="20">
        <v>2500</v>
      </c>
      <c r="BR21" s="20" t="s">
        <v>156</v>
      </c>
    </row>
    <row r="22" s="7" customFormat="1" ht="16.5" spans="1:70">
      <c r="A22" s="7">
        <f>60000000+INDEX(编号表!$B:$B,MATCH(I22,编号表!$A:$A,0))*10000+INDEX(编号表!$B:$B,MATCH(J22,编号表!$C:$C,0))*1000+K22</f>
        <v>60011011</v>
      </c>
      <c r="B22" s="7" t="s">
        <v>190</v>
      </c>
      <c r="C22" s="7" t="s">
        <v>191</v>
      </c>
      <c r="D22" s="7" t="s">
        <v>191</v>
      </c>
      <c r="E22" s="7">
        <v>17</v>
      </c>
      <c r="F22" s="7" t="str">
        <f t="array" ref="F22">INDEX(编号表!$E:$E,MATCH(J22,编号表!$C:$C,0))</f>
        <v>白色</v>
      </c>
      <c r="G22" s="7">
        <v>4</v>
      </c>
      <c r="H22" s="7" t="s">
        <v>185</v>
      </c>
      <c r="I22" s="7" t="s">
        <v>136</v>
      </c>
      <c r="J22" s="7" t="s">
        <v>137</v>
      </c>
      <c r="K22" s="7">
        <v>11</v>
      </c>
      <c r="L22" s="7">
        <f>COUNTIFS(I$11:I22,I22,J$11:J22,J22)-1</f>
        <v>11</v>
      </c>
      <c r="O22" s="7">
        <v>10</v>
      </c>
      <c r="P22" s="7">
        <v>300000</v>
      </c>
      <c r="Q22" s="7" t="s">
        <v>138</v>
      </c>
      <c r="R22" s="21">
        <v>40140002</v>
      </c>
      <c r="S22" s="7"/>
      <c r="T22" s="7"/>
      <c r="U22" s="7">
        <v>11010001</v>
      </c>
      <c r="V22" s="7">
        <v>11020001</v>
      </c>
      <c r="X22" s="7" t="s">
        <v>139</v>
      </c>
      <c r="Y22" s="7" t="s">
        <v>192</v>
      </c>
      <c r="Z22" s="7">
        <v>0.8</v>
      </c>
      <c r="AA22" s="7">
        <v>80</v>
      </c>
      <c r="AB22" s="7">
        <v>80</v>
      </c>
      <c r="AC22" s="7">
        <v>20</v>
      </c>
      <c r="AD22" s="7">
        <v>30</v>
      </c>
      <c r="AE22" s="7" t="s">
        <v>141</v>
      </c>
      <c r="AF22" s="7"/>
      <c r="AG22" s="22"/>
      <c r="AI22" s="23">
        <v>53</v>
      </c>
      <c r="AJ22" s="7" t="s">
        <v>142</v>
      </c>
      <c r="AK22" s="24">
        <v>210</v>
      </c>
      <c r="AL22" s="7" t="s">
        <v>143</v>
      </c>
      <c r="AM22" s="7">
        <v>4</v>
      </c>
      <c r="AN22" s="7" t="s">
        <v>144</v>
      </c>
      <c r="AO22" s="7">
        <v>6</v>
      </c>
      <c r="AP22" s="7" t="s">
        <v>145</v>
      </c>
      <c r="AQ22" s="7">
        <v>4</v>
      </c>
      <c r="AR22" s="7" t="s">
        <v>146</v>
      </c>
      <c r="AS22" s="7">
        <v>6</v>
      </c>
      <c r="AT22" s="7" t="s">
        <v>147</v>
      </c>
      <c r="AU22" s="7">
        <v>11</v>
      </c>
      <c r="AV22" s="7" t="s">
        <v>148</v>
      </c>
      <c r="AW22" s="7">
        <v>15</v>
      </c>
      <c r="AX22" s="7" t="s">
        <v>149</v>
      </c>
      <c r="AY22" s="7">
        <v>11</v>
      </c>
      <c r="AZ22" s="7" t="s">
        <v>150</v>
      </c>
      <c r="BA22" s="7">
        <v>15</v>
      </c>
      <c r="BB22" s="7" t="s">
        <v>151</v>
      </c>
      <c r="BC22" s="7">
        <v>1</v>
      </c>
      <c r="BD22" s="7" t="s">
        <v>152</v>
      </c>
      <c r="BE22" s="7">
        <v>2</v>
      </c>
      <c r="BF22" s="7" t="s">
        <v>153</v>
      </c>
      <c r="BG22" s="7">
        <v>100</v>
      </c>
      <c r="BH22" s="7" t="s">
        <v>154</v>
      </c>
      <c r="BI22" s="7">
        <v>10</v>
      </c>
      <c r="BJ22" s="7" t="s">
        <v>155</v>
      </c>
      <c r="BK22" s="7">
        <v>200</v>
      </c>
      <c r="BL22" s="20"/>
      <c r="BM22" s="20"/>
      <c r="BN22" s="20">
        <v>1</v>
      </c>
      <c r="BO22" s="20">
        <v>2500</v>
      </c>
      <c r="BP22" s="20">
        <v>2</v>
      </c>
      <c r="BQ22" s="20">
        <v>2500</v>
      </c>
      <c r="BR22" s="20" t="s">
        <v>156</v>
      </c>
    </row>
    <row r="23" s="7" customFormat="1" ht="16.5" spans="1:70">
      <c r="A23" s="7">
        <f>60000000+INDEX(编号表!$B:$B,MATCH(I23,编号表!$A:$A,0))*10000+INDEX(编号表!$B:$B,MATCH(J23,编号表!$C:$C,0))*1000+K23</f>
        <v>60011012</v>
      </c>
      <c r="B23" s="7" t="s">
        <v>193</v>
      </c>
      <c r="C23" s="7" t="s">
        <v>194</v>
      </c>
      <c r="D23" s="7" t="s">
        <v>194</v>
      </c>
      <c r="E23" s="7">
        <v>18</v>
      </c>
      <c r="F23" s="7" t="str">
        <f t="array" ref="F23">INDEX(编号表!$E:$E,MATCH(J23,编号表!$C:$C,0))</f>
        <v>白色</v>
      </c>
      <c r="G23" s="7">
        <v>4</v>
      </c>
      <c r="H23" s="7" t="s">
        <v>185</v>
      </c>
      <c r="I23" s="7" t="s">
        <v>136</v>
      </c>
      <c r="J23" s="7" t="s">
        <v>137</v>
      </c>
      <c r="K23" s="7">
        <v>12</v>
      </c>
      <c r="L23" s="7">
        <f>COUNTIFS(I$11:I23,I23,J$11:J23,J23)-1</f>
        <v>12</v>
      </c>
      <c r="O23" s="7">
        <v>10</v>
      </c>
      <c r="P23" s="7">
        <v>300000</v>
      </c>
      <c r="Q23" s="7" t="s">
        <v>138</v>
      </c>
      <c r="R23" s="21">
        <v>40140002</v>
      </c>
      <c r="S23" s="7"/>
      <c r="T23" s="7"/>
      <c r="U23" s="7">
        <v>11010001</v>
      </c>
      <c r="V23" s="7">
        <v>11020001</v>
      </c>
      <c r="X23" s="7" t="s">
        <v>139</v>
      </c>
      <c r="Y23" s="7" t="s">
        <v>195</v>
      </c>
      <c r="Z23" s="7">
        <v>0.8</v>
      </c>
      <c r="AA23" s="7">
        <v>80</v>
      </c>
      <c r="AB23" s="7">
        <v>80</v>
      </c>
      <c r="AC23" s="7">
        <v>20</v>
      </c>
      <c r="AD23" s="7">
        <v>30</v>
      </c>
      <c r="AE23" s="7" t="s">
        <v>141</v>
      </c>
      <c r="AF23" s="7"/>
      <c r="AG23" s="22"/>
      <c r="AI23" s="23">
        <v>58</v>
      </c>
      <c r="AJ23" s="7" t="s">
        <v>142</v>
      </c>
      <c r="AK23" s="24">
        <v>230</v>
      </c>
      <c r="AL23" s="7" t="s">
        <v>143</v>
      </c>
      <c r="AM23" s="7">
        <v>5</v>
      </c>
      <c r="AN23" s="7" t="s">
        <v>144</v>
      </c>
      <c r="AO23" s="7">
        <v>7</v>
      </c>
      <c r="AP23" s="7" t="s">
        <v>145</v>
      </c>
      <c r="AQ23" s="7">
        <v>4</v>
      </c>
      <c r="AR23" s="7" t="s">
        <v>146</v>
      </c>
      <c r="AS23" s="7">
        <v>6</v>
      </c>
      <c r="AT23" s="7" t="s">
        <v>147</v>
      </c>
      <c r="AU23" s="7">
        <v>12</v>
      </c>
      <c r="AV23" s="7" t="s">
        <v>148</v>
      </c>
      <c r="AW23" s="7">
        <v>16</v>
      </c>
      <c r="AX23" s="7" t="s">
        <v>149</v>
      </c>
      <c r="AY23" s="7">
        <v>12</v>
      </c>
      <c r="AZ23" s="7" t="s">
        <v>150</v>
      </c>
      <c r="BA23" s="7">
        <v>16</v>
      </c>
      <c r="BB23" s="7" t="s">
        <v>151</v>
      </c>
      <c r="BC23" s="7">
        <v>1</v>
      </c>
      <c r="BD23" s="7" t="s">
        <v>152</v>
      </c>
      <c r="BE23" s="7">
        <v>2</v>
      </c>
      <c r="BF23" s="7" t="s">
        <v>153</v>
      </c>
      <c r="BG23" s="7">
        <v>100</v>
      </c>
      <c r="BH23" s="7" t="s">
        <v>154</v>
      </c>
      <c r="BI23" s="7">
        <v>10</v>
      </c>
      <c r="BJ23" s="7" t="s">
        <v>155</v>
      </c>
      <c r="BK23" s="7">
        <v>200</v>
      </c>
      <c r="BL23" s="20"/>
      <c r="BM23" s="20"/>
      <c r="BN23" s="20">
        <v>1</v>
      </c>
      <c r="BO23" s="20">
        <v>2500</v>
      </c>
      <c r="BP23" s="20">
        <v>2</v>
      </c>
      <c r="BQ23" s="20">
        <v>2500</v>
      </c>
      <c r="BR23" s="20" t="s">
        <v>156</v>
      </c>
    </row>
    <row r="24" s="7" customFormat="1" ht="16.5" spans="1:70">
      <c r="A24" s="7">
        <f>60000000+INDEX(编号表!$B:$B,MATCH(I24,编号表!$A:$A,0))*10000+INDEX(编号表!$B:$B,MATCH(J24,编号表!$C:$C,0))*1000+K24</f>
        <v>60011013</v>
      </c>
      <c r="B24" s="7" t="s">
        <v>196</v>
      </c>
      <c r="C24" s="7" t="s">
        <v>197</v>
      </c>
      <c r="D24" s="7" t="s">
        <v>197</v>
      </c>
      <c r="E24" s="7">
        <v>16</v>
      </c>
      <c r="F24" s="7" t="str">
        <f t="array" ref="F24">INDEX(编号表!$E:$E,MATCH(J24,编号表!$C:$C,0))</f>
        <v>白色</v>
      </c>
      <c r="G24" s="7">
        <v>4</v>
      </c>
      <c r="H24" s="7" t="s">
        <v>185</v>
      </c>
      <c r="I24" s="7" t="s">
        <v>136</v>
      </c>
      <c r="J24" s="7" t="s">
        <v>137</v>
      </c>
      <c r="K24" s="7">
        <v>13</v>
      </c>
      <c r="L24" s="7">
        <f>COUNTIFS(I$11:I24,I24,J$11:J24,J24)-1</f>
        <v>13</v>
      </c>
      <c r="O24" s="7">
        <v>10</v>
      </c>
      <c r="P24" s="7">
        <v>150000</v>
      </c>
      <c r="Q24" s="7" t="s">
        <v>138</v>
      </c>
      <c r="R24" s="21">
        <v>40140002</v>
      </c>
      <c r="S24" s="21"/>
      <c r="T24" s="7"/>
      <c r="U24" s="7">
        <v>11010001</v>
      </c>
      <c r="V24" s="7">
        <v>11020001</v>
      </c>
      <c r="X24" s="7" t="s">
        <v>139</v>
      </c>
      <c r="Y24" s="7" t="s">
        <v>198</v>
      </c>
      <c r="Z24" s="7"/>
      <c r="AA24" s="7">
        <v>80</v>
      </c>
      <c r="AB24" s="7">
        <v>80</v>
      </c>
      <c r="AC24" s="7">
        <v>20</v>
      </c>
      <c r="AD24" s="7">
        <v>30</v>
      </c>
      <c r="AE24" s="7" t="s">
        <v>141</v>
      </c>
      <c r="AF24" s="7"/>
      <c r="AG24" s="22"/>
      <c r="AI24" s="23">
        <v>49</v>
      </c>
      <c r="AJ24" s="7" t="s">
        <v>142</v>
      </c>
      <c r="AK24" s="24">
        <v>190</v>
      </c>
      <c r="AL24" s="7" t="s">
        <v>143</v>
      </c>
      <c r="AM24" s="7">
        <v>4</v>
      </c>
      <c r="AN24" s="7" t="s">
        <v>144</v>
      </c>
      <c r="AO24" s="7">
        <v>6</v>
      </c>
      <c r="AP24" s="7" t="s">
        <v>145</v>
      </c>
      <c r="AQ24" s="7">
        <v>4</v>
      </c>
      <c r="AR24" s="7" t="s">
        <v>146</v>
      </c>
      <c r="AS24" s="7">
        <v>5</v>
      </c>
      <c r="AT24" s="7" t="s">
        <v>147</v>
      </c>
      <c r="AU24" s="7">
        <v>9</v>
      </c>
      <c r="AV24" s="7" t="s">
        <v>148</v>
      </c>
      <c r="AW24" s="7">
        <v>12</v>
      </c>
      <c r="AX24" s="7" t="s">
        <v>149</v>
      </c>
      <c r="AY24" s="7">
        <v>9</v>
      </c>
      <c r="AZ24" s="7" t="s">
        <v>150</v>
      </c>
      <c r="BA24" s="7">
        <v>12</v>
      </c>
      <c r="BB24" s="7" t="s">
        <v>151</v>
      </c>
      <c r="BC24" s="7">
        <v>0</v>
      </c>
      <c r="BD24" s="7" t="s">
        <v>152</v>
      </c>
      <c r="BE24" s="7">
        <v>0</v>
      </c>
      <c r="BF24" s="7" t="s">
        <v>153</v>
      </c>
      <c r="BG24" s="7">
        <v>100</v>
      </c>
      <c r="BH24" s="7" t="s">
        <v>154</v>
      </c>
      <c r="BI24" s="7">
        <v>10</v>
      </c>
      <c r="BJ24" s="7" t="s">
        <v>155</v>
      </c>
      <c r="BK24" s="7">
        <v>200</v>
      </c>
      <c r="BL24" s="20"/>
      <c r="BM24" s="20"/>
      <c r="BN24" s="20">
        <v>1</v>
      </c>
      <c r="BO24" s="20">
        <v>2500</v>
      </c>
      <c r="BP24" s="20">
        <v>2</v>
      </c>
      <c r="BQ24" s="20">
        <v>2500</v>
      </c>
      <c r="BR24" s="20" t="s">
        <v>156</v>
      </c>
    </row>
    <row r="25" s="7" customFormat="1" ht="16.5" spans="1:70">
      <c r="A25" s="7">
        <f>60000000+INDEX(编号表!$B:$B,MATCH(I25,编号表!$A:$A,0))*10000+INDEX(编号表!$B:$B,MATCH(J25,编号表!$C:$C,0))*1000+K25</f>
        <v>60011014</v>
      </c>
      <c r="B25" s="7" t="s">
        <v>199</v>
      </c>
      <c r="C25" s="7" t="s">
        <v>200</v>
      </c>
      <c r="D25" s="7" t="s">
        <v>200</v>
      </c>
      <c r="E25" s="7">
        <v>18</v>
      </c>
      <c r="F25" s="7" t="str">
        <f t="array" ref="F25">INDEX(编号表!$E:$E,MATCH(J25,编号表!$C:$C,0))</f>
        <v>白色</v>
      </c>
      <c r="G25" s="7">
        <v>5</v>
      </c>
      <c r="H25" s="7" t="s">
        <v>201</v>
      </c>
      <c r="I25" s="7" t="s">
        <v>136</v>
      </c>
      <c r="J25" s="7" t="s">
        <v>137</v>
      </c>
      <c r="K25" s="7">
        <v>14</v>
      </c>
      <c r="L25" s="7">
        <f>COUNTIFS(I$11:I25,I25,J$11:J25,J25)-1</f>
        <v>14</v>
      </c>
      <c r="O25" s="7">
        <v>10</v>
      </c>
      <c r="P25" s="7">
        <v>300000</v>
      </c>
      <c r="Q25" s="7" t="s">
        <v>138</v>
      </c>
      <c r="R25" s="21">
        <v>40140002</v>
      </c>
      <c r="S25" s="7"/>
      <c r="T25" s="7"/>
      <c r="U25" s="7">
        <v>11010001</v>
      </c>
      <c r="V25" s="7">
        <v>11020001</v>
      </c>
      <c r="X25" s="7" t="s">
        <v>139</v>
      </c>
      <c r="Y25" s="7" t="s">
        <v>202</v>
      </c>
      <c r="Z25" s="7">
        <v>1.2</v>
      </c>
      <c r="AA25" s="7">
        <v>50</v>
      </c>
      <c r="AB25" s="7">
        <v>50</v>
      </c>
      <c r="AC25" s="7">
        <v>20</v>
      </c>
      <c r="AD25" s="7">
        <v>30</v>
      </c>
      <c r="AE25" s="7" t="s">
        <v>141</v>
      </c>
      <c r="AF25" s="7"/>
      <c r="AG25" s="22"/>
      <c r="AI25" s="23">
        <v>58</v>
      </c>
      <c r="AJ25" s="7" t="s">
        <v>142</v>
      </c>
      <c r="AK25" s="24">
        <v>230</v>
      </c>
      <c r="AL25" s="7" t="s">
        <v>143</v>
      </c>
      <c r="AM25" s="7">
        <v>5</v>
      </c>
      <c r="AN25" s="7" t="s">
        <v>144</v>
      </c>
      <c r="AO25" s="7">
        <v>7</v>
      </c>
      <c r="AP25" s="7" t="s">
        <v>145</v>
      </c>
      <c r="AQ25" s="7">
        <v>4</v>
      </c>
      <c r="AR25" s="7" t="s">
        <v>146</v>
      </c>
      <c r="AS25" s="7">
        <v>6</v>
      </c>
      <c r="AT25" s="7" t="s">
        <v>147</v>
      </c>
      <c r="AU25" s="7">
        <v>11</v>
      </c>
      <c r="AV25" s="7" t="s">
        <v>148</v>
      </c>
      <c r="AW25" s="7">
        <v>14</v>
      </c>
      <c r="AX25" s="7" t="s">
        <v>149</v>
      </c>
      <c r="AY25" s="7">
        <v>11</v>
      </c>
      <c r="AZ25" s="7" t="s">
        <v>150</v>
      </c>
      <c r="BA25" s="7">
        <v>14</v>
      </c>
      <c r="BB25" s="7" t="s">
        <v>151</v>
      </c>
      <c r="BC25" s="7">
        <v>1</v>
      </c>
      <c r="BD25" s="7" t="s">
        <v>152</v>
      </c>
      <c r="BE25" s="7">
        <v>2</v>
      </c>
      <c r="BF25" s="7" t="s">
        <v>153</v>
      </c>
      <c r="BG25" s="7">
        <v>100</v>
      </c>
      <c r="BH25" s="7" t="s">
        <v>154</v>
      </c>
      <c r="BI25" s="7">
        <v>10</v>
      </c>
      <c r="BJ25" s="7" t="s">
        <v>155</v>
      </c>
      <c r="BK25" s="7">
        <v>200</v>
      </c>
      <c r="BL25" s="20"/>
      <c r="BM25" s="20"/>
      <c r="BN25" s="20">
        <v>1</v>
      </c>
      <c r="BO25" s="20">
        <v>2500</v>
      </c>
      <c r="BP25" s="20">
        <v>2</v>
      </c>
      <c r="BQ25" s="20">
        <v>2500</v>
      </c>
      <c r="BR25" s="20" t="s">
        <v>156</v>
      </c>
    </row>
    <row r="26" s="7" customFormat="1" ht="16.5" spans="1:70">
      <c r="A26" s="7">
        <f>60000000+INDEX(编号表!$B:$B,MATCH(I26,编号表!$A:$A,0))*10000+INDEX(编号表!$B:$B,MATCH(J26,编号表!$C:$C,0))*1000+K26</f>
        <v>60011015</v>
      </c>
      <c r="B26" s="7" t="s">
        <v>203</v>
      </c>
      <c r="C26" s="7" t="s">
        <v>204</v>
      </c>
      <c r="D26" s="7" t="s">
        <v>204</v>
      </c>
      <c r="E26" s="7">
        <v>18</v>
      </c>
      <c r="F26" s="7" t="str">
        <f t="array" ref="F26">INDEX(编号表!$E:$E,MATCH(J26,编号表!$C:$C,0))</f>
        <v>白色</v>
      </c>
      <c r="G26" s="7">
        <v>5</v>
      </c>
      <c r="H26" s="7" t="s">
        <v>201</v>
      </c>
      <c r="I26" s="7" t="s">
        <v>136</v>
      </c>
      <c r="J26" s="7" t="s">
        <v>137</v>
      </c>
      <c r="K26" s="7">
        <v>15</v>
      </c>
      <c r="L26" s="7">
        <f>COUNTIFS(I$11:I26,I26,J$11:J26,J26)-1</f>
        <v>15</v>
      </c>
      <c r="O26" s="7">
        <v>10</v>
      </c>
      <c r="P26" s="7">
        <v>300000</v>
      </c>
      <c r="Q26" s="7" t="s">
        <v>138</v>
      </c>
      <c r="R26" s="21">
        <v>40140002</v>
      </c>
      <c r="S26" s="7"/>
      <c r="T26" s="7"/>
      <c r="U26" s="7">
        <v>11010001</v>
      </c>
      <c r="V26" s="7">
        <v>11020001</v>
      </c>
      <c r="X26" s="7" t="s">
        <v>139</v>
      </c>
      <c r="Y26" s="7" t="s">
        <v>205</v>
      </c>
      <c r="Z26" s="7">
        <v>1.2</v>
      </c>
      <c r="AA26" s="7">
        <v>50</v>
      </c>
      <c r="AB26" s="7">
        <v>50</v>
      </c>
      <c r="AC26" s="7">
        <v>20</v>
      </c>
      <c r="AD26" s="7">
        <v>30</v>
      </c>
      <c r="AE26" s="7" t="s">
        <v>206</v>
      </c>
      <c r="AF26" s="7" t="s">
        <v>207</v>
      </c>
      <c r="AG26" s="22"/>
      <c r="AI26" s="23">
        <v>58</v>
      </c>
      <c r="AJ26" s="7" t="s">
        <v>142</v>
      </c>
      <c r="AK26" s="24">
        <v>230</v>
      </c>
      <c r="AL26" s="7" t="s">
        <v>143</v>
      </c>
      <c r="AM26" s="7">
        <v>5</v>
      </c>
      <c r="AN26" s="7" t="s">
        <v>144</v>
      </c>
      <c r="AO26" s="7">
        <v>7</v>
      </c>
      <c r="AP26" s="7" t="s">
        <v>145</v>
      </c>
      <c r="AQ26" s="7">
        <v>4</v>
      </c>
      <c r="AR26" s="7" t="s">
        <v>146</v>
      </c>
      <c r="AS26" s="7">
        <v>6</v>
      </c>
      <c r="AT26" s="7" t="s">
        <v>147</v>
      </c>
      <c r="AU26" s="7">
        <v>11</v>
      </c>
      <c r="AV26" s="7" t="s">
        <v>148</v>
      </c>
      <c r="AW26" s="7">
        <v>14</v>
      </c>
      <c r="AX26" s="7" t="s">
        <v>149</v>
      </c>
      <c r="AY26" s="7">
        <v>11</v>
      </c>
      <c r="AZ26" s="7" t="s">
        <v>150</v>
      </c>
      <c r="BA26" s="7">
        <v>14</v>
      </c>
      <c r="BB26" s="7" t="s">
        <v>151</v>
      </c>
      <c r="BC26" s="7">
        <v>1</v>
      </c>
      <c r="BD26" s="7" t="s">
        <v>152</v>
      </c>
      <c r="BE26" s="7">
        <v>2</v>
      </c>
      <c r="BF26" s="7" t="s">
        <v>153</v>
      </c>
      <c r="BG26" s="7">
        <v>100</v>
      </c>
      <c r="BH26" s="7" t="s">
        <v>154</v>
      </c>
      <c r="BI26" s="7">
        <v>300</v>
      </c>
      <c r="BJ26" s="7" t="s">
        <v>155</v>
      </c>
      <c r="BK26" s="7">
        <v>200</v>
      </c>
      <c r="BL26" s="20"/>
      <c r="BM26" s="20"/>
      <c r="BN26" s="20">
        <v>1</v>
      </c>
      <c r="BO26" s="20">
        <v>2500</v>
      </c>
      <c r="BP26" s="20">
        <v>2</v>
      </c>
      <c r="BQ26" s="20">
        <v>2500</v>
      </c>
      <c r="BR26" s="20" t="s">
        <v>156</v>
      </c>
    </row>
    <row r="27" s="7" customFormat="1" ht="16.5" spans="1:70">
      <c r="A27" s="7">
        <f>60000000+INDEX(编号表!$B:$B,MATCH(I27,编号表!$A:$A,0))*10000+INDEX(编号表!$B:$B,MATCH(J27,编号表!$C:$C,0))*1000+K27</f>
        <v>60011016</v>
      </c>
      <c r="B27" s="7" t="s">
        <v>208</v>
      </c>
      <c r="C27" s="7" t="s">
        <v>209</v>
      </c>
      <c r="D27" s="7" t="s">
        <v>209</v>
      </c>
      <c r="E27" s="7">
        <v>18</v>
      </c>
      <c r="F27" s="7" t="str">
        <f t="array" ref="F27">INDEX(编号表!$E:$E,MATCH(J27,编号表!$C:$C,0))</f>
        <v>白色</v>
      </c>
      <c r="G27" s="7">
        <v>5</v>
      </c>
      <c r="H27" s="7" t="s">
        <v>201</v>
      </c>
      <c r="I27" s="7" t="s">
        <v>136</v>
      </c>
      <c r="J27" s="7" t="s">
        <v>137</v>
      </c>
      <c r="K27" s="7">
        <v>16</v>
      </c>
      <c r="L27" s="7">
        <f>COUNTIFS(I$11:I27,I27,J$11:J27,J27)-1</f>
        <v>16</v>
      </c>
      <c r="O27" s="7">
        <v>10</v>
      </c>
      <c r="P27" s="7">
        <v>300000</v>
      </c>
      <c r="Q27" s="7" t="s">
        <v>138</v>
      </c>
      <c r="R27" s="21">
        <v>40140002</v>
      </c>
      <c r="S27" s="7"/>
      <c r="T27" s="7"/>
      <c r="U27" s="7">
        <v>11010001</v>
      </c>
      <c r="V27" s="7">
        <v>11020001</v>
      </c>
      <c r="X27" s="7" t="s">
        <v>139</v>
      </c>
      <c r="Y27" s="7" t="s">
        <v>210</v>
      </c>
      <c r="Z27" s="7">
        <v>0.5</v>
      </c>
      <c r="AA27" s="7">
        <v>50</v>
      </c>
      <c r="AB27" s="7">
        <v>50</v>
      </c>
      <c r="AC27" s="7">
        <v>20</v>
      </c>
      <c r="AD27" s="7">
        <v>30</v>
      </c>
      <c r="AE27" s="7" t="s">
        <v>141</v>
      </c>
      <c r="AF27" s="7"/>
      <c r="AG27" s="22"/>
      <c r="AI27" s="23">
        <v>58</v>
      </c>
      <c r="AJ27" s="7" t="s">
        <v>142</v>
      </c>
      <c r="AK27" s="24">
        <v>260</v>
      </c>
      <c r="AL27" s="7" t="s">
        <v>143</v>
      </c>
      <c r="AM27" s="7">
        <v>5</v>
      </c>
      <c r="AN27" s="7" t="s">
        <v>144</v>
      </c>
      <c r="AO27" s="7">
        <v>8</v>
      </c>
      <c r="AP27" s="7" t="s">
        <v>145</v>
      </c>
      <c r="AQ27" s="7">
        <v>5</v>
      </c>
      <c r="AR27" s="7" t="s">
        <v>146</v>
      </c>
      <c r="AS27" s="7">
        <v>7</v>
      </c>
      <c r="AT27" s="7" t="s">
        <v>147</v>
      </c>
      <c r="AU27" s="7">
        <v>11</v>
      </c>
      <c r="AV27" s="7" t="s">
        <v>148</v>
      </c>
      <c r="AW27" s="7">
        <v>15</v>
      </c>
      <c r="AX27" s="7" t="s">
        <v>149</v>
      </c>
      <c r="AY27" s="7">
        <v>11</v>
      </c>
      <c r="AZ27" s="7" t="s">
        <v>150</v>
      </c>
      <c r="BA27" s="7">
        <v>15</v>
      </c>
      <c r="BB27" s="7" t="s">
        <v>151</v>
      </c>
      <c r="BC27" s="7">
        <v>1</v>
      </c>
      <c r="BD27" s="7" t="s">
        <v>152</v>
      </c>
      <c r="BE27" s="7">
        <v>2</v>
      </c>
      <c r="BF27" s="7" t="s">
        <v>153</v>
      </c>
      <c r="BG27" s="7">
        <v>100</v>
      </c>
      <c r="BH27" s="7" t="s">
        <v>154</v>
      </c>
      <c r="BI27" s="7">
        <v>10</v>
      </c>
      <c r="BJ27" s="7" t="s">
        <v>155</v>
      </c>
      <c r="BK27" s="7">
        <v>200</v>
      </c>
      <c r="BL27" s="20"/>
      <c r="BM27" s="20"/>
      <c r="BN27" s="20">
        <v>1</v>
      </c>
      <c r="BO27" s="20">
        <v>2500</v>
      </c>
      <c r="BP27" s="20">
        <v>2</v>
      </c>
      <c r="BQ27" s="20">
        <v>2500</v>
      </c>
      <c r="BR27" s="20" t="s">
        <v>156</v>
      </c>
    </row>
    <row r="28" s="7" customFormat="1" ht="16.5" spans="1:70">
      <c r="A28" s="7">
        <f>60000000+INDEX(编号表!$B:$B,MATCH(I28,编号表!$A:$A,0))*10000+INDEX(编号表!$B:$B,MATCH(J28,编号表!$C:$C,0))*1000+K28</f>
        <v>60011017</v>
      </c>
      <c r="B28" s="7" t="s">
        <v>211</v>
      </c>
      <c r="C28" s="7" t="s">
        <v>212</v>
      </c>
      <c r="D28" s="7" t="s">
        <v>212</v>
      </c>
      <c r="E28" s="7">
        <v>18</v>
      </c>
      <c r="F28" s="7" t="str">
        <f t="array" ref="F28">INDEX(编号表!$E:$E,MATCH(J28,编号表!$C:$C,0))</f>
        <v>白色</v>
      </c>
      <c r="G28" s="7">
        <v>5</v>
      </c>
      <c r="H28" s="7" t="s">
        <v>201</v>
      </c>
      <c r="I28" s="7" t="s">
        <v>136</v>
      </c>
      <c r="J28" s="7" t="s">
        <v>137</v>
      </c>
      <c r="K28" s="7">
        <v>17</v>
      </c>
      <c r="L28" s="7">
        <f>COUNTIFS(I$11:I28,I28,J$11:J28,J28)-1</f>
        <v>17</v>
      </c>
      <c r="O28" s="7">
        <v>10</v>
      </c>
      <c r="P28" s="7">
        <v>150000</v>
      </c>
      <c r="Q28" s="7" t="s">
        <v>138</v>
      </c>
      <c r="R28" s="21">
        <v>40140002</v>
      </c>
      <c r="S28" s="7"/>
      <c r="T28" s="7"/>
      <c r="U28" s="7">
        <v>11010001</v>
      </c>
      <c r="V28" s="7">
        <v>11020001</v>
      </c>
      <c r="X28" s="7" t="s">
        <v>139</v>
      </c>
      <c r="Y28" s="7" t="s">
        <v>213</v>
      </c>
      <c r="Z28" s="7">
        <v>0.8</v>
      </c>
      <c r="AA28" s="7">
        <v>80</v>
      </c>
      <c r="AB28" s="7">
        <v>80</v>
      </c>
      <c r="AC28" s="7">
        <v>20</v>
      </c>
      <c r="AD28" s="7">
        <v>30</v>
      </c>
      <c r="AE28" s="7" t="s">
        <v>141</v>
      </c>
      <c r="AF28" s="7"/>
      <c r="AG28" s="22"/>
      <c r="AI28" s="23">
        <v>58</v>
      </c>
      <c r="AJ28" s="7" t="s">
        <v>142</v>
      </c>
      <c r="AK28" s="24">
        <v>260</v>
      </c>
      <c r="AL28" s="7" t="s">
        <v>143</v>
      </c>
      <c r="AM28" s="7">
        <v>5</v>
      </c>
      <c r="AN28" s="7" t="s">
        <v>144</v>
      </c>
      <c r="AO28" s="7">
        <v>8</v>
      </c>
      <c r="AP28" s="7" t="s">
        <v>145</v>
      </c>
      <c r="AQ28" s="7">
        <v>5</v>
      </c>
      <c r="AR28" s="7" t="s">
        <v>146</v>
      </c>
      <c r="AS28" s="7">
        <v>7</v>
      </c>
      <c r="AT28" s="7" t="s">
        <v>147</v>
      </c>
      <c r="AU28" s="7">
        <v>11</v>
      </c>
      <c r="AV28" s="7" t="s">
        <v>148</v>
      </c>
      <c r="AW28" s="7">
        <v>15</v>
      </c>
      <c r="AX28" s="7" t="s">
        <v>149</v>
      </c>
      <c r="AY28" s="7">
        <v>11</v>
      </c>
      <c r="AZ28" s="7" t="s">
        <v>150</v>
      </c>
      <c r="BA28" s="7">
        <v>15</v>
      </c>
      <c r="BB28" s="7" t="s">
        <v>151</v>
      </c>
      <c r="BC28" s="7">
        <v>0</v>
      </c>
      <c r="BD28" s="7" t="s">
        <v>152</v>
      </c>
      <c r="BE28" s="7">
        <v>0</v>
      </c>
      <c r="BF28" s="7" t="s">
        <v>153</v>
      </c>
      <c r="BG28" s="7">
        <v>100</v>
      </c>
      <c r="BH28" s="7" t="s">
        <v>154</v>
      </c>
      <c r="BI28" s="7">
        <v>10</v>
      </c>
      <c r="BJ28" s="7" t="s">
        <v>155</v>
      </c>
      <c r="BK28" s="7">
        <v>200</v>
      </c>
      <c r="BL28" s="20"/>
      <c r="BM28" s="20"/>
      <c r="BN28" s="20">
        <v>1</v>
      </c>
      <c r="BO28" s="20">
        <v>2500</v>
      </c>
      <c r="BP28" s="20">
        <v>2</v>
      </c>
      <c r="BQ28" s="20">
        <v>2500</v>
      </c>
      <c r="BR28" s="20" t="s">
        <v>156</v>
      </c>
    </row>
    <row r="29" s="7" customFormat="1" ht="16.5" spans="1:70">
      <c r="A29" s="7">
        <f>60000000+INDEX(编号表!$B:$B,MATCH(I29,编号表!$A:$A,0))*10000+INDEX(编号表!$B:$B,MATCH(J29,编号表!$C:$C,0))*1000+K29</f>
        <v>60011018</v>
      </c>
      <c r="B29" s="7" t="s">
        <v>214</v>
      </c>
      <c r="C29" s="7" t="s">
        <v>215</v>
      </c>
      <c r="D29" s="7" t="s">
        <v>215</v>
      </c>
      <c r="E29" s="7">
        <v>18</v>
      </c>
      <c r="F29" s="7" t="str">
        <f t="array" ref="F29">INDEX(编号表!$E:$E,MATCH(J29,编号表!$C:$C,0))</f>
        <v>白色</v>
      </c>
      <c r="G29" s="7">
        <v>5</v>
      </c>
      <c r="H29" s="7" t="s">
        <v>201</v>
      </c>
      <c r="I29" s="7" t="s">
        <v>136</v>
      </c>
      <c r="J29" s="7" t="s">
        <v>137</v>
      </c>
      <c r="K29" s="7">
        <v>18</v>
      </c>
      <c r="L29" s="7">
        <f>COUNTIFS(I$11:I29,I29,J$11:J29,J29)-1</f>
        <v>18</v>
      </c>
      <c r="O29" s="7">
        <v>10</v>
      </c>
      <c r="P29" s="7">
        <v>300000</v>
      </c>
      <c r="Q29" s="7" t="s">
        <v>138</v>
      </c>
      <c r="R29" s="21">
        <v>40140002</v>
      </c>
      <c r="S29" s="7"/>
      <c r="T29" s="7"/>
      <c r="U29" s="7">
        <v>11010001</v>
      </c>
      <c r="V29" s="7">
        <v>11020001</v>
      </c>
      <c r="X29" s="7" t="s">
        <v>139</v>
      </c>
      <c r="Y29" s="7" t="s">
        <v>216</v>
      </c>
      <c r="Z29" s="7">
        <v>0.6</v>
      </c>
      <c r="AA29" s="7">
        <v>50</v>
      </c>
      <c r="AB29" s="7">
        <v>50</v>
      </c>
      <c r="AC29" s="7">
        <v>20</v>
      </c>
      <c r="AD29" s="7">
        <v>30</v>
      </c>
      <c r="AE29" s="7" t="s">
        <v>141</v>
      </c>
      <c r="AF29" s="7"/>
      <c r="AG29" s="22"/>
      <c r="AI29" s="23">
        <v>58</v>
      </c>
      <c r="AJ29" s="7" t="s">
        <v>142</v>
      </c>
      <c r="AK29" s="24">
        <v>250</v>
      </c>
      <c r="AL29" s="7" t="s">
        <v>143</v>
      </c>
      <c r="AM29" s="7">
        <v>5</v>
      </c>
      <c r="AN29" s="7" t="s">
        <v>144</v>
      </c>
      <c r="AO29" s="7">
        <v>7</v>
      </c>
      <c r="AP29" s="7" t="s">
        <v>145</v>
      </c>
      <c r="AQ29" s="7">
        <v>4</v>
      </c>
      <c r="AR29" s="7" t="s">
        <v>146</v>
      </c>
      <c r="AS29" s="7">
        <v>7</v>
      </c>
      <c r="AT29" s="7" t="s">
        <v>147</v>
      </c>
      <c r="AU29" s="7">
        <v>11</v>
      </c>
      <c r="AV29" s="7" t="s">
        <v>148</v>
      </c>
      <c r="AW29" s="7">
        <v>14</v>
      </c>
      <c r="AX29" s="7" t="s">
        <v>149</v>
      </c>
      <c r="AY29" s="7">
        <v>11</v>
      </c>
      <c r="AZ29" s="7" t="s">
        <v>150</v>
      </c>
      <c r="BA29" s="7">
        <v>14</v>
      </c>
      <c r="BB29" s="7" t="s">
        <v>151</v>
      </c>
      <c r="BC29" s="7">
        <v>1</v>
      </c>
      <c r="BD29" s="7" t="s">
        <v>152</v>
      </c>
      <c r="BE29" s="7">
        <v>2</v>
      </c>
      <c r="BF29" s="7" t="s">
        <v>153</v>
      </c>
      <c r="BG29" s="7">
        <v>100</v>
      </c>
      <c r="BH29" s="7" t="s">
        <v>154</v>
      </c>
      <c r="BI29" s="7">
        <v>10</v>
      </c>
      <c r="BJ29" s="7" t="s">
        <v>155</v>
      </c>
      <c r="BK29" s="7">
        <v>200</v>
      </c>
      <c r="BL29" s="20"/>
      <c r="BM29" s="20"/>
      <c r="BN29" s="20">
        <v>1</v>
      </c>
      <c r="BO29" s="20">
        <v>2500</v>
      </c>
      <c r="BP29" s="20">
        <v>2</v>
      </c>
      <c r="BQ29" s="20">
        <v>2500</v>
      </c>
      <c r="BR29" s="20" t="s">
        <v>156</v>
      </c>
    </row>
    <row r="30" s="7" customFormat="1" ht="16.5" spans="1:70">
      <c r="A30" s="7">
        <f>60000000+INDEX(编号表!$B:$B,MATCH(I30,编号表!$A:$A,0))*10000+INDEX(编号表!$B:$B,MATCH(J30,编号表!$C:$C,0))*1000+K30</f>
        <v>60011019</v>
      </c>
      <c r="B30" s="7" t="s">
        <v>217</v>
      </c>
      <c r="C30" s="7" t="s">
        <v>218</v>
      </c>
      <c r="D30" s="7" t="s">
        <v>218</v>
      </c>
      <c r="E30" s="7">
        <v>18</v>
      </c>
      <c r="F30" s="7" t="str">
        <f t="array" ref="F30">INDEX(编号表!$E:$E,MATCH(J30,编号表!$C:$C,0))</f>
        <v>白色</v>
      </c>
      <c r="G30" s="7">
        <v>5</v>
      </c>
      <c r="H30" s="7" t="s">
        <v>201</v>
      </c>
      <c r="I30" s="7" t="s">
        <v>136</v>
      </c>
      <c r="J30" s="7" t="s">
        <v>137</v>
      </c>
      <c r="K30" s="7">
        <v>19</v>
      </c>
      <c r="L30" s="7">
        <f>COUNTIFS(I$11:I30,I30,J$11:J30,J30)-1</f>
        <v>19</v>
      </c>
      <c r="O30" s="7">
        <v>10</v>
      </c>
      <c r="P30" s="7">
        <v>300000</v>
      </c>
      <c r="Q30" s="7" t="s">
        <v>138</v>
      </c>
      <c r="R30" s="21">
        <v>40140002</v>
      </c>
      <c r="S30" s="7"/>
      <c r="T30" s="7"/>
      <c r="U30" s="7">
        <v>11010001</v>
      </c>
      <c r="V30" s="7">
        <v>11020001</v>
      </c>
      <c r="X30" s="7" t="s">
        <v>139</v>
      </c>
      <c r="Y30" s="7" t="s">
        <v>219</v>
      </c>
      <c r="Z30" s="7"/>
      <c r="AA30" s="7">
        <v>50</v>
      </c>
      <c r="AB30" s="7">
        <v>50</v>
      </c>
      <c r="AC30" s="7">
        <v>20</v>
      </c>
      <c r="AD30" s="7">
        <v>30</v>
      </c>
      <c r="AE30" s="7" t="s">
        <v>141</v>
      </c>
      <c r="AF30" s="7"/>
      <c r="AG30" s="22"/>
      <c r="AI30" s="23">
        <v>58</v>
      </c>
      <c r="AJ30" s="7" t="s">
        <v>142</v>
      </c>
      <c r="AK30" s="24">
        <v>230</v>
      </c>
      <c r="AL30" s="7" t="s">
        <v>143</v>
      </c>
      <c r="AM30" s="7">
        <v>5</v>
      </c>
      <c r="AN30" s="7" t="s">
        <v>144</v>
      </c>
      <c r="AO30" s="7">
        <v>7</v>
      </c>
      <c r="AP30" s="7" t="s">
        <v>145</v>
      </c>
      <c r="AQ30" s="7">
        <v>4</v>
      </c>
      <c r="AR30" s="7" t="s">
        <v>146</v>
      </c>
      <c r="AS30" s="7">
        <v>6</v>
      </c>
      <c r="AT30" s="7" t="s">
        <v>147</v>
      </c>
      <c r="AU30" s="7">
        <v>12</v>
      </c>
      <c r="AV30" s="7" t="s">
        <v>148</v>
      </c>
      <c r="AW30" s="7">
        <v>16</v>
      </c>
      <c r="AX30" s="7" t="s">
        <v>149</v>
      </c>
      <c r="AY30" s="7">
        <v>12</v>
      </c>
      <c r="AZ30" s="7" t="s">
        <v>150</v>
      </c>
      <c r="BA30" s="7">
        <v>16</v>
      </c>
      <c r="BB30" s="7" t="s">
        <v>151</v>
      </c>
      <c r="BC30" s="7">
        <v>1</v>
      </c>
      <c r="BD30" s="7" t="s">
        <v>152</v>
      </c>
      <c r="BE30" s="7">
        <v>2</v>
      </c>
      <c r="BF30" s="7" t="s">
        <v>153</v>
      </c>
      <c r="BG30" s="7">
        <v>100</v>
      </c>
      <c r="BH30" s="7" t="s">
        <v>154</v>
      </c>
      <c r="BI30" s="7">
        <v>10</v>
      </c>
      <c r="BJ30" s="7" t="s">
        <v>155</v>
      </c>
      <c r="BK30" s="7">
        <v>200</v>
      </c>
      <c r="BL30" s="20"/>
      <c r="BM30" s="20"/>
      <c r="BN30" s="20">
        <v>1</v>
      </c>
      <c r="BO30" s="20">
        <v>2500</v>
      </c>
      <c r="BP30" s="20">
        <v>2</v>
      </c>
      <c r="BQ30" s="20">
        <v>2500</v>
      </c>
      <c r="BR30" s="20" t="s">
        <v>156</v>
      </c>
    </row>
    <row r="31" s="7" customFormat="1" ht="16.5" spans="1:70">
      <c r="A31" s="7">
        <f>60000000+INDEX(编号表!$B:$B,MATCH(I31,编号表!$A:$A,0))*10000+INDEX(编号表!$B:$B,MATCH(J31,编号表!$C:$C,0))*1000+K31</f>
        <v>60012000</v>
      </c>
      <c r="B31" s="7" t="s">
        <v>220</v>
      </c>
      <c r="C31" s="7" t="s">
        <v>168</v>
      </c>
      <c r="D31" s="7" t="s">
        <v>168</v>
      </c>
      <c r="E31" s="7">
        <v>12</v>
      </c>
      <c r="F31" s="7" t="str">
        <f t="array" ref="F31">INDEX(编号表!$E:$E,MATCH(J31,编号表!$C:$C,0))</f>
        <v>绿色</v>
      </c>
      <c r="G31" s="7">
        <v>2</v>
      </c>
      <c r="H31" s="7" t="s">
        <v>159</v>
      </c>
      <c r="I31" s="7" t="s">
        <v>136</v>
      </c>
      <c r="J31" s="7" t="s">
        <v>221</v>
      </c>
      <c r="K31" s="7">
        <v>0</v>
      </c>
      <c r="L31" s="7">
        <f>COUNTIFS(I$11:I31,I31,J$11:J31,J31)-1</f>
        <v>0</v>
      </c>
      <c r="O31" s="7">
        <v>10</v>
      </c>
      <c r="P31" s="7">
        <v>150000</v>
      </c>
      <c r="Q31" s="7" t="s">
        <v>138</v>
      </c>
      <c r="R31" s="21">
        <v>40140002</v>
      </c>
      <c r="S31" s="7"/>
      <c r="T31" s="7"/>
      <c r="U31" s="7">
        <v>11010001</v>
      </c>
      <c r="V31" s="7">
        <v>11020001</v>
      </c>
      <c r="X31" s="7" t="s">
        <v>139</v>
      </c>
      <c r="Y31" s="7" t="s">
        <v>169</v>
      </c>
      <c r="Z31" s="7"/>
      <c r="AA31" s="7">
        <v>50</v>
      </c>
      <c r="AB31" s="7">
        <v>50</v>
      </c>
      <c r="AC31" s="7">
        <v>20</v>
      </c>
      <c r="AD31" s="7">
        <v>30</v>
      </c>
      <c r="AE31" s="7" t="s">
        <v>141</v>
      </c>
      <c r="AF31" s="7"/>
      <c r="AG31" s="22" t="s">
        <v>222</v>
      </c>
      <c r="AI31" s="23">
        <v>130</v>
      </c>
      <c r="AJ31" s="7" t="s">
        <v>142</v>
      </c>
      <c r="AK31" s="24">
        <v>590</v>
      </c>
      <c r="AL31" s="7" t="s">
        <v>143</v>
      </c>
      <c r="AM31" s="7">
        <v>4</v>
      </c>
      <c r="AN31" s="7" t="s">
        <v>144</v>
      </c>
      <c r="AO31" s="7">
        <v>6</v>
      </c>
      <c r="AP31" s="7" t="s">
        <v>145</v>
      </c>
      <c r="AQ31" s="7">
        <v>4</v>
      </c>
      <c r="AR31" s="7" t="s">
        <v>146</v>
      </c>
      <c r="AS31" s="7">
        <v>5</v>
      </c>
      <c r="AT31" s="7" t="s">
        <v>147</v>
      </c>
      <c r="AU31" s="7">
        <v>11</v>
      </c>
      <c r="AV31" s="7" t="s">
        <v>148</v>
      </c>
      <c r="AW31" s="7">
        <v>15</v>
      </c>
      <c r="AX31" s="7" t="s">
        <v>149</v>
      </c>
      <c r="AY31" s="7">
        <v>11</v>
      </c>
      <c r="AZ31" s="7" t="s">
        <v>150</v>
      </c>
      <c r="BA31" s="7">
        <v>15</v>
      </c>
      <c r="BB31" s="7" t="s">
        <v>151</v>
      </c>
      <c r="BC31" s="7">
        <v>0</v>
      </c>
      <c r="BD31" s="7" t="s">
        <v>152</v>
      </c>
      <c r="BE31" s="7">
        <v>0</v>
      </c>
      <c r="BF31" s="7" t="s">
        <v>153</v>
      </c>
      <c r="BG31" s="7">
        <v>100</v>
      </c>
      <c r="BH31" s="7" t="s">
        <v>154</v>
      </c>
      <c r="BI31" s="7">
        <v>10</v>
      </c>
      <c r="BJ31" s="7" t="s">
        <v>155</v>
      </c>
      <c r="BK31" s="7">
        <v>200</v>
      </c>
      <c r="BL31" s="20"/>
      <c r="BM31" s="20"/>
      <c r="BN31" s="20">
        <v>1</v>
      </c>
      <c r="BO31" s="20">
        <v>2500</v>
      </c>
      <c r="BP31" s="20">
        <v>2</v>
      </c>
      <c r="BQ31" s="20">
        <v>2500</v>
      </c>
      <c r="BR31" s="20" t="s">
        <v>156</v>
      </c>
    </row>
    <row r="32" s="7" customFormat="1" ht="16.5" spans="1:70">
      <c r="A32" s="7">
        <f>60000000+INDEX(编号表!$B:$B,MATCH(I32,编号表!$A:$A,0))*10000+INDEX(编号表!$B:$B,MATCH(J32,编号表!$C:$C,0))*1000+K32</f>
        <v>60012001</v>
      </c>
      <c r="B32" s="7" t="s">
        <v>223</v>
      </c>
      <c r="C32" s="7" t="s">
        <v>171</v>
      </c>
      <c r="D32" s="7" t="s">
        <v>224</v>
      </c>
      <c r="E32" s="7">
        <v>13</v>
      </c>
      <c r="F32" s="7" t="str">
        <f t="array" ref="F32">INDEX(编号表!$E:$E,MATCH(J32,编号表!$C:$C,0))</f>
        <v>绿色</v>
      </c>
      <c r="G32" s="7">
        <v>3</v>
      </c>
      <c r="H32" s="7" t="s">
        <v>172</v>
      </c>
      <c r="I32" s="7" t="s">
        <v>136</v>
      </c>
      <c r="J32" s="7" t="s">
        <v>221</v>
      </c>
      <c r="K32" s="7">
        <v>1</v>
      </c>
      <c r="L32" s="7">
        <f>COUNTIFS(I$11:I32,I32,J$11:J32,J32)-1</f>
        <v>1</v>
      </c>
      <c r="O32" s="7">
        <v>10</v>
      </c>
      <c r="P32" s="7">
        <v>150000</v>
      </c>
      <c r="Q32" s="7" t="s">
        <v>138</v>
      </c>
      <c r="R32" s="21">
        <v>40140002</v>
      </c>
      <c r="S32" s="7"/>
      <c r="T32" s="7"/>
      <c r="U32" s="7">
        <v>11010001</v>
      </c>
      <c r="V32" s="7">
        <v>11020001</v>
      </c>
      <c r="X32" s="7" t="s">
        <v>139</v>
      </c>
      <c r="Y32" s="7" t="s">
        <v>173</v>
      </c>
      <c r="Z32" s="7">
        <v>1.2</v>
      </c>
      <c r="AA32" s="7">
        <v>80</v>
      </c>
      <c r="AB32" s="7">
        <v>80</v>
      </c>
      <c r="AC32" s="7">
        <v>20</v>
      </c>
      <c r="AD32" s="7">
        <v>30</v>
      </c>
      <c r="AE32" s="7" t="s">
        <v>141</v>
      </c>
      <c r="AF32" s="7"/>
      <c r="AG32" s="22" t="s">
        <v>222</v>
      </c>
      <c r="AI32" s="23">
        <v>145</v>
      </c>
      <c r="AJ32" s="7" t="s">
        <v>142</v>
      </c>
      <c r="AK32" s="24">
        <v>660</v>
      </c>
      <c r="AL32" s="7" t="s">
        <v>143</v>
      </c>
      <c r="AM32" s="7">
        <v>4</v>
      </c>
      <c r="AN32" s="7" t="s">
        <v>144</v>
      </c>
      <c r="AO32" s="7">
        <v>6</v>
      </c>
      <c r="AP32" s="7" t="s">
        <v>145</v>
      </c>
      <c r="AQ32" s="7">
        <v>4</v>
      </c>
      <c r="AR32" s="7" t="s">
        <v>146</v>
      </c>
      <c r="AS32" s="7">
        <v>6</v>
      </c>
      <c r="AT32" s="7" t="s">
        <v>147</v>
      </c>
      <c r="AU32" s="7">
        <v>12</v>
      </c>
      <c r="AV32" s="7" t="s">
        <v>148</v>
      </c>
      <c r="AW32" s="7">
        <v>16</v>
      </c>
      <c r="AX32" s="7" t="s">
        <v>149</v>
      </c>
      <c r="AY32" s="7">
        <v>12</v>
      </c>
      <c r="AZ32" s="7" t="s">
        <v>150</v>
      </c>
      <c r="BA32" s="7">
        <v>16</v>
      </c>
      <c r="BB32" s="7" t="s">
        <v>151</v>
      </c>
      <c r="BC32" s="7">
        <v>0</v>
      </c>
      <c r="BD32" s="7" t="s">
        <v>152</v>
      </c>
      <c r="BE32" s="7">
        <v>0</v>
      </c>
      <c r="BF32" s="7" t="s">
        <v>153</v>
      </c>
      <c r="BG32" s="7">
        <v>100</v>
      </c>
      <c r="BH32" s="7" t="s">
        <v>154</v>
      </c>
      <c r="BI32" s="7">
        <v>10</v>
      </c>
      <c r="BJ32" s="7" t="s">
        <v>155</v>
      </c>
      <c r="BK32" s="7">
        <v>200</v>
      </c>
      <c r="BL32" s="20"/>
      <c r="BM32" s="20"/>
      <c r="BN32" s="20">
        <v>1</v>
      </c>
      <c r="BO32" s="20">
        <v>2500</v>
      </c>
      <c r="BP32" s="20">
        <v>2</v>
      </c>
      <c r="BQ32" s="20">
        <v>2500</v>
      </c>
      <c r="BR32" s="20" t="s">
        <v>156</v>
      </c>
    </row>
    <row r="33" s="7" customFormat="1" ht="16.5" spans="1:70">
      <c r="A33" s="7">
        <f>60000000+INDEX(编号表!$B:$B,MATCH(I33,编号表!$A:$A,0))*10000+INDEX(编号表!$B:$B,MATCH(J33,编号表!$C:$C,0))*1000+K33</f>
        <v>60012002</v>
      </c>
      <c r="B33" s="7" t="s">
        <v>225</v>
      </c>
      <c r="C33" s="7" t="s">
        <v>184</v>
      </c>
      <c r="D33" s="7" t="s">
        <v>226</v>
      </c>
      <c r="E33" s="7">
        <v>16</v>
      </c>
      <c r="F33" s="7" t="str">
        <f t="array" ref="F33">INDEX(编号表!$E:$E,MATCH(J33,编号表!$C:$C,0))</f>
        <v>绿色</v>
      </c>
      <c r="G33" s="7">
        <v>4</v>
      </c>
      <c r="H33" s="7" t="s">
        <v>185</v>
      </c>
      <c r="I33" s="7" t="s">
        <v>136</v>
      </c>
      <c r="J33" s="7" t="s">
        <v>221</v>
      </c>
      <c r="K33" s="7">
        <v>2</v>
      </c>
      <c r="L33" s="7">
        <f>COUNTIFS(I$11:I33,I33,J$11:J33,J33)-1</f>
        <v>2</v>
      </c>
      <c r="O33" s="7">
        <v>10</v>
      </c>
      <c r="P33" s="7">
        <v>150000</v>
      </c>
      <c r="Q33" s="7" t="s">
        <v>138</v>
      </c>
      <c r="R33" s="21">
        <v>40140002</v>
      </c>
      <c r="S33" s="7"/>
      <c r="T33" s="7"/>
      <c r="U33" s="7">
        <v>11010001</v>
      </c>
      <c r="V33" s="7">
        <v>11020001</v>
      </c>
      <c r="X33" s="7" t="s">
        <v>139</v>
      </c>
      <c r="Y33" s="7" t="s">
        <v>186</v>
      </c>
      <c r="Z33" s="7">
        <v>1.2</v>
      </c>
      <c r="AA33" s="7">
        <v>80</v>
      </c>
      <c r="AB33" s="7">
        <v>80</v>
      </c>
      <c r="AC33" s="7">
        <v>20</v>
      </c>
      <c r="AD33" s="7">
        <v>30</v>
      </c>
      <c r="AE33" s="7" t="s">
        <v>141</v>
      </c>
      <c r="AF33" s="7"/>
      <c r="AG33" s="22" t="s">
        <v>222</v>
      </c>
      <c r="AI33" s="23">
        <v>195</v>
      </c>
      <c r="AJ33" s="7" t="s">
        <v>142</v>
      </c>
      <c r="AK33" s="24">
        <v>890</v>
      </c>
      <c r="AL33" s="7" t="s">
        <v>143</v>
      </c>
      <c r="AM33" s="7">
        <v>5</v>
      </c>
      <c r="AN33" s="7" t="s">
        <v>144</v>
      </c>
      <c r="AO33" s="7">
        <v>8</v>
      </c>
      <c r="AP33" s="7" t="s">
        <v>145</v>
      </c>
      <c r="AQ33" s="7">
        <v>5</v>
      </c>
      <c r="AR33" s="7" t="s">
        <v>146</v>
      </c>
      <c r="AS33" s="7">
        <v>7</v>
      </c>
      <c r="AT33" s="7" t="s">
        <v>147</v>
      </c>
      <c r="AU33" s="7">
        <v>15</v>
      </c>
      <c r="AV33" s="7" t="s">
        <v>148</v>
      </c>
      <c r="AW33" s="7">
        <v>21</v>
      </c>
      <c r="AX33" s="7" t="s">
        <v>149</v>
      </c>
      <c r="AY33" s="7">
        <v>15</v>
      </c>
      <c r="AZ33" s="7" t="s">
        <v>150</v>
      </c>
      <c r="BA33" s="7">
        <v>21</v>
      </c>
      <c r="BB33" s="7" t="s">
        <v>151</v>
      </c>
      <c r="BC33" s="7">
        <v>0</v>
      </c>
      <c r="BD33" s="7" t="s">
        <v>152</v>
      </c>
      <c r="BE33" s="7">
        <v>0</v>
      </c>
      <c r="BF33" s="7" t="s">
        <v>153</v>
      </c>
      <c r="BG33" s="7">
        <v>100</v>
      </c>
      <c r="BH33" s="7" t="s">
        <v>154</v>
      </c>
      <c r="BI33" s="7">
        <v>10</v>
      </c>
      <c r="BJ33" s="7" t="s">
        <v>155</v>
      </c>
      <c r="BK33" s="7">
        <v>200</v>
      </c>
      <c r="BL33" s="20"/>
      <c r="BM33" s="20"/>
      <c r="BN33" s="20">
        <v>1</v>
      </c>
      <c r="BO33" s="20">
        <v>2500</v>
      </c>
      <c r="BP33" s="20">
        <v>2</v>
      </c>
      <c r="BQ33" s="20">
        <v>2500</v>
      </c>
      <c r="BR33" s="20" t="s">
        <v>156</v>
      </c>
    </row>
    <row r="34" s="7" customFormat="1" ht="16.5" spans="1:70">
      <c r="A34" s="7">
        <f>60000000+INDEX(编号表!$B:$B,MATCH(I34,编号表!$A:$A,0))*10000+INDEX(编号表!$B:$B,MATCH(J34,编号表!$C:$C,0))*1000+K34</f>
        <v>60012003</v>
      </c>
      <c r="B34" s="7" t="s">
        <v>227</v>
      </c>
      <c r="C34" s="7" t="s">
        <v>228</v>
      </c>
      <c r="D34" s="7" t="s">
        <v>228</v>
      </c>
      <c r="E34" s="7">
        <v>18</v>
      </c>
      <c r="F34" s="7" t="str" cm="1">
        <f t="array" ref="F34">INDEX(编号表!$E:$E,MATCH(J34,编号表!$C:$C,0))</f>
        <v>绿色</v>
      </c>
      <c r="G34" s="7">
        <v>5</v>
      </c>
      <c r="H34" s="7" t="s">
        <v>201</v>
      </c>
      <c r="I34" s="7" t="s">
        <v>136</v>
      </c>
      <c r="J34" s="7" t="s">
        <v>221</v>
      </c>
      <c r="K34" s="7">
        <v>3</v>
      </c>
      <c r="L34" s="7">
        <f>COUNTIFS(I$11:I34,I34,J$11:J34,J34)-1</f>
        <v>3</v>
      </c>
      <c r="O34" s="7">
        <v>10</v>
      </c>
      <c r="P34" s="7">
        <v>300000</v>
      </c>
      <c r="Q34" s="7" t="s">
        <v>138</v>
      </c>
      <c r="R34" s="21">
        <v>40140002</v>
      </c>
      <c r="S34" s="7"/>
      <c r="T34" s="7"/>
      <c r="U34" s="7">
        <v>11010001</v>
      </c>
      <c r="V34" s="7">
        <v>11020001</v>
      </c>
      <c r="X34" s="7" t="s">
        <v>139</v>
      </c>
      <c r="Y34" s="7" t="s">
        <v>229</v>
      </c>
      <c r="Z34" s="7"/>
      <c r="AA34" s="7">
        <v>50</v>
      </c>
      <c r="AB34" s="7">
        <v>50</v>
      </c>
      <c r="AC34" s="7">
        <v>20</v>
      </c>
      <c r="AD34" s="7">
        <v>30</v>
      </c>
      <c r="AE34" s="7" t="s">
        <v>141</v>
      </c>
      <c r="AF34" s="7"/>
      <c r="AG34" s="22" t="s">
        <v>222</v>
      </c>
      <c r="AI34" s="23">
        <v>230</v>
      </c>
      <c r="AJ34" s="7" t="s">
        <v>142</v>
      </c>
      <c r="AK34" s="24">
        <v>1200</v>
      </c>
      <c r="AL34" s="7" t="s">
        <v>143</v>
      </c>
      <c r="AM34" s="7">
        <v>7</v>
      </c>
      <c r="AN34" s="7" t="s">
        <v>144</v>
      </c>
      <c r="AO34" s="7">
        <v>10</v>
      </c>
      <c r="AP34" s="7" t="s">
        <v>145</v>
      </c>
      <c r="AQ34" s="7">
        <v>7</v>
      </c>
      <c r="AR34" s="7" t="s">
        <v>146</v>
      </c>
      <c r="AS34" s="7">
        <v>10</v>
      </c>
      <c r="AT34" s="7" t="s">
        <v>147</v>
      </c>
      <c r="AU34" s="7">
        <v>19</v>
      </c>
      <c r="AV34" s="7" t="s">
        <v>148</v>
      </c>
      <c r="AW34" s="7">
        <v>25</v>
      </c>
      <c r="AX34" s="7" t="s">
        <v>149</v>
      </c>
      <c r="AY34" s="7">
        <v>19</v>
      </c>
      <c r="AZ34" s="7" t="s">
        <v>150</v>
      </c>
      <c r="BA34" s="7">
        <v>25</v>
      </c>
      <c r="BB34" s="7" t="s">
        <v>151</v>
      </c>
      <c r="BC34" s="7">
        <v>1</v>
      </c>
      <c r="BD34" s="7" t="s">
        <v>152</v>
      </c>
      <c r="BE34" s="7">
        <v>2</v>
      </c>
      <c r="BF34" s="7" t="s">
        <v>153</v>
      </c>
      <c r="BG34" s="7">
        <v>100</v>
      </c>
      <c r="BH34" s="7" t="s">
        <v>154</v>
      </c>
      <c r="BI34" s="7">
        <v>10</v>
      </c>
      <c r="BJ34" s="7" t="s">
        <v>155</v>
      </c>
      <c r="BK34" s="7">
        <v>200</v>
      </c>
      <c r="BL34" s="20"/>
      <c r="BM34" s="20"/>
      <c r="BN34" s="20">
        <v>1</v>
      </c>
      <c r="BO34" s="20">
        <v>2500</v>
      </c>
      <c r="BP34" s="20">
        <v>2</v>
      </c>
      <c r="BQ34" s="20">
        <v>2500</v>
      </c>
      <c r="BR34" s="20" t="s">
        <v>156</v>
      </c>
    </row>
    <row r="35" s="7" customFormat="1" ht="16.5" spans="1:70">
      <c r="A35" s="7">
        <f>60000000+INDEX(编号表!$B:$B,MATCH(I35,编号表!$A:$A,0))*10000+INDEX(编号表!$B:$B,MATCH(J35,编号表!$C:$C,0))*1000+K35</f>
        <v>60012004</v>
      </c>
      <c r="B35" s="7" t="s">
        <v>230</v>
      </c>
      <c r="C35" s="7" t="s">
        <v>212</v>
      </c>
      <c r="D35" s="7" t="s">
        <v>231</v>
      </c>
      <c r="E35" s="7">
        <v>18</v>
      </c>
      <c r="F35" s="7" t="str" cm="1">
        <f t="array" ref="F35">INDEX(编号表!$E:$E,MATCH(J35,编号表!$C:$C,0))</f>
        <v>绿色</v>
      </c>
      <c r="G35" s="7">
        <v>5</v>
      </c>
      <c r="H35" s="7" t="s">
        <v>201</v>
      </c>
      <c r="I35" s="7" t="s">
        <v>136</v>
      </c>
      <c r="J35" s="7" t="s">
        <v>221</v>
      </c>
      <c r="K35" s="7">
        <v>4</v>
      </c>
      <c r="L35" s="7">
        <f>COUNTIFS(I$11:I35,I35,J$11:J35,J35)-1</f>
        <v>4</v>
      </c>
      <c r="O35" s="7">
        <v>10</v>
      </c>
      <c r="P35" s="7">
        <v>150000</v>
      </c>
      <c r="Q35" s="7" t="s">
        <v>138</v>
      </c>
      <c r="R35" s="21">
        <v>40140002</v>
      </c>
      <c r="S35" s="7"/>
      <c r="T35" s="7"/>
      <c r="U35" s="7">
        <v>11010001</v>
      </c>
      <c r="V35" s="7">
        <v>11020001</v>
      </c>
      <c r="X35" s="7" t="s">
        <v>139</v>
      </c>
      <c r="Y35" s="7" t="s">
        <v>213</v>
      </c>
      <c r="Z35" s="7">
        <v>1.2</v>
      </c>
      <c r="AA35" s="7">
        <v>80</v>
      </c>
      <c r="AB35" s="7">
        <v>80</v>
      </c>
      <c r="AC35" s="7">
        <v>20</v>
      </c>
      <c r="AD35" s="7">
        <v>30</v>
      </c>
      <c r="AE35" s="7" t="s">
        <v>141</v>
      </c>
      <c r="AF35" s="7"/>
      <c r="AG35" s="22" t="s">
        <v>222</v>
      </c>
      <c r="AI35" s="23">
        <v>230</v>
      </c>
      <c r="AJ35" s="7" t="s">
        <v>142</v>
      </c>
      <c r="AK35" s="24">
        <v>1200</v>
      </c>
      <c r="AL35" s="7" t="s">
        <v>143</v>
      </c>
      <c r="AM35" s="7">
        <v>7</v>
      </c>
      <c r="AN35" s="7" t="s">
        <v>144</v>
      </c>
      <c r="AO35" s="7">
        <v>10</v>
      </c>
      <c r="AP35" s="7" t="s">
        <v>145</v>
      </c>
      <c r="AQ35" s="7">
        <v>7</v>
      </c>
      <c r="AR35" s="7" t="s">
        <v>146</v>
      </c>
      <c r="AS35" s="7">
        <v>10</v>
      </c>
      <c r="AT35" s="7" t="s">
        <v>147</v>
      </c>
      <c r="AU35" s="7">
        <v>19</v>
      </c>
      <c r="AV35" s="7" t="s">
        <v>148</v>
      </c>
      <c r="AW35" s="7">
        <v>25</v>
      </c>
      <c r="AX35" s="7" t="s">
        <v>149</v>
      </c>
      <c r="AY35" s="7">
        <v>19</v>
      </c>
      <c r="AZ35" s="7" t="s">
        <v>150</v>
      </c>
      <c r="BA35" s="7">
        <v>25</v>
      </c>
      <c r="BB35" s="7" t="s">
        <v>151</v>
      </c>
      <c r="BC35" s="7">
        <v>0</v>
      </c>
      <c r="BD35" s="7" t="s">
        <v>152</v>
      </c>
      <c r="BE35" s="7">
        <v>0</v>
      </c>
      <c r="BF35" s="7" t="s">
        <v>153</v>
      </c>
      <c r="BG35" s="7">
        <v>100</v>
      </c>
      <c r="BH35" s="7" t="s">
        <v>154</v>
      </c>
      <c r="BI35" s="7">
        <v>10</v>
      </c>
      <c r="BJ35" s="7" t="s">
        <v>155</v>
      </c>
      <c r="BK35" s="7">
        <v>200</v>
      </c>
      <c r="BL35" s="20"/>
      <c r="BM35" s="20"/>
      <c r="BN35" s="20">
        <v>1</v>
      </c>
      <c r="BO35" s="20">
        <v>2500</v>
      </c>
      <c r="BP35" s="20">
        <v>2</v>
      </c>
      <c r="BQ35" s="20">
        <v>2500</v>
      </c>
      <c r="BR35" s="20" t="s">
        <v>156</v>
      </c>
    </row>
    <row r="36" s="7" customFormat="1" ht="16.5" spans="1:70">
      <c r="A36" s="15">
        <f>60000000+INDEX(编号表!$B:$B,MATCH(I36,编号表!$A:$A,0))*10000+INDEX(编号表!$B:$B,MATCH(J36,编号表!$C:$C,0))*1000+K36</f>
        <v>60014000</v>
      </c>
      <c r="B36" s="15" t="s">
        <v>232</v>
      </c>
      <c r="C36" s="15" t="s">
        <v>212</v>
      </c>
      <c r="D36" s="15" t="s">
        <v>231</v>
      </c>
      <c r="E36" s="15">
        <v>18</v>
      </c>
      <c r="F36" s="15" t="str" cm="1">
        <f t="array" ref="F36">INDEX(编号表!$E:$E,MATCH(J36,编号表!$C:$C,0))</f>
        <v>橙色</v>
      </c>
      <c r="G36" s="15">
        <v>5</v>
      </c>
      <c r="H36" s="15" t="s">
        <v>201</v>
      </c>
      <c r="I36" s="15" t="s">
        <v>136</v>
      </c>
      <c r="J36" s="15" t="s">
        <v>233</v>
      </c>
      <c r="K36" s="7">
        <v>0</v>
      </c>
      <c r="L36" s="7">
        <f>COUNTIFS(I$11:I36,I36,J$11:J36,J36)-1</f>
        <v>0</v>
      </c>
      <c r="O36" s="7">
        <v>10</v>
      </c>
      <c r="P36" s="7">
        <v>150000</v>
      </c>
      <c r="Q36" s="7" t="s">
        <v>138</v>
      </c>
      <c r="R36" s="21">
        <v>40140002</v>
      </c>
      <c r="S36" s="7"/>
      <c r="T36" s="7"/>
      <c r="U36" s="7">
        <v>11010001</v>
      </c>
      <c r="V36" s="7">
        <v>11020001</v>
      </c>
      <c r="X36" s="7" t="s">
        <v>139</v>
      </c>
      <c r="Y36" s="7" t="s">
        <v>213</v>
      </c>
      <c r="Z36" s="7">
        <v>1.5</v>
      </c>
      <c r="AA36" s="7">
        <v>50</v>
      </c>
      <c r="AB36" s="7">
        <v>50</v>
      </c>
      <c r="AC36" s="7">
        <v>20</v>
      </c>
      <c r="AD36" s="7">
        <v>30</v>
      </c>
      <c r="AE36" s="7" t="s">
        <v>141</v>
      </c>
      <c r="AF36" s="7"/>
      <c r="AG36" s="22" t="s">
        <v>234</v>
      </c>
      <c r="AI36" s="23">
        <v>1160</v>
      </c>
      <c r="AJ36" s="7" t="s">
        <v>142</v>
      </c>
      <c r="AK36" s="24">
        <v>5200</v>
      </c>
      <c r="AL36" s="7" t="s">
        <v>143</v>
      </c>
      <c r="AM36" s="7">
        <v>9</v>
      </c>
      <c r="AN36" s="7" t="s">
        <v>144</v>
      </c>
      <c r="AO36" s="7">
        <v>13</v>
      </c>
      <c r="AP36" s="7" t="s">
        <v>145</v>
      </c>
      <c r="AQ36" s="7">
        <v>9</v>
      </c>
      <c r="AR36" s="7" t="s">
        <v>146</v>
      </c>
      <c r="AS36" s="7">
        <v>13</v>
      </c>
      <c r="AT36" s="7" t="s">
        <v>147</v>
      </c>
      <c r="AU36" s="7">
        <v>28</v>
      </c>
      <c r="AV36" s="7" t="s">
        <v>148</v>
      </c>
      <c r="AW36" s="7">
        <v>38</v>
      </c>
      <c r="AX36" s="7" t="s">
        <v>149</v>
      </c>
      <c r="AY36" s="7">
        <v>28</v>
      </c>
      <c r="AZ36" s="7" t="s">
        <v>150</v>
      </c>
      <c r="BA36" s="7">
        <v>38</v>
      </c>
      <c r="BB36" s="7" t="s">
        <v>151</v>
      </c>
      <c r="BC36" s="7">
        <v>0</v>
      </c>
      <c r="BD36" s="7" t="s">
        <v>152</v>
      </c>
      <c r="BE36" s="7">
        <v>0</v>
      </c>
      <c r="BF36" s="7" t="s">
        <v>153</v>
      </c>
      <c r="BG36" s="7">
        <v>100</v>
      </c>
      <c r="BH36" s="7" t="s">
        <v>154</v>
      </c>
      <c r="BI36" s="7">
        <v>10</v>
      </c>
      <c r="BJ36" s="7" t="s">
        <v>155</v>
      </c>
      <c r="BK36" s="7">
        <v>200</v>
      </c>
      <c r="BL36" s="20"/>
      <c r="BM36" s="20"/>
      <c r="BN36" s="20">
        <v>1</v>
      </c>
      <c r="BO36" s="20">
        <v>2500</v>
      </c>
      <c r="BP36" s="20">
        <v>2</v>
      </c>
      <c r="BQ36" s="20">
        <v>2500</v>
      </c>
      <c r="BR36" s="20" t="s">
        <v>156</v>
      </c>
    </row>
    <row r="37" s="7" customFormat="1" ht="16.5" spans="1:70">
      <c r="A37" s="7">
        <f>60000000+INDEX(编号表!$B:$B,MATCH(I37,编号表!$A:$A,0))*10000+INDEX(编号表!$B:$B,MATCH(J37,编号表!$C:$C,0))*1000+K37</f>
        <v>60021000</v>
      </c>
      <c r="B37" s="7" t="s">
        <v>235</v>
      </c>
      <c r="C37" s="7" t="s">
        <v>236</v>
      </c>
      <c r="D37" s="7" t="s">
        <v>236</v>
      </c>
      <c r="E37" s="7">
        <v>18</v>
      </c>
      <c r="F37" s="7" t="str" cm="1">
        <f t="array" ref="F37">INDEX(编号表!$E:$E,MATCH(J37,编号表!$C:$C,0))</f>
        <v>白色</v>
      </c>
      <c r="G37" s="7">
        <v>6</v>
      </c>
      <c r="H37" s="7" t="s">
        <v>237</v>
      </c>
      <c r="I37" s="7" t="s">
        <v>238</v>
      </c>
      <c r="J37" s="7" t="s">
        <v>137</v>
      </c>
      <c r="K37" s="7">
        <v>0</v>
      </c>
      <c r="L37" s="7">
        <f>COUNTIFS(I$11:I37,I37,J$11:J37,J37)-1</f>
        <v>0</v>
      </c>
      <c r="O37" s="7">
        <v>10</v>
      </c>
      <c r="P37" s="7">
        <v>150000</v>
      </c>
      <c r="Q37" s="7" t="s">
        <v>138</v>
      </c>
      <c r="R37" s="21">
        <v>40140002</v>
      </c>
      <c r="S37" s="7"/>
      <c r="T37" s="7"/>
      <c r="U37" s="7">
        <v>11010001</v>
      </c>
      <c r="V37" s="7">
        <v>11020001</v>
      </c>
      <c r="X37" s="7" t="s">
        <v>139</v>
      </c>
      <c r="Y37" s="7" t="s">
        <v>239</v>
      </c>
      <c r="Z37" s="7"/>
      <c r="AA37" s="7">
        <v>50</v>
      </c>
      <c r="AB37" s="7">
        <v>50</v>
      </c>
      <c r="AC37" s="7">
        <v>20</v>
      </c>
      <c r="AD37" s="7">
        <v>30</v>
      </c>
      <c r="AE37" s="7" t="s">
        <v>141</v>
      </c>
      <c r="AF37" s="7"/>
      <c r="AG37" s="22"/>
      <c r="AI37" s="23">
        <v>59</v>
      </c>
      <c r="AJ37" s="7" t="s">
        <v>142</v>
      </c>
      <c r="AK37" s="24">
        <v>190</v>
      </c>
      <c r="AL37" s="7" t="s">
        <v>143</v>
      </c>
      <c r="AM37" s="7">
        <v>4</v>
      </c>
      <c r="AN37" s="7" t="s">
        <v>144</v>
      </c>
      <c r="AO37" s="7">
        <v>5</v>
      </c>
      <c r="AP37" s="7" t="s">
        <v>145</v>
      </c>
      <c r="AQ37" s="7">
        <v>3</v>
      </c>
      <c r="AR37" s="7" t="s">
        <v>146</v>
      </c>
      <c r="AS37" s="7">
        <v>5</v>
      </c>
      <c r="AT37" s="7" t="s">
        <v>147</v>
      </c>
      <c r="AU37" s="7">
        <v>12</v>
      </c>
      <c r="AV37" s="7" t="s">
        <v>148</v>
      </c>
      <c r="AW37" s="7">
        <v>16</v>
      </c>
      <c r="AX37" s="7" t="s">
        <v>149</v>
      </c>
      <c r="AY37" s="7">
        <v>12</v>
      </c>
      <c r="AZ37" s="7" t="s">
        <v>150</v>
      </c>
      <c r="BA37" s="7">
        <v>16</v>
      </c>
      <c r="BB37" s="7" t="s">
        <v>151</v>
      </c>
      <c r="BC37" s="7">
        <v>0</v>
      </c>
      <c r="BD37" s="7" t="s">
        <v>152</v>
      </c>
      <c r="BE37" s="7">
        <v>0</v>
      </c>
      <c r="BF37" s="7" t="s">
        <v>153</v>
      </c>
      <c r="BG37" s="7">
        <v>100</v>
      </c>
      <c r="BH37" s="7" t="s">
        <v>154</v>
      </c>
      <c r="BI37" s="7">
        <v>10</v>
      </c>
      <c r="BJ37" s="7" t="s">
        <v>155</v>
      </c>
      <c r="BK37" s="7">
        <v>250</v>
      </c>
      <c r="BL37" s="20">
        <v>0.03</v>
      </c>
      <c r="BM37" s="20"/>
      <c r="BN37" s="20">
        <v>1</v>
      </c>
      <c r="BO37" s="20">
        <v>2500</v>
      </c>
      <c r="BP37" s="20">
        <v>2</v>
      </c>
      <c r="BQ37" s="20">
        <v>2500</v>
      </c>
      <c r="BR37" s="20" t="s">
        <v>156</v>
      </c>
    </row>
    <row r="38" s="7" customFormat="1" ht="16.5" spans="1:70">
      <c r="A38" s="7">
        <f>60000000+INDEX(编号表!$B:$B,MATCH(I38,编号表!$A:$A,0))*10000+INDEX(编号表!$B:$B,MATCH(J38,编号表!$C:$C,0))*1000+K38</f>
        <v>60021001</v>
      </c>
      <c r="B38" s="7" t="s">
        <v>240</v>
      </c>
      <c r="C38" s="7" t="s">
        <v>241</v>
      </c>
      <c r="D38" s="7" t="s">
        <v>241</v>
      </c>
      <c r="E38" s="7">
        <v>18</v>
      </c>
      <c r="F38" s="7" t="str" cm="1">
        <f t="array" ref="F38">INDEX(编号表!$E:$E,MATCH(J38,编号表!$C:$C,0))</f>
        <v>白色</v>
      </c>
      <c r="G38" s="7">
        <v>6</v>
      </c>
      <c r="H38" s="7" t="s">
        <v>237</v>
      </c>
      <c r="I38" s="7" t="s">
        <v>238</v>
      </c>
      <c r="J38" s="7" t="s">
        <v>137</v>
      </c>
      <c r="K38" s="7">
        <v>1</v>
      </c>
      <c r="L38" s="7">
        <f>COUNTIFS(I$11:I38,I38,J$11:J38,J38)-1</f>
        <v>1</v>
      </c>
      <c r="O38" s="7">
        <v>10</v>
      </c>
      <c r="P38" s="7">
        <v>150000</v>
      </c>
      <c r="Q38" s="7" t="s">
        <v>138</v>
      </c>
      <c r="R38" s="21">
        <v>40140002</v>
      </c>
      <c r="S38" s="7"/>
      <c r="T38" s="7"/>
      <c r="U38" s="7">
        <v>11010001</v>
      </c>
      <c r="V38" s="7">
        <v>11020001</v>
      </c>
      <c r="X38" s="7" t="s">
        <v>139</v>
      </c>
      <c r="Y38" s="7" t="s">
        <v>242</v>
      </c>
      <c r="Z38" s="7">
        <v>0.5</v>
      </c>
      <c r="AA38" s="7">
        <v>50</v>
      </c>
      <c r="AB38" s="7">
        <v>50</v>
      </c>
      <c r="AC38" s="7">
        <v>20</v>
      </c>
      <c r="AD38" s="7">
        <v>30</v>
      </c>
      <c r="AE38" s="7" t="s">
        <v>141</v>
      </c>
      <c r="AF38" s="7"/>
      <c r="AG38" s="22"/>
      <c r="AI38" s="23">
        <v>59</v>
      </c>
      <c r="AJ38" s="7" t="s">
        <v>142</v>
      </c>
      <c r="AK38" s="24">
        <v>240</v>
      </c>
      <c r="AL38" s="7" t="s">
        <v>143</v>
      </c>
      <c r="AM38" s="7">
        <v>4</v>
      </c>
      <c r="AN38" s="7" t="s">
        <v>144</v>
      </c>
      <c r="AO38" s="7">
        <v>6</v>
      </c>
      <c r="AP38" s="7" t="s">
        <v>145</v>
      </c>
      <c r="AQ38" s="7">
        <v>4</v>
      </c>
      <c r="AR38" s="7" t="s">
        <v>146</v>
      </c>
      <c r="AS38" s="7">
        <v>6</v>
      </c>
      <c r="AT38" s="7" t="s">
        <v>147</v>
      </c>
      <c r="AU38" s="7">
        <v>11</v>
      </c>
      <c r="AV38" s="7" t="s">
        <v>148</v>
      </c>
      <c r="AW38" s="7">
        <v>14</v>
      </c>
      <c r="AX38" s="7" t="s">
        <v>149</v>
      </c>
      <c r="AY38" s="7">
        <v>11</v>
      </c>
      <c r="AZ38" s="7" t="s">
        <v>150</v>
      </c>
      <c r="BA38" s="7">
        <v>14</v>
      </c>
      <c r="BB38" s="7" t="s">
        <v>151</v>
      </c>
      <c r="BC38" s="7">
        <v>0</v>
      </c>
      <c r="BD38" s="7" t="s">
        <v>152</v>
      </c>
      <c r="BE38" s="7">
        <v>0</v>
      </c>
      <c r="BF38" s="7" t="s">
        <v>153</v>
      </c>
      <c r="BG38" s="7">
        <v>100</v>
      </c>
      <c r="BH38" s="7" t="s">
        <v>154</v>
      </c>
      <c r="BI38" s="7">
        <v>10</v>
      </c>
      <c r="BJ38" s="7" t="s">
        <v>155</v>
      </c>
      <c r="BK38" s="7">
        <v>250</v>
      </c>
      <c r="BL38" s="20"/>
      <c r="BM38" s="20"/>
      <c r="BN38" s="20">
        <v>1</v>
      </c>
      <c r="BO38" s="20">
        <v>2500</v>
      </c>
      <c r="BP38" s="20">
        <v>2</v>
      </c>
      <c r="BQ38" s="20">
        <v>2500</v>
      </c>
      <c r="BR38" s="20" t="s">
        <v>156</v>
      </c>
    </row>
    <row r="39" s="7" customFormat="1" ht="16.5" spans="1:70">
      <c r="A39" s="7">
        <f>60000000+INDEX(编号表!$B:$B,MATCH(I39,编号表!$A:$A,0))*10000+INDEX(编号表!$B:$B,MATCH(J39,编号表!$C:$C,0))*1000+K39</f>
        <v>60021002</v>
      </c>
      <c r="B39" s="7" t="s">
        <v>243</v>
      </c>
      <c r="C39" s="7" t="s">
        <v>244</v>
      </c>
      <c r="D39" s="7" t="s">
        <v>244</v>
      </c>
      <c r="E39" s="7">
        <v>18</v>
      </c>
      <c r="F39" s="7" t="str" cm="1">
        <f t="array" ref="F39">INDEX(编号表!$E:$E,MATCH(J39,编号表!$C:$C,0))</f>
        <v>白色</v>
      </c>
      <c r="G39" s="7">
        <v>6</v>
      </c>
      <c r="H39" s="7" t="s">
        <v>237</v>
      </c>
      <c r="I39" s="7" t="s">
        <v>238</v>
      </c>
      <c r="J39" s="7" t="s">
        <v>137</v>
      </c>
      <c r="K39" s="7">
        <v>2</v>
      </c>
      <c r="L39" s="7">
        <f>COUNTIFS(I$11:I39,I39,J$11:J39,J39)-1</f>
        <v>2</v>
      </c>
      <c r="O39" s="7">
        <v>10</v>
      </c>
      <c r="P39" s="7">
        <v>150000</v>
      </c>
      <c r="Q39" s="7" t="s">
        <v>138</v>
      </c>
      <c r="R39" s="21">
        <v>40140002</v>
      </c>
      <c r="S39" s="7"/>
      <c r="T39" s="7"/>
      <c r="U39" s="7">
        <v>11010001</v>
      </c>
      <c r="V39" s="7">
        <v>11020001</v>
      </c>
      <c r="X39" s="7" t="s">
        <v>139</v>
      </c>
      <c r="Y39" s="7" t="s">
        <v>245</v>
      </c>
      <c r="Z39" s="7">
        <v>1.5</v>
      </c>
      <c r="AA39" s="7">
        <v>80</v>
      </c>
      <c r="AB39" s="7">
        <v>80</v>
      </c>
      <c r="AC39" s="7">
        <v>20</v>
      </c>
      <c r="AD39" s="7">
        <v>30</v>
      </c>
      <c r="AE39" s="7" t="s">
        <v>141</v>
      </c>
      <c r="AF39" s="7"/>
      <c r="AG39" s="22"/>
      <c r="AI39" s="23">
        <v>59</v>
      </c>
      <c r="AJ39" s="7" t="s">
        <v>142</v>
      </c>
      <c r="AK39" s="24">
        <v>250</v>
      </c>
      <c r="AL39" s="7" t="s">
        <v>143</v>
      </c>
      <c r="AM39" s="7">
        <v>5</v>
      </c>
      <c r="AN39" s="7" t="s">
        <v>144</v>
      </c>
      <c r="AO39" s="7">
        <v>7</v>
      </c>
      <c r="AP39" s="7" t="s">
        <v>145</v>
      </c>
      <c r="AQ39" s="7">
        <v>5</v>
      </c>
      <c r="AR39" s="7" t="s">
        <v>146</v>
      </c>
      <c r="AS39" s="7">
        <v>7</v>
      </c>
      <c r="AT39" s="7" t="s">
        <v>147</v>
      </c>
      <c r="AU39" s="7">
        <v>11</v>
      </c>
      <c r="AV39" s="7" t="s">
        <v>148</v>
      </c>
      <c r="AW39" s="7">
        <v>15</v>
      </c>
      <c r="AX39" s="7" t="s">
        <v>149</v>
      </c>
      <c r="AY39" s="7">
        <v>11</v>
      </c>
      <c r="AZ39" s="7" t="s">
        <v>150</v>
      </c>
      <c r="BA39" s="7">
        <v>15</v>
      </c>
      <c r="BB39" s="7" t="s">
        <v>151</v>
      </c>
      <c r="BC39" s="7">
        <v>0</v>
      </c>
      <c r="BD39" s="7" t="s">
        <v>152</v>
      </c>
      <c r="BE39" s="7">
        <v>0</v>
      </c>
      <c r="BF39" s="7" t="s">
        <v>153</v>
      </c>
      <c r="BG39" s="7">
        <v>100</v>
      </c>
      <c r="BH39" s="7" t="s">
        <v>154</v>
      </c>
      <c r="BI39" s="7">
        <v>10</v>
      </c>
      <c r="BJ39" s="7" t="s">
        <v>155</v>
      </c>
      <c r="BK39" s="7">
        <v>250</v>
      </c>
      <c r="BL39" s="20"/>
      <c r="BM39" s="20"/>
      <c r="BN39" s="20">
        <v>1</v>
      </c>
      <c r="BO39" s="20">
        <v>2500</v>
      </c>
      <c r="BP39" s="20">
        <v>2</v>
      </c>
      <c r="BQ39" s="20">
        <v>2500</v>
      </c>
      <c r="BR39" s="20" t="s">
        <v>156</v>
      </c>
    </row>
    <row r="40" s="7" customFormat="1" ht="16.5" spans="1:70">
      <c r="A40" s="7">
        <f>60000000+INDEX(编号表!$B:$B,MATCH(I40,编号表!$A:$A,0))*10000+INDEX(编号表!$B:$B,MATCH(J40,编号表!$C:$C,0))*1000+K40</f>
        <v>60021003</v>
      </c>
      <c r="B40" s="7" t="s">
        <v>246</v>
      </c>
      <c r="C40" s="7" t="s">
        <v>247</v>
      </c>
      <c r="D40" s="7" t="s">
        <v>247</v>
      </c>
      <c r="E40" s="7">
        <v>18</v>
      </c>
      <c r="F40" s="7" t="str" cm="1">
        <f t="array" ref="F40">INDEX(编号表!$E:$E,MATCH(J40,编号表!$C:$C,0))</f>
        <v>白色</v>
      </c>
      <c r="G40" s="7">
        <v>6</v>
      </c>
      <c r="H40" s="7" t="s">
        <v>237</v>
      </c>
      <c r="I40" s="7" t="s">
        <v>238</v>
      </c>
      <c r="J40" s="7" t="s">
        <v>137</v>
      </c>
      <c r="K40" s="7">
        <v>3</v>
      </c>
      <c r="L40" s="7">
        <f>COUNTIFS(I$11:I40,I40,J$11:J40,J40)-1</f>
        <v>3</v>
      </c>
      <c r="O40" s="7">
        <v>10</v>
      </c>
      <c r="P40" s="7">
        <v>150000</v>
      </c>
      <c r="Q40" s="7" t="s">
        <v>138</v>
      </c>
      <c r="R40" s="21">
        <v>40140002</v>
      </c>
      <c r="S40" s="7"/>
      <c r="T40" s="7"/>
      <c r="U40" s="7">
        <v>11010001</v>
      </c>
      <c r="V40" s="7">
        <v>11020001</v>
      </c>
      <c r="X40" s="7" t="s">
        <v>139</v>
      </c>
      <c r="Y40" s="7" t="s">
        <v>248</v>
      </c>
      <c r="Z40" s="7">
        <v>1.5</v>
      </c>
      <c r="AA40" s="7">
        <v>80</v>
      </c>
      <c r="AB40" s="7">
        <v>80</v>
      </c>
      <c r="AC40" s="7">
        <v>20</v>
      </c>
      <c r="AD40" s="7">
        <v>30</v>
      </c>
      <c r="AE40" s="7" t="s">
        <v>141</v>
      </c>
      <c r="AF40" s="7"/>
      <c r="AG40" s="22"/>
      <c r="AI40" s="23">
        <v>59</v>
      </c>
      <c r="AJ40" s="7" t="s">
        <v>142</v>
      </c>
      <c r="AK40" s="24">
        <v>290</v>
      </c>
      <c r="AL40" s="7" t="s">
        <v>143</v>
      </c>
      <c r="AM40" s="7">
        <v>6</v>
      </c>
      <c r="AN40" s="7" t="s">
        <v>144</v>
      </c>
      <c r="AO40" s="7">
        <v>8</v>
      </c>
      <c r="AP40" s="7" t="s">
        <v>145</v>
      </c>
      <c r="AQ40" s="7">
        <v>5</v>
      </c>
      <c r="AR40" s="7" t="s">
        <v>146</v>
      </c>
      <c r="AS40" s="7">
        <v>8</v>
      </c>
      <c r="AT40" s="7" t="s">
        <v>147</v>
      </c>
      <c r="AU40" s="7">
        <v>12</v>
      </c>
      <c r="AV40" s="7" t="s">
        <v>148</v>
      </c>
      <c r="AW40" s="7">
        <v>16</v>
      </c>
      <c r="AX40" s="7" t="s">
        <v>149</v>
      </c>
      <c r="AY40" s="7">
        <v>12</v>
      </c>
      <c r="AZ40" s="7" t="s">
        <v>150</v>
      </c>
      <c r="BA40" s="7">
        <v>16</v>
      </c>
      <c r="BB40" s="7" t="s">
        <v>151</v>
      </c>
      <c r="BC40" s="7">
        <v>0</v>
      </c>
      <c r="BD40" s="7" t="s">
        <v>152</v>
      </c>
      <c r="BE40" s="7">
        <v>0</v>
      </c>
      <c r="BF40" s="7" t="s">
        <v>153</v>
      </c>
      <c r="BG40" s="7">
        <v>100</v>
      </c>
      <c r="BH40" s="7" t="s">
        <v>154</v>
      </c>
      <c r="BI40" s="7">
        <v>10</v>
      </c>
      <c r="BJ40" s="7" t="s">
        <v>155</v>
      </c>
      <c r="BK40" s="7">
        <v>250</v>
      </c>
      <c r="BL40" s="20"/>
      <c r="BM40" s="20"/>
      <c r="BN40" s="20">
        <v>1</v>
      </c>
      <c r="BO40" s="20">
        <v>2500</v>
      </c>
      <c r="BP40" s="20">
        <v>2</v>
      </c>
      <c r="BQ40" s="20">
        <v>2500</v>
      </c>
      <c r="BR40" s="20" t="s">
        <v>156</v>
      </c>
    </row>
    <row r="41" s="7" customFormat="1" ht="16.5" spans="1:70">
      <c r="A41" s="7">
        <f>60000000+INDEX(编号表!$B:$B,MATCH(I41,编号表!$A:$A,0))*10000+INDEX(编号表!$B:$B,MATCH(J41,编号表!$C:$C,0))*1000+K41</f>
        <v>60021004</v>
      </c>
      <c r="B41" s="7" t="s">
        <v>249</v>
      </c>
      <c r="C41" s="7" t="s">
        <v>250</v>
      </c>
      <c r="D41" s="7" t="s">
        <v>250</v>
      </c>
      <c r="E41" s="7">
        <v>18</v>
      </c>
      <c r="F41" s="7" t="str" cm="1">
        <f t="array" ref="F41">INDEX(编号表!$E:$E,MATCH(J41,编号表!$C:$C,0))</f>
        <v>白色</v>
      </c>
      <c r="G41" s="7">
        <v>6</v>
      </c>
      <c r="H41" s="7" t="s">
        <v>237</v>
      </c>
      <c r="I41" s="7" t="s">
        <v>238</v>
      </c>
      <c r="J41" s="7" t="s">
        <v>137</v>
      </c>
      <c r="K41" s="7">
        <v>4</v>
      </c>
      <c r="L41" s="7">
        <f>COUNTIFS(I$11:I41,I41,J$11:J41,J41)-1</f>
        <v>4</v>
      </c>
      <c r="O41" s="7">
        <v>10</v>
      </c>
      <c r="P41" s="7">
        <v>150000</v>
      </c>
      <c r="Q41" s="7" t="s">
        <v>138</v>
      </c>
      <c r="R41" s="21">
        <v>40140002</v>
      </c>
      <c r="S41" s="7"/>
      <c r="T41" s="7"/>
      <c r="U41" s="7">
        <v>11010001</v>
      </c>
      <c r="V41" s="7">
        <v>11020001</v>
      </c>
      <c r="X41" s="7" t="s">
        <v>139</v>
      </c>
      <c r="Y41" s="7" t="s">
        <v>251</v>
      </c>
      <c r="Z41" s="7">
        <v>1.5</v>
      </c>
      <c r="AA41" s="7">
        <v>80</v>
      </c>
      <c r="AB41" s="7">
        <v>80</v>
      </c>
      <c r="AC41" s="7">
        <v>20</v>
      </c>
      <c r="AD41" s="7">
        <v>30</v>
      </c>
      <c r="AE41" s="7" t="s">
        <v>141</v>
      </c>
      <c r="AF41" s="7"/>
      <c r="AG41" s="22"/>
      <c r="AI41" s="23">
        <v>59</v>
      </c>
      <c r="AJ41" s="7" t="s">
        <v>142</v>
      </c>
      <c r="AK41" s="24">
        <v>290</v>
      </c>
      <c r="AL41" s="7" t="s">
        <v>143</v>
      </c>
      <c r="AM41" s="7">
        <v>6</v>
      </c>
      <c r="AN41" s="7" t="s">
        <v>144</v>
      </c>
      <c r="AO41" s="7">
        <v>8</v>
      </c>
      <c r="AP41" s="7" t="s">
        <v>145</v>
      </c>
      <c r="AQ41" s="7">
        <v>5</v>
      </c>
      <c r="AR41" s="7" t="s">
        <v>146</v>
      </c>
      <c r="AS41" s="7">
        <v>8</v>
      </c>
      <c r="AT41" s="7" t="s">
        <v>147</v>
      </c>
      <c r="AU41" s="7">
        <v>12</v>
      </c>
      <c r="AV41" s="7" t="s">
        <v>148</v>
      </c>
      <c r="AW41" s="7">
        <v>16</v>
      </c>
      <c r="AX41" s="7" t="s">
        <v>149</v>
      </c>
      <c r="AY41" s="7">
        <v>12</v>
      </c>
      <c r="AZ41" s="7" t="s">
        <v>150</v>
      </c>
      <c r="BA41" s="7">
        <v>16</v>
      </c>
      <c r="BB41" s="7" t="s">
        <v>151</v>
      </c>
      <c r="BC41" s="7">
        <v>0</v>
      </c>
      <c r="BD41" s="7" t="s">
        <v>152</v>
      </c>
      <c r="BE41" s="7">
        <v>0</v>
      </c>
      <c r="BF41" s="7" t="s">
        <v>153</v>
      </c>
      <c r="BG41" s="7">
        <v>100</v>
      </c>
      <c r="BH41" s="7" t="s">
        <v>154</v>
      </c>
      <c r="BI41" s="7">
        <v>10</v>
      </c>
      <c r="BJ41" s="7" t="s">
        <v>155</v>
      </c>
      <c r="BK41" s="7">
        <v>250</v>
      </c>
      <c r="BL41" s="20"/>
      <c r="BM41" s="20"/>
      <c r="BN41" s="20">
        <v>1</v>
      </c>
      <c r="BO41" s="20">
        <v>2500</v>
      </c>
      <c r="BP41" s="20">
        <v>2</v>
      </c>
      <c r="BQ41" s="20">
        <v>2500</v>
      </c>
      <c r="BR41" s="20" t="s">
        <v>156</v>
      </c>
    </row>
    <row r="42" s="7" customFormat="1" ht="16.5" spans="1:70">
      <c r="A42" s="7">
        <f>60000000+INDEX(编号表!$B:$B,MATCH(I42,编号表!$A:$A,0))*10000+INDEX(编号表!$B:$B,MATCH(J42,编号表!$C:$C,0))*1000+K42</f>
        <v>60022000</v>
      </c>
      <c r="B42" s="7" t="s">
        <v>252</v>
      </c>
      <c r="C42" s="7" t="s">
        <v>247</v>
      </c>
      <c r="D42" s="7" t="s">
        <v>253</v>
      </c>
      <c r="E42" s="7">
        <v>19</v>
      </c>
      <c r="F42" s="7" t="str" cm="1">
        <f t="array" ref="F42">INDEX(编号表!$E:$E,MATCH(J42,编号表!$C:$C,0))</f>
        <v>绿色</v>
      </c>
      <c r="G42" s="7">
        <v>6</v>
      </c>
      <c r="H42" s="7" t="s">
        <v>237</v>
      </c>
      <c r="I42" s="7" t="s">
        <v>238</v>
      </c>
      <c r="J42" s="7" t="s">
        <v>221</v>
      </c>
      <c r="K42" s="7">
        <v>0</v>
      </c>
      <c r="L42" s="7">
        <f>COUNTIFS(I$11:I42,I42,J$11:J42,J42)-1</f>
        <v>0</v>
      </c>
      <c r="O42" s="7">
        <v>10</v>
      </c>
      <c r="P42" s="7">
        <v>150000</v>
      </c>
      <c r="Q42" s="7" t="s">
        <v>138</v>
      </c>
      <c r="R42" s="21">
        <v>40140002</v>
      </c>
      <c r="S42" s="7"/>
      <c r="T42" s="7"/>
      <c r="U42" s="7">
        <v>11010001</v>
      </c>
      <c r="V42" s="7">
        <v>11020001</v>
      </c>
      <c r="X42" s="7" t="s">
        <v>139</v>
      </c>
      <c r="Y42" s="7" t="s">
        <v>248</v>
      </c>
      <c r="Z42" s="7">
        <v>1.5</v>
      </c>
      <c r="AA42" s="7">
        <v>80</v>
      </c>
      <c r="AB42" s="7">
        <v>80</v>
      </c>
      <c r="AC42" s="7">
        <v>20</v>
      </c>
      <c r="AD42" s="7">
        <v>30</v>
      </c>
      <c r="AE42" s="7" t="s">
        <v>141</v>
      </c>
      <c r="AF42" s="7"/>
      <c r="AG42" s="22" t="s">
        <v>222</v>
      </c>
      <c r="AI42" s="23">
        <v>255</v>
      </c>
      <c r="AJ42" s="7" t="s">
        <v>142</v>
      </c>
      <c r="AK42" s="24">
        <v>1500</v>
      </c>
      <c r="AL42" s="7" t="s">
        <v>143</v>
      </c>
      <c r="AM42" s="7">
        <v>8</v>
      </c>
      <c r="AN42" s="7" t="s">
        <v>144</v>
      </c>
      <c r="AO42" s="7">
        <v>12</v>
      </c>
      <c r="AP42" s="7" t="s">
        <v>145</v>
      </c>
      <c r="AQ42" s="7">
        <v>8</v>
      </c>
      <c r="AR42" s="7" t="s">
        <v>146</v>
      </c>
      <c r="AS42" s="7">
        <v>11</v>
      </c>
      <c r="AT42" s="7" t="s">
        <v>147</v>
      </c>
      <c r="AU42" s="7">
        <v>21</v>
      </c>
      <c r="AV42" s="7" t="s">
        <v>148</v>
      </c>
      <c r="AW42" s="7">
        <v>29</v>
      </c>
      <c r="AX42" s="7" t="s">
        <v>149</v>
      </c>
      <c r="AY42" s="7">
        <v>21</v>
      </c>
      <c r="AZ42" s="7" t="s">
        <v>150</v>
      </c>
      <c r="BA42" s="7">
        <v>29</v>
      </c>
      <c r="BB42" s="7" t="s">
        <v>151</v>
      </c>
      <c r="BC42" s="7">
        <v>0</v>
      </c>
      <c r="BD42" s="7" t="s">
        <v>152</v>
      </c>
      <c r="BE42" s="7">
        <v>0</v>
      </c>
      <c r="BF42" s="7" t="s">
        <v>153</v>
      </c>
      <c r="BG42" s="7">
        <v>100</v>
      </c>
      <c r="BH42" s="7" t="s">
        <v>154</v>
      </c>
      <c r="BI42" s="7">
        <v>10</v>
      </c>
      <c r="BJ42" s="7" t="s">
        <v>155</v>
      </c>
      <c r="BK42" s="7">
        <v>250</v>
      </c>
      <c r="BL42" s="20"/>
      <c r="BM42" s="20"/>
      <c r="BN42" s="20">
        <v>1</v>
      </c>
      <c r="BO42" s="20">
        <v>2500</v>
      </c>
      <c r="BP42" s="20">
        <v>2</v>
      </c>
      <c r="BQ42" s="20">
        <v>2500</v>
      </c>
      <c r="BR42" s="20" t="s">
        <v>156</v>
      </c>
    </row>
    <row r="43" s="7" customFormat="1" ht="16.5" spans="1:70">
      <c r="A43" s="15">
        <f>60000000+INDEX(编号表!$B:$B,MATCH(I43,编号表!$A:$A,0))*10000+INDEX(编号表!$B:$B,MATCH(J43,编号表!$C:$C,0))*1000+K43</f>
        <v>60024000</v>
      </c>
      <c r="B43" s="15" t="s">
        <v>254</v>
      </c>
      <c r="C43" s="15" t="s">
        <v>247</v>
      </c>
      <c r="D43" s="15" t="s">
        <v>253</v>
      </c>
      <c r="E43" s="15">
        <v>19</v>
      </c>
      <c r="F43" s="15" t="str" cm="1">
        <f t="array" ref="F43">INDEX(编号表!$E:$E,MATCH(J43,编号表!$C:$C,0))</f>
        <v>橙色</v>
      </c>
      <c r="G43" s="15">
        <v>6</v>
      </c>
      <c r="H43" s="15" t="s">
        <v>237</v>
      </c>
      <c r="I43" s="15" t="s">
        <v>238</v>
      </c>
      <c r="J43" s="15" t="s">
        <v>233</v>
      </c>
      <c r="K43" s="7">
        <v>0</v>
      </c>
      <c r="L43" s="7">
        <f>COUNTIFS(I$11:I43,I43,J$11:J43,J43)-1</f>
        <v>0</v>
      </c>
      <c r="O43" s="7">
        <v>10</v>
      </c>
      <c r="P43" s="7">
        <v>150000</v>
      </c>
      <c r="Q43" s="7" t="s">
        <v>138</v>
      </c>
      <c r="R43" s="21">
        <v>40140002</v>
      </c>
      <c r="S43" s="7"/>
      <c r="T43" s="7"/>
      <c r="U43" s="7">
        <v>11010001</v>
      </c>
      <c r="V43" s="7">
        <v>11020001</v>
      </c>
      <c r="X43" s="7" t="s">
        <v>139</v>
      </c>
      <c r="Y43" s="7" t="s">
        <v>248</v>
      </c>
      <c r="Z43" s="7">
        <v>1.5</v>
      </c>
      <c r="AA43" s="7">
        <v>80</v>
      </c>
      <c r="AB43" s="7">
        <v>80</v>
      </c>
      <c r="AC43" s="7">
        <v>20</v>
      </c>
      <c r="AD43" s="7">
        <v>30</v>
      </c>
      <c r="AE43" s="7" t="s">
        <v>141</v>
      </c>
      <c r="AF43" s="7"/>
      <c r="AG43" s="22" t="s">
        <v>234</v>
      </c>
      <c r="AI43" s="23">
        <v>1280</v>
      </c>
      <c r="AJ43" s="7" t="s">
        <v>142</v>
      </c>
      <c r="AK43" s="24">
        <v>6500</v>
      </c>
      <c r="AL43" s="7" t="s">
        <v>143</v>
      </c>
      <c r="AM43" s="7">
        <v>11</v>
      </c>
      <c r="AN43" s="7" t="s">
        <v>144</v>
      </c>
      <c r="AO43" s="7">
        <v>15</v>
      </c>
      <c r="AP43" s="7" t="s">
        <v>145</v>
      </c>
      <c r="AQ43" s="7">
        <v>10</v>
      </c>
      <c r="AR43" s="7" t="s">
        <v>146</v>
      </c>
      <c r="AS43" s="7">
        <v>15</v>
      </c>
      <c r="AT43" s="7" t="s">
        <v>147</v>
      </c>
      <c r="AU43" s="7">
        <v>32</v>
      </c>
      <c r="AV43" s="7" t="s">
        <v>148</v>
      </c>
      <c r="AW43" s="7">
        <v>43</v>
      </c>
      <c r="AX43" s="7" t="s">
        <v>149</v>
      </c>
      <c r="AY43" s="7">
        <v>32</v>
      </c>
      <c r="AZ43" s="7" t="s">
        <v>150</v>
      </c>
      <c r="BA43" s="7">
        <v>43</v>
      </c>
      <c r="BB43" s="7" t="s">
        <v>151</v>
      </c>
      <c r="BC43" s="7">
        <v>0</v>
      </c>
      <c r="BD43" s="7" t="s">
        <v>152</v>
      </c>
      <c r="BE43" s="7">
        <v>0</v>
      </c>
      <c r="BF43" s="7" t="s">
        <v>153</v>
      </c>
      <c r="BG43" s="7">
        <v>100</v>
      </c>
      <c r="BH43" s="7" t="s">
        <v>154</v>
      </c>
      <c r="BI43" s="7">
        <v>10</v>
      </c>
      <c r="BJ43" s="7" t="s">
        <v>155</v>
      </c>
      <c r="BK43" s="7">
        <v>250</v>
      </c>
      <c r="BL43" s="20"/>
      <c r="BM43" s="20"/>
      <c r="BN43" s="20">
        <v>1</v>
      </c>
      <c r="BO43" s="20">
        <v>2500</v>
      </c>
      <c r="BP43" s="20">
        <v>2</v>
      </c>
      <c r="BQ43" s="20">
        <v>2500</v>
      </c>
      <c r="BR43" s="20" t="s">
        <v>156</v>
      </c>
    </row>
    <row r="44" s="7" customFormat="1" ht="16.5" spans="1:70">
      <c r="A44" s="7">
        <f>60000000+INDEX(编号表!$B:$B,MATCH(I44,编号表!$A:$A,0))*10000+INDEX(编号表!$B:$B,MATCH(J44,编号表!$C:$C,0))*1000+K44</f>
        <v>60031000</v>
      </c>
      <c r="B44" s="7" t="s">
        <v>255</v>
      </c>
      <c r="C44" s="7" t="s">
        <v>236</v>
      </c>
      <c r="D44" s="7" t="s">
        <v>256</v>
      </c>
      <c r="E44" s="7">
        <v>19</v>
      </c>
      <c r="F44" s="7" t="str" cm="1">
        <f t="array" ref="F44">INDEX(编号表!$E:$E,MATCH(J44,编号表!$C:$C,0))</f>
        <v>白色</v>
      </c>
      <c r="G44" s="7">
        <v>7</v>
      </c>
      <c r="H44" s="7" t="s">
        <v>257</v>
      </c>
      <c r="I44" s="7" t="s">
        <v>258</v>
      </c>
      <c r="J44" s="7" t="s">
        <v>137</v>
      </c>
      <c r="K44" s="7">
        <v>0</v>
      </c>
      <c r="L44" s="7">
        <f>COUNTIFS(I$11:I44,I44,J$11:J44,J44)-1</f>
        <v>0</v>
      </c>
      <c r="O44" s="7">
        <v>10</v>
      </c>
      <c r="P44" s="7">
        <v>150000</v>
      </c>
      <c r="Q44" s="7" t="s">
        <v>138</v>
      </c>
      <c r="R44" s="21">
        <v>40140002</v>
      </c>
      <c r="S44" s="7"/>
      <c r="T44" s="7"/>
      <c r="U44" s="7">
        <v>11010001</v>
      </c>
      <c r="V44" s="7">
        <v>11020001</v>
      </c>
      <c r="X44" s="7" t="s">
        <v>139</v>
      </c>
      <c r="Y44" s="7" t="s">
        <v>239</v>
      </c>
      <c r="Z44" s="7"/>
      <c r="AA44" s="7">
        <v>50</v>
      </c>
      <c r="AB44" s="7">
        <v>50</v>
      </c>
      <c r="AC44" s="7">
        <v>20</v>
      </c>
      <c r="AD44" s="7">
        <v>30</v>
      </c>
      <c r="AE44" s="7" t="s">
        <v>141</v>
      </c>
      <c r="AF44" s="7"/>
      <c r="AG44" s="22"/>
      <c r="AI44" s="23">
        <v>65</v>
      </c>
      <c r="AJ44" s="7" t="s">
        <v>142</v>
      </c>
      <c r="AK44" s="24">
        <v>230</v>
      </c>
      <c r="AL44" s="7" t="s">
        <v>143</v>
      </c>
      <c r="AM44" s="7">
        <v>4</v>
      </c>
      <c r="AN44" s="7" t="s">
        <v>144</v>
      </c>
      <c r="AO44" s="7">
        <v>6</v>
      </c>
      <c r="AP44" s="7" t="s">
        <v>145</v>
      </c>
      <c r="AQ44" s="7">
        <v>4</v>
      </c>
      <c r="AR44" s="7" t="s">
        <v>146</v>
      </c>
      <c r="AS44" s="7">
        <v>6</v>
      </c>
      <c r="AT44" s="7" t="s">
        <v>147</v>
      </c>
      <c r="AU44" s="7">
        <v>13</v>
      </c>
      <c r="AV44" s="7" t="s">
        <v>148</v>
      </c>
      <c r="AW44" s="7">
        <v>18</v>
      </c>
      <c r="AX44" s="7" t="s">
        <v>149</v>
      </c>
      <c r="AY44" s="7">
        <v>13</v>
      </c>
      <c r="AZ44" s="7" t="s">
        <v>150</v>
      </c>
      <c r="BA44" s="7">
        <v>18</v>
      </c>
      <c r="BB44" s="7" t="s">
        <v>151</v>
      </c>
      <c r="BC44" s="7">
        <v>0</v>
      </c>
      <c r="BD44" s="7" t="s">
        <v>152</v>
      </c>
      <c r="BE44" s="7">
        <v>0</v>
      </c>
      <c r="BF44" s="7" t="s">
        <v>153</v>
      </c>
      <c r="BG44" s="7">
        <v>100</v>
      </c>
      <c r="BH44" s="7" t="s">
        <v>154</v>
      </c>
      <c r="BI44" s="7">
        <v>10</v>
      </c>
      <c r="BJ44" s="7" t="s">
        <v>155</v>
      </c>
      <c r="BK44" s="7">
        <v>250</v>
      </c>
      <c r="BL44" s="20">
        <v>0.03</v>
      </c>
      <c r="BM44" s="20"/>
      <c r="BN44" s="20">
        <v>1</v>
      </c>
      <c r="BO44" s="20">
        <v>2500</v>
      </c>
      <c r="BP44" s="20">
        <v>2</v>
      </c>
      <c r="BQ44" s="20">
        <v>2500</v>
      </c>
      <c r="BR44" s="20" t="s">
        <v>156</v>
      </c>
    </row>
    <row r="45" s="7" customFormat="1" ht="16.5" spans="1:70">
      <c r="A45" s="7">
        <f>60000000+INDEX(编号表!$B:$B,MATCH(I45,编号表!$A:$A,0))*10000+INDEX(编号表!$B:$B,MATCH(J45,编号表!$C:$C,0))*1000+K45</f>
        <v>60031001</v>
      </c>
      <c r="B45" s="7" t="s">
        <v>259</v>
      </c>
      <c r="C45" s="7" t="s">
        <v>244</v>
      </c>
      <c r="D45" s="7" t="s">
        <v>260</v>
      </c>
      <c r="E45" s="7">
        <v>19</v>
      </c>
      <c r="F45" s="7" t="str" cm="1">
        <f t="array" ref="F45">INDEX(编号表!$E:$E,MATCH(J45,编号表!$C:$C,0))</f>
        <v>白色</v>
      </c>
      <c r="G45" s="7">
        <v>7</v>
      </c>
      <c r="H45" s="7" t="s">
        <v>257</v>
      </c>
      <c r="I45" s="7" t="s">
        <v>258</v>
      </c>
      <c r="J45" s="7" t="s">
        <v>137</v>
      </c>
      <c r="K45" s="7">
        <v>1</v>
      </c>
      <c r="L45" s="7">
        <f>COUNTIFS(I$11:I45,I45,J$11:J45,J45)-1</f>
        <v>1</v>
      </c>
      <c r="O45" s="7">
        <v>10</v>
      </c>
      <c r="P45" s="7">
        <v>150000</v>
      </c>
      <c r="Q45" s="7" t="s">
        <v>138</v>
      </c>
      <c r="R45" s="21">
        <v>40140002</v>
      </c>
      <c r="S45" s="7"/>
      <c r="T45" s="7"/>
      <c r="U45" s="7">
        <v>11010001</v>
      </c>
      <c r="V45" s="7">
        <v>11020001</v>
      </c>
      <c r="X45" s="7" t="s">
        <v>139</v>
      </c>
      <c r="Y45" s="7" t="s">
        <v>245</v>
      </c>
      <c r="Z45" s="7">
        <v>1.5</v>
      </c>
      <c r="AA45" s="7">
        <v>80</v>
      </c>
      <c r="AB45" s="7">
        <v>80</v>
      </c>
      <c r="AC45" s="7">
        <v>20</v>
      </c>
      <c r="AD45" s="7">
        <v>30</v>
      </c>
      <c r="AE45" s="7" t="s">
        <v>141</v>
      </c>
      <c r="AF45" s="7"/>
      <c r="AG45" s="22"/>
      <c r="AI45" s="23">
        <v>65</v>
      </c>
      <c r="AJ45" s="7" t="s">
        <v>142</v>
      </c>
      <c r="AK45" s="24">
        <v>300</v>
      </c>
      <c r="AL45" s="7" t="s">
        <v>143</v>
      </c>
      <c r="AM45" s="7">
        <v>6</v>
      </c>
      <c r="AN45" s="7" t="s">
        <v>144</v>
      </c>
      <c r="AO45" s="7">
        <v>8</v>
      </c>
      <c r="AP45" s="7" t="s">
        <v>145</v>
      </c>
      <c r="AQ45" s="7">
        <v>5</v>
      </c>
      <c r="AR45" s="7" t="s">
        <v>146</v>
      </c>
      <c r="AS45" s="7">
        <v>8</v>
      </c>
      <c r="AT45" s="7" t="s">
        <v>147</v>
      </c>
      <c r="AU45" s="7">
        <v>12</v>
      </c>
      <c r="AV45" s="7" t="s">
        <v>148</v>
      </c>
      <c r="AW45" s="7">
        <v>17</v>
      </c>
      <c r="AX45" s="7" t="s">
        <v>149</v>
      </c>
      <c r="AY45" s="7">
        <v>12</v>
      </c>
      <c r="AZ45" s="7" t="s">
        <v>150</v>
      </c>
      <c r="BA45" s="7">
        <v>17</v>
      </c>
      <c r="BB45" s="7" t="s">
        <v>151</v>
      </c>
      <c r="BC45" s="7">
        <v>0</v>
      </c>
      <c r="BD45" s="7" t="s">
        <v>152</v>
      </c>
      <c r="BE45" s="7">
        <v>0</v>
      </c>
      <c r="BF45" s="7" t="s">
        <v>153</v>
      </c>
      <c r="BG45" s="7">
        <v>100</v>
      </c>
      <c r="BH45" s="7" t="s">
        <v>154</v>
      </c>
      <c r="BI45" s="7">
        <v>10</v>
      </c>
      <c r="BJ45" s="7" t="s">
        <v>155</v>
      </c>
      <c r="BK45" s="7">
        <v>250</v>
      </c>
      <c r="BL45" s="20"/>
      <c r="BM45" s="20"/>
      <c r="BN45" s="20">
        <v>1</v>
      </c>
      <c r="BO45" s="20">
        <v>2500</v>
      </c>
      <c r="BP45" s="20">
        <v>2</v>
      </c>
      <c r="BQ45" s="20">
        <v>2500</v>
      </c>
      <c r="BR45" s="20" t="s">
        <v>156</v>
      </c>
    </row>
    <row r="46" s="7" customFormat="1" ht="16.5" spans="1:70">
      <c r="A46" s="7">
        <f>60000000+INDEX(编号表!$B:$B,MATCH(I46,编号表!$A:$A,0))*10000+INDEX(编号表!$B:$B,MATCH(J46,编号表!$C:$C,0))*1000+K46</f>
        <v>60031002</v>
      </c>
      <c r="B46" s="7" t="s">
        <v>261</v>
      </c>
      <c r="C46" s="7" t="s">
        <v>247</v>
      </c>
      <c r="D46" s="7" t="s">
        <v>262</v>
      </c>
      <c r="E46" s="7">
        <v>19</v>
      </c>
      <c r="F46" s="7" t="str" cm="1">
        <f t="array" ref="F46">INDEX(编号表!$E:$E,MATCH(J46,编号表!$C:$C,0))</f>
        <v>白色</v>
      </c>
      <c r="G46" s="7">
        <v>7</v>
      </c>
      <c r="H46" s="7" t="s">
        <v>257</v>
      </c>
      <c r="I46" s="7" t="s">
        <v>258</v>
      </c>
      <c r="J46" s="7" t="s">
        <v>137</v>
      </c>
      <c r="K46" s="7">
        <v>2</v>
      </c>
      <c r="L46" s="7">
        <f>COUNTIFS(I$11:I46,I46,J$11:J46,J46)-1</f>
        <v>2</v>
      </c>
      <c r="O46" s="7">
        <v>10</v>
      </c>
      <c r="P46" s="7">
        <v>150000</v>
      </c>
      <c r="Q46" s="7" t="s">
        <v>138</v>
      </c>
      <c r="R46" s="21">
        <v>40140002</v>
      </c>
      <c r="S46" s="7"/>
      <c r="T46" s="7"/>
      <c r="U46" s="7">
        <v>11010001</v>
      </c>
      <c r="V46" s="7">
        <v>11020001</v>
      </c>
      <c r="X46" s="7" t="s">
        <v>139</v>
      </c>
      <c r="Y46" s="7" t="s">
        <v>248</v>
      </c>
      <c r="Z46" s="7">
        <v>1.5</v>
      </c>
      <c r="AA46" s="7">
        <v>80</v>
      </c>
      <c r="AB46" s="7">
        <v>80</v>
      </c>
      <c r="AC46" s="7">
        <v>20</v>
      </c>
      <c r="AD46" s="7">
        <v>30</v>
      </c>
      <c r="AE46" s="7" t="s">
        <v>141</v>
      </c>
      <c r="AF46" s="7"/>
      <c r="AG46" s="22"/>
      <c r="AI46" s="23">
        <v>65</v>
      </c>
      <c r="AJ46" s="7" t="s">
        <v>142</v>
      </c>
      <c r="AK46" s="24">
        <v>350</v>
      </c>
      <c r="AL46" s="7" t="s">
        <v>143</v>
      </c>
      <c r="AM46" s="7">
        <v>6</v>
      </c>
      <c r="AN46" s="7" t="s">
        <v>144</v>
      </c>
      <c r="AO46" s="7">
        <v>9</v>
      </c>
      <c r="AP46" s="7" t="s">
        <v>145</v>
      </c>
      <c r="AQ46" s="7">
        <v>6</v>
      </c>
      <c r="AR46" s="7" t="s">
        <v>146</v>
      </c>
      <c r="AS46" s="7">
        <v>9</v>
      </c>
      <c r="AT46" s="7" t="s">
        <v>147</v>
      </c>
      <c r="AU46" s="7">
        <v>13</v>
      </c>
      <c r="AV46" s="7" t="s">
        <v>148</v>
      </c>
      <c r="AW46" s="7">
        <v>18</v>
      </c>
      <c r="AX46" s="7" t="s">
        <v>149</v>
      </c>
      <c r="AY46" s="7">
        <v>13</v>
      </c>
      <c r="AZ46" s="7" t="s">
        <v>150</v>
      </c>
      <c r="BA46" s="7">
        <v>18</v>
      </c>
      <c r="BB46" s="7" t="s">
        <v>151</v>
      </c>
      <c r="BC46" s="7">
        <v>0</v>
      </c>
      <c r="BD46" s="7" t="s">
        <v>152</v>
      </c>
      <c r="BE46" s="7">
        <v>0</v>
      </c>
      <c r="BF46" s="7" t="s">
        <v>153</v>
      </c>
      <c r="BG46" s="7">
        <v>100</v>
      </c>
      <c r="BH46" s="7" t="s">
        <v>154</v>
      </c>
      <c r="BI46" s="7">
        <v>10</v>
      </c>
      <c r="BJ46" s="7" t="s">
        <v>155</v>
      </c>
      <c r="BK46" s="7">
        <v>250</v>
      </c>
      <c r="BL46" s="20"/>
      <c r="BM46" s="20"/>
      <c r="BN46" s="20">
        <v>1</v>
      </c>
      <c r="BO46" s="20">
        <v>2500</v>
      </c>
      <c r="BP46" s="20">
        <v>2</v>
      </c>
      <c r="BQ46" s="20">
        <v>2500</v>
      </c>
      <c r="BR46" s="20" t="s">
        <v>156</v>
      </c>
    </row>
    <row r="47" s="7" customFormat="1" ht="16.5" spans="1:70">
      <c r="A47" s="7">
        <f>60000000+INDEX(编号表!$B:$B,MATCH(I47,编号表!$A:$A,0))*10000+INDEX(编号表!$B:$B,MATCH(J47,编号表!$C:$C,0))*1000+K47</f>
        <v>60031003</v>
      </c>
      <c r="B47" s="7" t="s">
        <v>263</v>
      </c>
      <c r="C47" s="7" t="s">
        <v>250</v>
      </c>
      <c r="D47" s="7" t="s">
        <v>264</v>
      </c>
      <c r="E47" s="7">
        <v>19</v>
      </c>
      <c r="F47" s="7" t="str" cm="1">
        <f t="array" ref="F47">INDEX(编号表!$E:$E,MATCH(J47,编号表!$C:$C,0))</f>
        <v>白色</v>
      </c>
      <c r="G47" s="7">
        <v>7</v>
      </c>
      <c r="H47" s="7" t="s">
        <v>257</v>
      </c>
      <c r="I47" s="7" t="s">
        <v>258</v>
      </c>
      <c r="J47" s="7" t="s">
        <v>137</v>
      </c>
      <c r="K47" s="7">
        <v>3</v>
      </c>
      <c r="L47" s="7">
        <f>COUNTIFS(I$11:I47,I47,J$11:J47,J47)-1</f>
        <v>3</v>
      </c>
      <c r="O47" s="7">
        <v>10</v>
      </c>
      <c r="P47" s="7">
        <v>150000</v>
      </c>
      <c r="Q47" s="7" t="s">
        <v>138</v>
      </c>
      <c r="R47" s="21">
        <v>40140002</v>
      </c>
      <c r="S47" s="7"/>
      <c r="T47" s="7"/>
      <c r="U47" s="7">
        <v>11010001</v>
      </c>
      <c r="V47" s="7">
        <v>11020001</v>
      </c>
      <c r="X47" s="7" t="s">
        <v>139</v>
      </c>
      <c r="Y47" s="7" t="s">
        <v>251</v>
      </c>
      <c r="Z47" s="7">
        <v>1.5</v>
      </c>
      <c r="AA47" s="7">
        <v>80</v>
      </c>
      <c r="AB47" s="7">
        <v>80</v>
      </c>
      <c r="AC47" s="7">
        <v>20</v>
      </c>
      <c r="AD47" s="7">
        <v>30</v>
      </c>
      <c r="AE47" s="7" t="s">
        <v>141</v>
      </c>
      <c r="AF47" s="7"/>
      <c r="AG47" s="22"/>
      <c r="AI47" s="23">
        <v>65</v>
      </c>
      <c r="AJ47" s="7" t="s">
        <v>142</v>
      </c>
      <c r="AK47" s="24">
        <v>350</v>
      </c>
      <c r="AL47" s="7" t="s">
        <v>143</v>
      </c>
      <c r="AM47" s="7">
        <v>6</v>
      </c>
      <c r="AN47" s="7" t="s">
        <v>144</v>
      </c>
      <c r="AO47" s="7">
        <v>9</v>
      </c>
      <c r="AP47" s="7" t="s">
        <v>145</v>
      </c>
      <c r="AQ47" s="7">
        <v>6</v>
      </c>
      <c r="AR47" s="7" t="s">
        <v>146</v>
      </c>
      <c r="AS47" s="7">
        <v>9</v>
      </c>
      <c r="AT47" s="7" t="s">
        <v>147</v>
      </c>
      <c r="AU47" s="7">
        <v>13</v>
      </c>
      <c r="AV47" s="7" t="s">
        <v>148</v>
      </c>
      <c r="AW47" s="7">
        <v>18</v>
      </c>
      <c r="AX47" s="7" t="s">
        <v>149</v>
      </c>
      <c r="AY47" s="7">
        <v>13</v>
      </c>
      <c r="AZ47" s="7" t="s">
        <v>150</v>
      </c>
      <c r="BA47" s="7">
        <v>18</v>
      </c>
      <c r="BB47" s="7" t="s">
        <v>151</v>
      </c>
      <c r="BC47" s="7">
        <v>0</v>
      </c>
      <c r="BD47" s="7" t="s">
        <v>152</v>
      </c>
      <c r="BE47" s="7">
        <v>0</v>
      </c>
      <c r="BF47" s="7" t="s">
        <v>153</v>
      </c>
      <c r="BG47" s="7">
        <v>100</v>
      </c>
      <c r="BH47" s="7" t="s">
        <v>154</v>
      </c>
      <c r="BI47" s="7">
        <v>10</v>
      </c>
      <c r="BJ47" s="7" t="s">
        <v>155</v>
      </c>
      <c r="BK47" s="7">
        <v>250</v>
      </c>
      <c r="BL47" s="20"/>
      <c r="BM47" s="20"/>
      <c r="BN47" s="20">
        <v>1</v>
      </c>
      <c r="BO47" s="20">
        <v>2500</v>
      </c>
      <c r="BP47" s="20">
        <v>2</v>
      </c>
      <c r="BQ47" s="20">
        <v>2500</v>
      </c>
      <c r="BR47" s="20" t="s">
        <v>156</v>
      </c>
    </row>
    <row r="48" s="7" customFormat="1" ht="16.5" spans="1:70">
      <c r="A48" s="7">
        <f>60000000+INDEX(编号表!$B:$B,MATCH(I48,编号表!$A:$A,0))*10000+INDEX(编号表!$B:$B,MATCH(J48,编号表!$C:$C,0))*1000+K48</f>
        <v>60031004</v>
      </c>
      <c r="B48" s="7" t="s">
        <v>265</v>
      </c>
      <c r="C48" s="7" t="s">
        <v>266</v>
      </c>
      <c r="D48" s="7" t="s">
        <v>266</v>
      </c>
      <c r="E48" s="7">
        <v>19</v>
      </c>
      <c r="F48" s="7" t="str" cm="1">
        <f t="array" ref="F48">INDEX(编号表!$E:$E,MATCH(J48,编号表!$C:$C,0))</f>
        <v>白色</v>
      </c>
      <c r="G48" s="7">
        <v>7</v>
      </c>
      <c r="H48" s="7" t="s">
        <v>257</v>
      </c>
      <c r="I48" s="7" t="s">
        <v>258</v>
      </c>
      <c r="J48" s="7" t="s">
        <v>137</v>
      </c>
      <c r="K48" s="7">
        <v>4</v>
      </c>
      <c r="L48" s="7">
        <f>COUNTIFS(I$11:I48,I48,J$11:J48,J48)-1</f>
        <v>4</v>
      </c>
      <c r="O48" s="7">
        <v>10</v>
      </c>
      <c r="P48" s="7">
        <v>150000</v>
      </c>
      <c r="Q48" s="7" t="s">
        <v>138</v>
      </c>
      <c r="R48" s="21">
        <v>40140002</v>
      </c>
      <c r="S48" s="7"/>
      <c r="T48" s="7"/>
      <c r="U48" s="7">
        <v>11010001</v>
      </c>
      <c r="V48" s="7">
        <v>11020001</v>
      </c>
      <c r="X48" s="7" t="s">
        <v>139</v>
      </c>
      <c r="Y48" s="7" t="s">
        <v>267</v>
      </c>
      <c r="Z48" s="7">
        <v>1.5</v>
      </c>
      <c r="AA48" s="7">
        <v>80</v>
      </c>
      <c r="AB48" s="7">
        <v>80</v>
      </c>
      <c r="AC48" s="7">
        <v>20</v>
      </c>
      <c r="AD48" s="7">
        <v>30</v>
      </c>
      <c r="AE48" s="7" t="s">
        <v>206</v>
      </c>
      <c r="AF48" s="7" t="s">
        <v>268</v>
      </c>
      <c r="AG48" s="22"/>
      <c r="AI48" s="23">
        <v>65</v>
      </c>
      <c r="AJ48" s="7" t="s">
        <v>142</v>
      </c>
      <c r="AK48" s="24">
        <v>280</v>
      </c>
      <c r="AL48" s="7" t="s">
        <v>143</v>
      </c>
      <c r="AM48" s="7">
        <v>5</v>
      </c>
      <c r="AN48" s="7" t="s">
        <v>144</v>
      </c>
      <c r="AO48" s="7">
        <v>7</v>
      </c>
      <c r="AP48" s="7" t="s">
        <v>145</v>
      </c>
      <c r="AQ48" s="7">
        <v>5</v>
      </c>
      <c r="AR48" s="7" t="s">
        <v>146</v>
      </c>
      <c r="AS48" s="7">
        <v>7</v>
      </c>
      <c r="AT48" s="7" t="s">
        <v>147</v>
      </c>
      <c r="AU48" s="7">
        <v>14</v>
      </c>
      <c r="AV48" s="7" t="s">
        <v>148</v>
      </c>
      <c r="AW48" s="7">
        <v>19</v>
      </c>
      <c r="AX48" s="7" t="s">
        <v>149</v>
      </c>
      <c r="AY48" s="7">
        <v>14</v>
      </c>
      <c r="AZ48" s="7" t="s">
        <v>150</v>
      </c>
      <c r="BA48" s="7">
        <v>19</v>
      </c>
      <c r="BB48" s="7" t="s">
        <v>151</v>
      </c>
      <c r="BC48" s="7">
        <v>0</v>
      </c>
      <c r="BD48" s="7" t="s">
        <v>152</v>
      </c>
      <c r="BE48" s="7">
        <v>0</v>
      </c>
      <c r="BF48" s="7" t="s">
        <v>153</v>
      </c>
      <c r="BG48" s="7">
        <v>100</v>
      </c>
      <c r="BH48" s="7" t="s">
        <v>154</v>
      </c>
      <c r="BI48" s="7">
        <v>300</v>
      </c>
      <c r="BJ48" s="7" t="s">
        <v>155</v>
      </c>
      <c r="BK48" s="7">
        <v>250</v>
      </c>
      <c r="BL48" s="20"/>
      <c r="BM48" s="20"/>
      <c r="BN48" s="20">
        <v>1</v>
      </c>
      <c r="BO48" s="20">
        <v>2500</v>
      </c>
      <c r="BP48" s="20">
        <v>2</v>
      </c>
      <c r="BQ48" s="20">
        <v>2500</v>
      </c>
      <c r="BR48" s="20" t="s">
        <v>156</v>
      </c>
    </row>
    <row r="49" s="7" customFormat="1" ht="16.5" spans="1:70">
      <c r="A49" s="7">
        <f>60000000+INDEX(编号表!$B:$B,MATCH(I49,编号表!$A:$A,0))*10000+INDEX(编号表!$B:$B,MATCH(J49,编号表!$C:$C,0))*1000+K49</f>
        <v>60031005</v>
      </c>
      <c r="B49" s="7" t="s">
        <v>269</v>
      </c>
      <c r="C49" s="7" t="s">
        <v>270</v>
      </c>
      <c r="D49" s="7" t="s">
        <v>270</v>
      </c>
      <c r="E49" s="7">
        <v>19</v>
      </c>
      <c r="F49" s="7" t="str" cm="1">
        <f t="array" ref="F49">INDEX(编号表!$E:$E,MATCH(J49,编号表!$C:$C,0))</f>
        <v>白色</v>
      </c>
      <c r="G49" s="7">
        <v>7</v>
      </c>
      <c r="H49" s="7" t="s">
        <v>257</v>
      </c>
      <c r="I49" s="7" t="s">
        <v>258</v>
      </c>
      <c r="J49" s="7" t="s">
        <v>137</v>
      </c>
      <c r="K49" s="7">
        <v>5</v>
      </c>
      <c r="L49" s="7">
        <f>COUNTIFS(I$11:I49,I49,J$11:J49,J49)-1</f>
        <v>5</v>
      </c>
      <c r="O49" s="7">
        <v>10</v>
      </c>
      <c r="P49" s="7">
        <v>150000</v>
      </c>
      <c r="Q49" s="7" t="s">
        <v>138</v>
      </c>
      <c r="R49" s="21">
        <v>40140002</v>
      </c>
      <c r="S49" s="7"/>
      <c r="T49" s="7"/>
      <c r="U49" s="7">
        <v>11010001</v>
      </c>
      <c r="V49" s="7">
        <v>11020001</v>
      </c>
      <c r="X49" s="7" t="s">
        <v>139</v>
      </c>
      <c r="Y49" s="7" t="s">
        <v>271</v>
      </c>
      <c r="Z49" s="7">
        <v>1.5</v>
      </c>
      <c r="AA49" s="7">
        <v>80</v>
      </c>
      <c r="AB49" s="7">
        <v>80</v>
      </c>
      <c r="AC49" s="7">
        <v>20</v>
      </c>
      <c r="AD49" s="7">
        <v>30</v>
      </c>
      <c r="AE49" s="7" t="s">
        <v>141</v>
      </c>
      <c r="AF49" s="7"/>
      <c r="AG49" s="22"/>
      <c r="AI49" s="23">
        <v>65</v>
      </c>
      <c r="AJ49" s="7" t="s">
        <v>142</v>
      </c>
      <c r="AK49" s="24">
        <v>300</v>
      </c>
      <c r="AL49" s="7" t="s">
        <v>143</v>
      </c>
      <c r="AM49" s="7">
        <v>6</v>
      </c>
      <c r="AN49" s="7" t="s">
        <v>144</v>
      </c>
      <c r="AO49" s="7">
        <v>8</v>
      </c>
      <c r="AP49" s="7" t="s">
        <v>145</v>
      </c>
      <c r="AQ49" s="7">
        <v>5</v>
      </c>
      <c r="AR49" s="7" t="s">
        <v>146</v>
      </c>
      <c r="AS49" s="7">
        <v>8</v>
      </c>
      <c r="AT49" s="7" t="s">
        <v>147</v>
      </c>
      <c r="AU49" s="7">
        <v>12</v>
      </c>
      <c r="AV49" s="7" t="s">
        <v>148</v>
      </c>
      <c r="AW49" s="7">
        <v>17</v>
      </c>
      <c r="AX49" s="7" t="s">
        <v>149</v>
      </c>
      <c r="AY49" s="7">
        <v>12</v>
      </c>
      <c r="AZ49" s="7" t="s">
        <v>150</v>
      </c>
      <c r="BA49" s="7">
        <v>17</v>
      </c>
      <c r="BB49" s="7" t="s">
        <v>151</v>
      </c>
      <c r="BC49" s="7">
        <v>0</v>
      </c>
      <c r="BD49" s="7" t="s">
        <v>152</v>
      </c>
      <c r="BE49" s="7">
        <v>0</v>
      </c>
      <c r="BF49" s="7" t="s">
        <v>153</v>
      </c>
      <c r="BG49" s="7">
        <v>100</v>
      </c>
      <c r="BH49" s="7" t="s">
        <v>154</v>
      </c>
      <c r="BI49" s="7">
        <v>10</v>
      </c>
      <c r="BJ49" s="7" t="s">
        <v>155</v>
      </c>
      <c r="BK49" s="7">
        <v>250</v>
      </c>
      <c r="BL49" s="20"/>
      <c r="BM49" s="20"/>
      <c r="BN49" s="20">
        <v>1</v>
      </c>
      <c r="BO49" s="20">
        <v>2500</v>
      </c>
      <c r="BP49" s="20">
        <v>2</v>
      </c>
      <c r="BQ49" s="20">
        <v>2500</v>
      </c>
      <c r="BR49" s="20" t="s">
        <v>156</v>
      </c>
    </row>
    <row r="50" s="7" customFormat="1" ht="16.5" spans="1:70">
      <c r="A50" s="7">
        <f>60000000+INDEX(编号表!$B:$B,MATCH(I50,编号表!$A:$A,0))*10000+INDEX(编号表!$B:$B,MATCH(J50,编号表!$C:$C,0))*1000+K50</f>
        <v>60032000</v>
      </c>
      <c r="B50" s="7" t="s">
        <v>272</v>
      </c>
      <c r="C50" s="7" t="s">
        <v>266</v>
      </c>
      <c r="D50" s="7" t="s">
        <v>273</v>
      </c>
      <c r="E50" s="7">
        <v>20</v>
      </c>
      <c r="F50" s="7" t="str" cm="1">
        <f t="array" ref="F50">INDEX(编号表!$E:$E,MATCH(J50,编号表!$C:$C,0))</f>
        <v>绿色</v>
      </c>
      <c r="G50" s="7">
        <v>7</v>
      </c>
      <c r="H50" s="7" t="s">
        <v>257</v>
      </c>
      <c r="I50" s="7" t="s">
        <v>258</v>
      </c>
      <c r="J50" s="7" t="s">
        <v>221</v>
      </c>
      <c r="K50" s="7">
        <v>0</v>
      </c>
      <c r="L50" s="7">
        <f>COUNTIFS(I$11:I50,I50,J$11:J50,J50)-1</f>
        <v>0</v>
      </c>
      <c r="O50" s="7">
        <v>10</v>
      </c>
      <c r="P50" s="7">
        <v>150000</v>
      </c>
      <c r="Q50" s="7" t="s">
        <v>138</v>
      </c>
      <c r="R50" s="21">
        <v>40140002</v>
      </c>
      <c r="S50" s="7"/>
      <c r="T50" s="7"/>
      <c r="U50" s="7">
        <v>11010001</v>
      </c>
      <c r="V50" s="7">
        <v>11020001</v>
      </c>
      <c r="X50" s="7" t="s">
        <v>139</v>
      </c>
      <c r="Y50" s="7" t="s">
        <v>267</v>
      </c>
      <c r="Z50" s="7">
        <v>1.5</v>
      </c>
      <c r="AA50" s="7">
        <v>80</v>
      </c>
      <c r="AB50" s="7">
        <v>80</v>
      </c>
      <c r="AC50" s="7">
        <v>20</v>
      </c>
      <c r="AD50" s="7">
        <v>30</v>
      </c>
      <c r="AE50" s="7" t="s">
        <v>206</v>
      </c>
      <c r="AF50" s="7" t="s">
        <v>268</v>
      </c>
      <c r="AG50" s="22" t="s">
        <v>222</v>
      </c>
      <c r="AI50" s="23">
        <v>280</v>
      </c>
      <c r="AJ50" s="7" t="s">
        <v>142</v>
      </c>
      <c r="AK50" s="24">
        <v>1400</v>
      </c>
      <c r="AL50" s="7" t="s">
        <v>143</v>
      </c>
      <c r="AM50" s="7">
        <v>7</v>
      </c>
      <c r="AN50" s="7" t="s">
        <v>144</v>
      </c>
      <c r="AO50" s="7">
        <v>10</v>
      </c>
      <c r="AP50" s="7" t="s">
        <v>145</v>
      </c>
      <c r="AQ50" s="7">
        <v>7</v>
      </c>
      <c r="AR50" s="7" t="s">
        <v>146</v>
      </c>
      <c r="AS50" s="7">
        <v>10</v>
      </c>
      <c r="AT50" s="7" t="s">
        <v>147</v>
      </c>
      <c r="AU50" s="7">
        <v>25</v>
      </c>
      <c r="AV50" s="7" t="s">
        <v>148</v>
      </c>
      <c r="AW50" s="7">
        <v>34</v>
      </c>
      <c r="AX50" s="7" t="s">
        <v>149</v>
      </c>
      <c r="AY50" s="7">
        <v>25</v>
      </c>
      <c r="AZ50" s="7" t="s">
        <v>150</v>
      </c>
      <c r="BA50" s="7">
        <v>34</v>
      </c>
      <c r="BB50" s="7" t="s">
        <v>151</v>
      </c>
      <c r="BC50" s="7">
        <v>0</v>
      </c>
      <c r="BD50" s="7" t="s">
        <v>152</v>
      </c>
      <c r="BE50" s="7">
        <v>0</v>
      </c>
      <c r="BF50" s="7" t="s">
        <v>153</v>
      </c>
      <c r="BG50" s="7">
        <v>100</v>
      </c>
      <c r="BH50" s="7" t="s">
        <v>154</v>
      </c>
      <c r="BI50" s="7">
        <v>300</v>
      </c>
      <c r="BJ50" s="7" t="s">
        <v>155</v>
      </c>
      <c r="BK50" s="7">
        <v>250</v>
      </c>
      <c r="BL50" s="20"/>
      <c r="BM50" s="20"/>
      <c r="BN50" s="20">
        <v>1</v>
      </c>
      <c r="BO50" s="20">
        <v>2500</v>
      </c>
      <c r="BP50" s="20">
        <v>2</v>
      </c>
      <c r="BQ50" s="20">
        <v>2500</v>
      </c>
      <c r="BR50" s="20" t="s">
        <v>156</v>
      </c>
    </row>
    <row r="51" s="7" customFormat="1" ht="16.5" spans="1:70">
      <c r="A51" s="7">
        <f>60000000+INDEX(编号表!$B:$B,MATCH(I51,编号表!$A:$A,0))*10000+INDEX(编号表!$B:$B,MATCH(J51,编号表!$C:$C,0))*1000+K51</f>
        <v>60032001</v>
      </c>
      <c r="B51" s="7" t="s">
        <v>274</v>
      </c>
      <c r="C51" s="7" t="s">
        <v>270</v>
      </c>
      <c r="D51" s="7" t="s">
        <v>275</v>
      </c>
      <c r="E51" s="7">
        <v>20</v>
      </c>
      <c r="F51" s="7" t="str" cm="1">
        <f t="array" ref="F51">INDEX(编号表!$E:$E,MATCH(J51,编号表!$C:$C,0))</f>
        <v>绿色</v>
      </c>
      <c r="G51" s="7">
        <v>7</v>
      </c>
      <c r="H51" s="7" t="s">
        <v>257</v>
      </c>
      <c r="I51" s="7" t="s">
        <v>258</v>
      </c>
      <c r="J51" s="7" t="s">
        <v>221</v>
      </c>
      <c r="K51" s="7">
        <v>1</v>
      </c>
      <c r="L51" s="7">
        <f>COUNTIFS(I$11:I51,I51,J$11:J51,J51)-1</f>
        <v>1</v>
      </c>
      <c r="O51" s="7">
        <v>10</v>
      </c>
      <c r="P51" s="7">
        <v>150000</v>
      </c>
      <c r="Q51" s="7" t="s">
        <v>138</v>
      </c>
      <c r="R51" s="21">
        <v>40140002</v>
      </c>
      <c r="S51" s="7"/>
      <c r="T51" s="7"/>
      <c r="U51" s="7">
        <v>11010001</v>
      </c>
      <c r="V51" s="7">
        <v>11020001</v>
      </c>
      <c r="X51" s="7" t="s">
        <v>139</v>
      </c>
      <c r="Y51" s="7" t="s">
        <v>271</v>
      </c>
      <c r="Z51" s="7">
        <v>1.5</v>
      </c>
      <c r="AA51" s="7">
        <v>80</v>
      </c>
      <c r="AB51" s="7">
        <v>80</v>
      </c>
      <c r="AC51" s="7">
        <v>20</v>
      </c>
      <c r="AD51" s="7">
        <v>30</v>
      </c>
      <c r="AE51" s="7" t="s">
        <v>141</v>
      </c>
      <c r="AF51" s="7"/>
      <c r="AG51" s="22" t="s">
        <v>222</v>
      </c>
      <c r="AI51" s="23">
        <v>280</v>
      </c>
      <c r="AJ51" s="7" t="s">
        <v>142</v>
      </c>
      <c r="AK51" s="24">
        <v>1550</v>
      </c>
      <c r="AL51" s="7" t="s">
        <v>143</v>
      </c>
      <c r="AM51" s="7">
        <v>8</v>
      </c>
      <c r="AN51" s="7" t="s">
        <v>144</v>
      </c>
      <c r="AO51" s="7">
        <v>12</v>
      </c>
      <c r="AP51" s="7" t="s">
        <v>145</v>
      </c>
      <c r="AQ51" s="7">
        <v>8</v>
      </c>
      <c r="AR51" s="7" t="s">
        <v>146</v>
      </c>
      <c r="AS51" s="7">
        <v>11</v>
      </c>
      <c r="AT51" s="7" t="s">
        <v>147</v>
      </c>
      <c r="AU51" s="7">
        <v>23</v>
      </c>
      <c r="AV51" s="7" t="s">
        <v>148</v>
      </c>
      <c r="AW51" s="7">
        <v>31</v>
      </c>
      <c r="AX51" s="7" t="s">
        <v>149</v>
      </c>
      <c r="AY51" s="7">
        <v>23</v>
      </c>
      <c r="AZ51" s="7" t="s">
        <v>150</v>
      </c>
      <c r="BA51" s="7">
        <v>31</v>
      </c>
      <c r="BB51" s="7" t="s">
        <v>151</v>
      </c>
      <c r="BC51" s="7">
        <v>0</v>
      </c>
      <c r="BD51" s="7" t="s">
        <v>152</v>
      </c>
      <c r="BE51" s="7">
        <v>0</v>
      </c>
      <c r="BF51" s="7" t="s">
        <v>153</v>
      </c>
      <c r="BG51" s="7">
        <v>100</v>
      </c>
      <c r="BH51" s="7" t="s">
        <v>154</v>
      </c>
      <c r="BI51" s="7">
        <v>10</v>
      </c>
      <c r="BJ51" s="7" t="s">
        <v>155</v>
      </c>
      <c r="BK51" s="7">
        <v>250</v>
      </c>
      <c r="BL51" s="20"/>
      <c r="BM51" s="20"/>
      <c r="BN51" s="20">
        <v>1</v>
      </c>
      <c r="BO51" s="20">
        <v>2500</v>
      </c>
      <c r="BP51" s="20">
        <v>2</v>
      </c>
      <c r="BQ51" s="20">
        <v>2500</v>
      </c>
      <c r="BR51" s="20" t="s">
        <v>156</v>
      </c>
    </row>
    <row r="52" s="7" customFormat="1" ht="16.5" spans="1:70">
      <c r="A52" s="15">
        <f>60000000+INDEX(编号表!$B:$B,MATCH(I52,编号表!$A:$A,0))*10000+INDEX(编号表!$B:$B,MATCH(J52,编号表!$C:$C,0))*1000+K52</f>
        <v>60034000</v>
      </c>
      <c r="B52" s="15" t="s">
        <v>276</v>
      </c>
      <c r="C52" s="15" t="s">
        <v>270</v>
      </c>
      <c r="D52" s="15" t="s">
        <v>275</v>
      </c>
      <c r="E52" s="15">
        <v>20</v>
      </c>
      <c r="F52" s="15" t="str" cm="1">
        <f t="array" ref="F52">INDEX(编号表!$E:$E,MATCH(J52,编号表!$C:$C,0))</f>
        <v>橙色</v>
      </c>
      <c r="G52" s="15">
        <v>7</v>
      </c>
      <c r="H52" s="15" t="s">
        <v>257</v>
      </c>
      <c r="I52" s="15" t="s">
        <v>258</v>
      </c>
      <c r="J52" s="15" t="s">
        <v>277</v>
      </c>
      <c r="K52" s="7">
        <v>0</v>
      </c>
      <c r="L52" s="7">
        <f>COUNTIFS(I$11:I52,I52,J$11:J52,J52)-1</f>
        <v>0</v>
      </c>
      <c r="O52" s="7">
        <v>10</v>
      </c>
      <c r="P52" s="7">
        <v>150000</v>
      </c>
      <c r="Q52" s="7" t="s">
        <v>138</v>
      </c>
      <c r="R52" s="21">
        <v>40140002</v>
      </c>
      <c r="S52" s="7"/>
      <c r="T52" s="7"/>
      <c r="U52" s="7">
        <v>11010001</v>
      </c>
      <c r="V52" s="7">
        <v>11020001</v>
      </c>
      <c r="X52" s="7" t="s">
        <v>139</v>
      </c>
      <c r="Y52" s="7" t="s">
        <v>271</v>
      </c>
      <c r="Z52" s="7">
        <v>1.5</v>
      </c>
      <c r="AA52" s="7">
        <v>80</v>
      </c>
      <c r="AB52" s="7">
        <v>80</v>
      </c>
      <c r="AC52" s="7">
        <v>20</v>
      </c>
      <c r="AD52" s="7">
        <v>30</v>
      </c>
      <c r="AE52" s="7" t="s">
        <v>141</v>
      </c>
      <c r="AF52" s="7"/>
      <c r="AG52" s="22" t="s">
        <v>234</v>
      </c>
      <c r="AI52" s="23">
        <v>1400</v>
      </c>
      <c r="AJ52" s="7" t="s">
        <v>142</v>
      </c>
      <c r="AK52" s="24">
        <v>6900</v>
      </c>
      <c r="AL52" s="7" t="s">
        <v>143</v>
      </c>
      <c r="AM52" s="7">
        <v>11</v>
      </c>
      <c r="AN52" s="7" t="s">
        <v>144</v>
      </c>
      <c r="AO52" s="7">
        <v>15</v>
      </c>
      <c r="AP52" s="7" t="s">
        <v>145</v>
      </c>
      <c r="AQ52" s="7">
        <v>10</v>
      </c>
      <c r="AR52" s="7" t="s">
        <v>146</v>
      </c>
      <c r="AS52" s="7">
        <v>15</v>
      </c>
      <c r="AT52" s="7" t="s">
        <v>147</v>
      </c>
      <c r="AU52" s="7">
        <v>34</v>
      </c>
      <c r="AV52" s="7" t="s">
        <v>148</v>
      </c>
      <c r="AW52" s="7">
        <v>46</v>
      </c>
      <c r="AX52" s="7" t="s">
        <v>149</v>
      </c>
      <c r="AY52" s="7">
        <v>34</v>
      </c>
      <c r="AZ52" s="7" t="s">
        <v>150</v>
      </c>
      <c r="BA52" s="7">
        <v>46</v>
      </c>
      <c r="BB52" s="7" t="s">
        <v>151</v>
      </c>
      <c r="BC52" s="7">
        <v>0</v>
      </c>
      <c r="BD52" s="7" t="s">
        <v>152</v>
      </c>
      <c r="BE52" s="7">
        <v>0</v>
      </c>
      <c r="BF52" s="7" t="s">
        <v>153</v>
      </c>
      <c r="BG52" s="7">
        <v>100</v>
      </c>
      <c r="BH52" s="7" t="s">
        <v>154</v>
      </c>
      <c r="BI52" s="7">
        <v>10</v>
      </c>
      <c r="BJ52" s="7" t="s">
        <v>155</v>
      </c>
      <c r="BK52" s="7">
        <v>250</v>
      </c>
      <c r="BL52" s="20"/>
      <c r="BM52" s="20"/>
      <c r="BN52" s="20">
        <v>1</v>
      </c>
      <c r="BO52" s="20">
        <v>2500</v>
      </c>
      <c r="BP52" s="20">
        <v>2</v>
      </c>
      <c r="BQ52" s="20">
        <v>2500</v>
      </c>
      <c r="BR52" s="20" t="s">
        <v>156</v>
      </c>
    </row>
    <row r="53" s="7" customFormat="1" ht="16.5" spans="1:70">
      <c r="A53" s="16">
        <f>60000000+INDEX(编号表!$B:$B,MATCH(I53,编号表!$A:$A,0))*10000+INDEX(编号表!$B:$B,MATCH(J53,编号表!$C:$C,0))*1000+K53</f>
        <v>60041000</v>
      </c>
      <c r="B53" s="16" t="s">
        <v>278</v>
      </c>
      <c r="C53" s="16" t="s">
        <v>270</v>
      </c>
      <c r="D53" s="16" t="s">
        <v>279</v>
      </c>
      <c r="E53" s="16">
        <v>19</v>
      </c>
      <c r="F53" s="16" t="str" cm="1">
        <f t="array" ref="F53">INDEX(编号表!$E:$E,MATCH(J53,编号表!$C:$C,0))</f>
        <v>白色</v>
      </c>
      <c r="G53" s="16">
        <v>8</v>
      </c>
      <c r="H53" s="16" t="s">
        <v>280</v>
      </c>
      <c r="I53" s="16" t="s">
        <v>280</v>
      </c>
      <c r="J53" s="16" t="s">
        <v>137</v>
      </c>
      <c r="K53" s="7">
        <v>0</v>
      </c>
      <c r="L53" s="7">
        <f>COUNTIFS(I$11:I53,I53,J$11:J53,J53)-1</f>
        <v>0</v>
      </c>
      <c r="O53" s="7">
        <v>10</v>
      </c>
      <c r="P53" s="7">
        <v>150000</v>
      </c>
      <c r="Q53" s="7" t="s">
        <v>138</v>
      </c>
      <c r="R53" s="21">
        <v>40140002</v>
      </c>
      <c r="S53" s="7"/>
      <c r="T53" s="7"/>
      <c r="U53" s="7">
        <v>11010001</v>
      </c>
      <c r="V53" s="7">
        <v>11020001</v>
      </c>
      <c r="X53" s="7" t="s">
        <v>139</v>
      </c>
      <c r="Y53" s="7" t="s">
        <v>271</v>
      </c>
      <c r="Z53" s="7">
        <v>1.5</v>
      </c>
      <c r="AA53" s="7">
        <v>80</v>
      </c>
      <c r="AB53" s="7">
        <v>80</v>
      </c>
      <c r="AC53" s="7">
        <v>20</v>
      </c>
      <c r="AD53" s="7">
        <v>30</v>
      </c>
      <c r="AE53" s="7" t="s">
        <v>141</v>
      </c>
      <c r="AF53" s="7"/>
      <c r="AG53" s="22"/>
      <c r="AI53" s="23">
        <v>66</v>
      </c>
      <c r="AJ53" s="7" t="s">
        <v>142</v>
      </c>
      <c r="AK53" s="24">
        <v>330</v>
      </c>
      <c r="AL53" s="7" t="s">
        <v>143</v>
      </c>
      <c r="AM53" s="7">
        <v>6</v>
      </c>
      <c r="AN53" s="7" t="s">
        <v>144</v>
      </c>
      <c r="AO53" s="7">
        <v>8</v>
      </c>
      <c r="AP53" s="7" t="s">
        <v>145</v>
      </c>
      <c r="AQ53" s="7">
        <v>6</v>
      </c>
      <c r="AR53" s="7" t="s">
        <v>146</v>
      </c>
      <c r="AS53" s="7">
        <v>8</v>
      </c>
      <c r="AT53" s="7" t="s">
        <v>147</v>
      </c>
      <c r="AU53" s="7">
        <v>13</v>
      </c>
      <c r="AV53" s="7" t="s">
        <v>148</v>
      </c>
      <c r="AW53" s="7">
        <v>18</v>
      </c>
      <c r="AX53" s="7" t="s">
        <v>149</v>
      </c>
      <c r="AY53" s="7">
        <v>13</v>
      </c>
      <c r="AZ53" s="7" t="s">
        <v>150</v>
      </c>
      <c r="BA53" s="7">
        <v>18</v>
      </c>
      <c r="BB53" s="7" t="s">
        <v>151</v>
      </c>
      <c r="BC53" s="7">
        <v>0</v>
      </c>
      <c r="BD53" s="7" t="s">
        <v>152</v>
      </c>
      <c r="BE53" s="7">
        <v>0</v>
      </c>
      <c r="BF53" s="7" t="s">
        <v>153</v>
      </c>
      <c r="BG53" s="7">
        <v>100</v>
      </c>
      <c r="BH53" s="7" t="s">
        <v>154</v>
      </c>
      <c r="BI53" s="7">
        <v>10</v>
      </c>
      <c r="BJ53" s="7" t="s">
        <v>155</v>
      </c>
      <c r="BK53" s="7">
        <v>250</v>
      </c>
      <c r="BL53" s="20"/>
      <c r="BM53" s="20"/>
      <c r="BN53" s="20">
        <v>1</v>
      </c>
      <c r="BO53" s="20">
        <v>2500</v>
      </c>
      <c r="BP53" s="20">
        <v>2</v>
      </c>
      <c r="BQ53" s="20">
        <v>2500</v>
      </c>
      <c r="BR53" s="20" t="s">
        <v>156</v>
      </c>
    </row>
    <row r="54" s="7" customFormat="1" ht="16.5" spans="1:70">
      <c r="A54" s="16">
        <f>60000000+INDEX(编号表!$B:$B,MATCH(I54,编号表!$A:$A,0))*10000+INDEX(编号表!$B:$B,MATCH(J54,编号表!$C:$C,0))*1000+K54</f>
        <v>60041001</v>
      </c>
      <c r="B54" s="16" t="s">
        <v>281</v>
      </c>
      <c r="C54" s="16" t="s">
        <v>270</v>
      </c>
      <c r="D54" s="16" t="s">
        <v>282</v>
      </c>
      <c r="E54" s="16">
        <v>19</v>
      </c>
      <c r="F54" s="16" t="str" cm="1">
        <f t="array" ref="F54">INDEX(编号表!$E:$E,MATCH(J54,编号表!$C:$C,0))</f>
        <v>白色</v>
      </c>
      <c r="G54" s="16">
        <v>8</v>
      </c>
      <c r="H54" s="16" t="s">
        <v>280</v>
      </c>
      <c r="I54" s="16" t="s">
        <v>280</v>
      </c>
      <c r="J54" s="16" t="s">
        <v>137</v>
      </c>
      <c r="K54" s="7">
        <v>1</v>
      </c>
      <c r="L54" s="7">
        <f>COUNTIFS(I$11:I54,I54,J$11:J54,J54)-1</f>
        <v>1</v>
      </c>
      <c r="O54" s="7">
        <v>10</v>
      </c>
      <c r="P54" s="7">
        <v>150000</v>
      </c>
      <c r="Q54" s="7" t="s">
        <v>138</v>
      </c>
      <c r="R54" s="21">
        <v>40140002</v>
      </c>
      <c r="S54" s="7"/>
      <c r="T54" s="7"/>
      <c r="U54" s="7">
        <v>11010001</v>
      </c>
      <c r="V54" s="7">
        <v>11020001</v>
      </c>
      <c r="X54" s="7" t="s">
        <v>139</v>
      </c>
      <c r="Y54" s="7" t="s">
        <v>271</v>
      </c>
      <c r="Z54" s="7">
        <v>1.5</v>
      </c>
      <c r="AA54" s="7">
        <v>80</v>
      </c>
      <c r="AB54" s="7">
        <v>80</v>
      </c>
      <c r="AC54" s="7">
        <v>20</v>
      </c>
      <c r="AD54" s="7">
        <v>30</v>
      </c>
      <c r="AE54" s="7" t="s">
        <v>141</v>
      </c>
      <c r="AF54" s="7"/>
      <c r="AG54" s="22"/>
      <c r="AI54" s="23">
        <v>66</v>
      </c>
      <c r="AJ54" s="7" t="s">
        <v>142</v>
      </c>
      <c r="AK54" s="24">
        <v>330</v>
      </c>
      <c r="AL54" s="7" t="s">
        <v>143</v>
      </c>
      <c r="AM54" s="7">
        <v>6</v>
      </c>
      <c r="AN54" s="7" t="s">
        <v>144</v>
      </c>
      <c r="AO54" s="7">
        <v>8</v>
      </c>
      <c r="AP54" s="7" t="s">
        <v>145</v>
      </c>
      <c r="AQ54" s="7">
        <v>6</v>
      </c>
      <c r="AR54" s="7" t="s">
        <v>146</v>
      </c>
      <c r="AS54" s="7">
        <v>8</v>
      </c>
      <c r="AT54" s="7" t="s">
        <v>147</v>
      </c>
      <c r="AU54" s="7">
        <v>13</v>
      </c>
      <c r="AV54" s="7" t="s">
        <v>148</v>
      </c>
      <c r="AW54" s="7">
        <v>18</v>
      </c>
      <c r="AX54" s="7" t="s">
        <v>149</v>
      </c>
      <c r="AY54" s="7">
        <v>13</v>
      </c>
      <c r="AZ54" s="7" t="s">
        <v>150</v>
      </c>
      <c r="BA54" s="7">
        <v>18</v>
      </c>
      <c r="BB54" s="7" t="s">
        <v>151</v>
      </c>
      <c r="BC54" s="7">
        <v>0</v>
      </c>
      <c r="BD54" s="7" t="s">
        <v>152</v>
      </c>
      <c r="BE54" s="7">
        <v>0</v>
      </c>
      <c r="BF54" s="7" t="s">
        <v>153</v>
      </c>
      <c r="BG54" s="7">
        <v>100</v>
      </c>
      <c r="BH54" s="7" t="s">
        <v>154</v>
      </c>
      <c r="BI54" s="7">
        <v>10</v>
      </c>
      <c r="BJ54" s="7" t="s">
        <v>155</v>
      </c>
      <c r="BK54" s="7">
        <v>250</v>
      </c>
      <c r="BL54" s="20"/>
      <c r="BM54" s="20"/>
      <c r="BN54" s="20">
        <v>1</v>
      </c>
      <c r="BO54" s="20">
        <v>2500</v>
      </c>
      <c r="BP54" s="20">
        <v>2</v>
      </c>
      <c r="BQ54" s="20">
        <v>2500</v>
      </c>
      <c r="BR54" s="20" t="s">
        <v>156</v>
      </c>
    </row>
    <row r="55" s="7" customFormat="1" ht="16.5" spans="1:70">
      <c r="A55" s="16">
        <f>60000000+INDEX(编号表!$B:$B,MATCH(I55,编号表!$A:$A,0))*10000+INDEX(编号表!$B:$B,MATCH(J55,编号表!$C:$C,0))*1000+K55</f>
        <v>60041002</v>
      </c>
      <c r="B55" s="16" t="s">
        <v>283</v>
      </c>
      <c r="C55" s="16" t="s">
        <v>270</v>
      </c>
      <c r="D55" s="16" t="s">
        <v>284</v>
      </c>
      <c r="E55" s="16">
        <v>19</v>
      </c>
      <c r="F55" s="16" t="str" cm="1">
        <f t="array" ref="F55">INDEX(编号表!$E:$E,MATCH(J55,编号表!$C:$C,0))</f>
        <v>白色</v>
      </c>
      <c r="G55" s="16">
        <v>8</v>
      </c>
      <c r="H55" s="16" t="s">
        <v>280</v>
      </c>
      <c r="I55" s="16" t="s">
        <v>280</v>
      </c>
      <c r="J55" s="16" t="s">
        <v>137</v>
      </c>
      <c r="K55" s="7">
        <v>2</v>
      </c>
      <c r="L55" s="7">
        <f>COUNTIFS(I$11:I55,I55,J$11:J55,J55)-1</f>
        <v>2</v>
      </c>
      <c r="O55" s="7">
        <v>10</v>
      </c>
      <c r="P55" s="7">
        <v>150000</v>
      </c>
      <c r="Q55" s="7" t="s">
        <v>138</v>
      </c>
      <c r="R55" s="21">
        <v>40140002</v>
      </c>
      <c r="S55" s="7"/>
      <c r="T55" s="7"/>
      <c r="U55" s="7">
        <v>11010001</v>
      </c>
      <c r="V55" s="7">
        <v>11020001</v>
      </c>
      <c r="X55" s="7" t="s">
        <v>139</v>
      </c>
      <c r="Y55" s="7" t="s">
        <v>271</v>
      </c>
      <c r="Z55" s="7">
        <v>1.5</v>
      </c>
      <c r="AA55" s="7">
        <v>80</v>
      </c>
      <c r="AB55" s="7">
        <v>80</v>
      </c>
      <c r="AC55" s="7">
        <v>20</v>
      </c>
      <c r="AD55" s="7">
        <v>30</v>
      </c>
      <c r="AE55" s="7" t="s">
        <v>141</v>
      </c>
      <c r="AF55" s="7"/>
      <c r="AG55" s="22"/>
      <c r="AI55" s="23">
        <v>66</v>
      </c>
      <c r="AJ55" s="7" t="s">
        <v>142</v>
      </c>
      <c r="AK55" s="24">
        <v>330</v>
      </c>
      <c r="AL55" s="7" t="s">
        <v>143</v>
      </c>
      <c r="AM55" s="7">
        <v>6</v>
      </c>
      <c r="AN55" s="7" t="s">
        <v>144</v>
      </c>
      <c r="AO55" s="7">
        <v>8</v>
      </c>
      <c r="AP55" s="7" t="s">
        <v>145</v>
      </c>
      <c r="AQ55" s="7">
        <v>6</v>
      </c>
      <c r="AR55" s="7" t="s">
        <v>146</v>
      </c>
      <c r="AS55" s="7">
        <v>8</v>
      </c>
      <c r="AT55" s="7" t="s">
        <v>147</v>
      </c>
      <c r="AU55" s="7">
        <v>13</v>
      </c>
      <c r="AV55" s="7" t="s">
        <v>148</v>
      </c>
      <c r="AW55" s="7">
        <v>18</v>
      </c>
      <c r="AX55" s="7" t="s">
        <v>149</v>
      </c>
      <c r="AY55" s="7">
        <v>13</v>
      </c>
      <c r="AZ55" s="7" t="s">
        <v>150</v>
      </c>
      <c r="BA55" s="7">
        <v>18</v>
      </c>
      <c r="BB55" s="7" t="s">
        <v>151</v>
      </c>
      <c r="BC55" s="7">
        <v>0</v>
      </c>
      <c r="BD55" s="7" t="s">
        <v>152</v>
      </c>
      <c r="BE55" s="7">
        <v>0</v>
      </c>
      <c r="BF55" s="7" t="s">
        <v>153</v>
      </c>
      <c r="BG55" s="7">
        <v>100</v>
      </c>
      <c r="BH55" s="7" t="s">
        <v>154</v>
      </c>
      <c r="BI55" s="7">
        <v>10</v>
      </c>
      <c r="BJ55" s="7" t="s">
        <v>155</v>
      </c>
      <c r="BK55" s="7">
        <v>250</v>
      </c>
      <c r="BL55" s="20"/>
      <c r="BM55" s="20"/>
      <c r="BN55" s="20">
        <v>1</v>
      </c>
      <c r="BO55" s="20">
        <v>2500</v>
      </c>
      <c r="BP55" s="20">
        <v>2</v>
      </c>
      <c r="BQ55" s="20">
        <v>2500</v>
      </c>
      <c r="BR55" s="20" t="s">
        <v>156</v>
      </c>
    </row>
    <row r="56" s="7" customFormat="1" ht="16.5" spans="1:70">
      <c r="A56" s="7">
        <f>60000000+INDEX(编号表!$B:$B,MATCH(I56,编号表!$A:$A,0))*10000+INDEX(编号表!$B:$B,MATCH(J56,编号表!$C:$C,0))*1000+K56</f>
        <v>60042000</v>
      </c>
      <c r="B56" s="7" t="s">
        <v>285</v>
      </c>
      <c r="C56" s="7" t="s">
        <v>270</v>
      </c>
      <c r="D56" s="7" t="s">
        <v>286</v>
      </c>
      <c r="E56" s="7">
        <v>20</v>
      </c>
      <c r="F56" s="7" t="str" cm="1">
        <f t="array" ref="F56">INDEX(编号表!$E:$E,MATCH(J56,编号表!$C:$C,0))</f>
        <v>绿色</v>
      </c>
      <c r="G56" s="7">
        <v>8</v>
      </c>
      <c r="H56" s="7" t="s">
        <v>280</v>
      </c>
      <c r="I56" s="7" t="s">
        <v>280</v>
      </c>
      <c r="J56" s="7" t="s">
        <v>221</v>
      </c>
      <c r="K56" s="7">
        <v>0</v>
      </c>
      <c r="L56" s="7">
        <f>COUNTIFS(I$11:I56,I56,J$11:J56,J56)-1</f>
        <v>0</v>
      </c>
      <c r="O56" s="7">
        <v>10</v>
      </c>
      <c r="P56" s="7">
        <v>150000</v>
      </c>
      <c r="Q56" s="7" t="s">
        <v>138</v>
      </c>
      <c r="R56" s="21">
        <v>40140002</v>
      </c>
      <c r="S56" s="7"/>
      <c r="T56" s="7"/>
      <c r="U56" s="7">
        <v>11010001</v>
      </c>
      <c r="V56" s="7">
        <v>11020001</v>
      </c>
      <c r="X56" s="7" t="s">
        <v>139</v>
      </c>
      <c r="Y56" s="7" t="s">
        <v>271</v>
      </c>
      <c r="Z56" s="7">
        <v>1.5</v>
      </c>
      <c r="AA56" s="7">
        <v>80</v>
      </c>
      <c r="AB56" s="7">
        <v>80</v>
      </c>
      <c r="AC56" s="7">
        <v>20</v>
      </c>
      <c r="AD56" s="7">
        <v>30</v>
      </c>
      <c r="AE56" s="7" t="s">
        <v>141</v>
      </c>
      <c r="AF56" s="7"/>
      <c r="AG56" s="22" t="s">
        <v>222</v>
      </c>
      <c r="AI56" s="23">
        <v>285</v>
      </c>
      <c r="AJ56" s="7" t="s">
        <v>142</v>
      </c>
      <c r="AK56" s="24">
        <v>1700</v>
      </c>
      <c r="AL56" s="7" t="s">
        <v>143</v>
      </c>
      <c r="AM56" s="7">
        <v>9</v>
      </c>
      <c r="AN56" s="7" t="s">
        <v>144</v>
      </c>
      <c r="AO56" s="7">
        <v>12</v>
      </c>
      <c r="AP56" s="7" t="s">
        <v>145</v>
      </c>
      <c r="AQ56" s="7">
        <v>8</v>
      </c>
      <c r="AR56" s="7" t="s">
        <v>146</v>
      </c>
      <c r="AS56" s="7">
        <v>12</v>
      </c>
      <c r="AT56" s="7" t="s">
        <v>147</v>
      </c>
      <c r="AU56" s="7">
        <v>24</v>
      </c>
      <c r="AV56" s="7" t="s">
        <v>148</v>
      </c>
      <c r="AW56" s="7">
        <v>32</v>
      </c>
      <c r="AX56" s="7" t="s">
        <v>149</v>
      </c>
      <c r="AY56" s="7">
        <v>24</v>
      </c>
      <c r="AZ56" s="7" t="s">
        <v>150</v>
      </c>
      <c r="BA56" s="7">
        <v>32</v>
      </c>
      <c r="BB56" s="7" t="s">
        <v>151</v>
      </c>
      <c r="BC56" s="7">
        <v>0</v>
      </c>
      <c r="BD56" s="7" t="s">
        <v>152</v>
      </c>
      <c r="BE56" s="7">
        <v>0</v>
      </c>
      <c r="BF56" s="7" t="s">
        <v>153</v>
      </c>
      <c r="BG56" s="7">
        <v>100</v>
      </c>
      <c r="BH56" s="7" t="s">
        <v>154</v>
      </c>
      <c r="BI56" s="7">
        <v>10</v>
      </c>
      <c r="BJ56" s="7" t="s">
        <v>155</v>
      </c>
      <c r="BK56" s="7">
        <v>250</v>
      </c>
      <c r="BL56" s="20"/>
      <c r="BM56" s="20"/>
      <c r="BN56" s="20">
        <v>1</v>
      </c>
      <c r="BO56" s="20">
        <v>2500</v>
      </c>
      <c r="BP56" s="20">
        <v>2</v>
      </c>
      <c r="BQ56" s="20">
        <v>2500</v>
      </c>
      <c r="BR56" s="20" t="s">
        <v>156</v>
      </c>
    </row>
    <row r="57" s="7" customFormat="1" ht="16.5" spans="1:70">
      <c r="A57" s="15">
        <f>60000000+INDEX(编号表!$B:$B,MATCH(I57,编号表!$A:$A,0))*10000+INDEX(编号表!$B:$B,MATCH(J57,编号表!$C:$C,0))*1000+K57</f>
        <v>60044000</v>
      </c>
      <c r="B57" s="15" t="s">
        <v>287</v>
      </c>
      <c r="C57" s="15" t="s">
        <v>270</v>
      </c>
      <c r="D57" s="15" t="s">
        <v>286</v>
      </c>
      <c r="E57" s="15">
        <v>20</v>
      </c>
      <c r="F57" s="15" t="str" cm="1">
        <f t="array" ref="F57">INDEX(编号表!$E:$E,MATCH(J57,编号表!$C:$C,0))</f>
        <v>橙色</v>
      </c>
      <c r="G57" s="15">
        <v>8</v>
      </c>
      <c r="H57" s="15" t="s">
        <v>280</v>
      </c>
      <c r="I57" s="15" t="s">
        <v>280</v>
      </c>
      <c r="J57" s="15" t="s">
        <v>233</v>
      </c>
      <c r="K57" s="7">
        <v>0</v>
      </c>
      <c r="L57" s="7">
        <f>COUNTIFS(I$11:I57,I57,J$11:J57,J57)-1</f>
        <v>0</v>
      </c>
      <c r="O57" s="7">
        <v>10</v>
      </c>
      <c r="P57" s="7">
        <v>150000</v>
      </c>
      <c r="Q57" s="7" t="s">
        <v>138</v>
      </c>
      <c r="R57" s="21">
        <v>40140002</v>
      </c>
      <c r="S57" s="7"/>
      <c r="T57" s="7"/>
      <c r="U57" s="7">
        <v>11010001</v>
      </c>
      <c r="V57" s="7">
        <v>11020001</v>
      </c>
      <c r="X57" s="7" t="s">
        <v>139</v>
      </c>
      <c r="Y57" s="7" t="s">
        <v>271</v>
      </c>
      <c r="Z57" s="7">
        <v>1.5</v>
      </c>
      <c r="AA57" s="7">
        <v>80</v>
      </c>
      <c r="AB57" s="7">
        <v>80</v>
      </c>
      <c r="AC57" s="7">
        <v>20</v>
      </c>
      <c r="AD57" s="7">
        <v>30</v>
      </c>
      <c r="AE57" s="7" t="s">
        <v>141</v>
      </c>
      <c r="AF57" s="7"/>
      <c r="AG57" s="22" t="s">
        <v>234</v>
      </c>
      <c r="AI57" s="23">
        <v>1440</v>
      </c>
      <c r="AJ57" s="7" t="s">
        <v>142</v>
      </c>
      <c r="AK57" s="24">
        <v>7900</v>
      </c>
      <c r="AL57" s="7" t="s">
        <v>143</v>
      </c>
      <c r="AM57" s="7">
        <v>11</v>
      </c>
      <c r="AN57" s="7" t="s">
        <v>144</v>
      </c>
      <c r="AO57" s="7">
        <v>16</v>
      </c>
      <c r="AP57" s="7" t="s">
        <v>145</v>
      </c>
      <c r="AQ57" s="7">
        <v>11</v>
      </c>
      <c r="AR57" s="7" t="s">
        <v>146</v>
      </c>
      <c r="AS57" s="7">
        <v>15</v>
      </c>
      <c r="AT57" s="7" t="s">
        <v>147</v>
      </c>
      <c r="AU57" s="7">
        <v>36</v>
      </c>
      <c r="AV57" s="7" t="s">
        <v>148</v>
      </c>
      <c r="AW57" s="7">
        <v>48</v>
      </c>
      <c r="AX57" s="7" t="s">
        <v>149</v>
      </c>
      <c r="AY57" s="7">
        <v>36</v>
      </c>
      <c r="AZ57" s="7" t="s">
        <v>150</v>
      </c>
      <c r="BA57" s="7">
        <v>48</v>
      </c>
      <c r="BB57" s="7" t="s">
        <v>151</v>
      </c>
      <c r="BC57" s="7">
        <v>0</v>
      </c>
      <c r="BD57" s="7" t="s">
        <v>152</v>
      </c>
      <c r="BE57" s="7">
        <v>0</v>
      </c>
      <c r="BF57" s="7" t="s">
        <v>153</v>
      </c>
      <c r="BG57" s="7">
        <v>100</v>
      </c>
      <c r="BH57" s="7" t="s">
        <v>154</v>
      </c>
      <c r="BI57" s="7">
        <v>10</v>
      </c>
      <c r="BJ57" s="7" t="s">
        <v>155</v>
      </c>
      <c r="BK57" s="7">
        <v>250</v>
      </c>
      <c r="BL57" s="20"/>
      <c r="BM57" s="20"/>
      <c r="BN57" s="20">
        <v>1</v>
      </c>
      <c r="BO57" s="20">
        <v>2500</v>
      </c>
      <c r="BP57" s="20">
        <v>2</v>
      </c>
      <c r="BQ57" s="20">
        <v>2500</v>
      </c>
      <c r="BR57" s="20" t="s">
        <v>156</v>
      </c>
    </row>
    <row r="58" s="7" customFormat="1" ht="16.5" spans="1:70">
      <c r="A58" s="15">
        <f>60000000+INDEX(编号表!$B:$B,MATCH(I58,编号表!$A:$A,0))*10000+INDEX(编号表!$B:$B,MATCH(J58,编号表!$C:$C,0))*1000+K58</f>
        <v>60044001</v>
      </c>
      <c r="B58" s="15" t="s">
        <v>288</v>
      </c>
      <c r="C58" s="15" t="s">
        <v>270</v>
      </c>
      <c r="D58" s="15" t="s">
        <v>286</v>
      </c>
      <c r="E58" s="15">
        <v>20</v>
      </c>
      <c r="F58" s="15" t="str" cm="1">
        <f t="array" ref="F58">INDEX(编号表!$E:$E,MATCH(J58,编号表!$C:$C,0))</f>
        <v>橙色</v>
      </c>
      <c r="G58" s="15">
        <v>8</v>
      </c>
      <c r="H58" s="15" t="s">
        <v>280</v>
      </c>
      <c r="I58" s="15" t="s">
        <v>280</v>
      </c>
      <c r="J58" s="15" t="s">
        <v>233</v>
      </c>
      <c r="K58" s="7">
        <v>1</v>
      </c>
      <c r="L58" s="7">
        <f>COUNTIFS(I$11:I58,I58,J$11:J58,J58)-1</f>
        <v>1</v>
      </c>
      <c r="O58" s="7">
        <v>10</v>
      </c>
      <c r="P58" s="7">
        <v>150000</v>
      </c>
      <c r="Q58" s="7" t="s">
        <v>138</v>
      </c>
      <c r="R58" s="21">
        <v>40140002</v>
      </c>
      <c r="S58" s="7"/>
      <c r="T58" s="7"/>
      <c r="U58" s="7">
        <v>11010001</v>
      </c>
      <c r="V58" s="7">
        <v>11020001</v>
      </c>
      <c r="X58" s="7" t="s">
        <v>139</v>
      </c>
      <c r="Y58" s="7" t="s">
        <v>271</v>
      </c>
      <c r="Z58" s="7">
        <v>1.5</v>
      </c>
      <c r="AA58" s="7">
        <v>80</v>
      </c>
      <c r="AB58" s="7">
        <v>80</v>
      </c>
      <c r="AC58" s="7">
        <v>20</v>
      </c>
      <c r="AD58" s="7">
        <v>30</v>
      </c>
      <c r="AE58" s="7" t="s">
        <v>141</v>
      </c>
      <c r="AF58" s="7"/>
      <c r="AG58" s="22" t="s">
        <v>234</v>
      </c>
      <c r="AI58" s="23">
        <v>1440</v>
      </c>
      <c r="AJ58" s="7" t="s">
        <v>142</v>
      </c>
      <c r="AK58" s="24">
        <v>7900</v>
      </c>
      <c r="AL58" s="7" t="s">
        <v>143</v>
      </c>
      <c r="AM58" s="7">
        <v>11</v>
      </c>
      <c r="AN58" s="7" t="s">
        <v>144</v>
      </c>
      <c r="AO58" s="7">
        <v>16</v>
      </c>
      <c r="AP58" s="7" t="s">
        <v>145</v>
      </c>
      <c r="AQ58" s="7">
        <v>11</v>
      </c>
      <c r="AR58" s="7" t="s">
        <v>146</v>
      </c>
      <c r="AS58" s="7">
        <v>15</v>
      </c>
      <c r="AT58" s="7" t="s">
        <v>147</v>
      </c>
      <c r="AU58" s="7">
        <v>36</v>
      </c>
      <c r="AV58" s="7" t="s">
        <v>148</v>
      </c>
      <c r="AW58" s="7">
        <v>48</v>
      </c>
      <c r="AX58" s="7" t="s">
        <v>149</v>
      </c>
      <c r="AY58" s="7">
        <v>36</v>
      </c>
      <c r="AZ58" s="7" t="s">
        <v>150</v>
      </c>
      <c r="BA58" s="7">
        <v>48</v>
      </c>
      <c r="BB58" s="7" t="s">
        <v>151</v>
      </c>
      <c r="BC58" s="7">
        <v>0</v>
      </c>
      <c r="BD58" s="7" t="s">
        <v>152</v>
      </c>
      <c r="BE58" s="7">
        <v>0</v>
      </c>
      <c r="BF58" s="7" t="s">
        <v>153</v>
      </c>
      <c r="BG58" s="7">
        <v>100</v>
      </c>
      <c r="BH58" s="7" t="s">
        <v>154</v>
      </c>
      <c r="BI58" s="7">
        <v>10</v>
      </c>
      <c r="BJ58" s="7" t="s">
        <v>155</v>
      </c>
      <c r="BK58" s="7">
        <v>250</v>
      </c>
      <c r="BL58" s="20"/>
      <c r="BM58" s="20"/>
      <c r="BN58" s="20">
        <v>1</v>
      </c>
      <c r="BO58" s="20">
        <v>2500</v>
      </c>
      <c r="BP58" s="20">
        <v>2</v>
      </c>
      <c r="BQ58" s="20">
        <v>2500</v>
      </c>
      <c r="BR58" s="20" t="s">
        <v>156</v>
      </c>
    </row>
    <row r="59" s="7" customFormat="1" ht="16.5" spans="1:70">
      <c r="A59" s="7">
        <f>60000000+INDEX(编号表!$B:$B,MATCH(I59,编号表!$A:$A,0))*10000+INDEX(编号表!$B:$B,MATCH(J59,编号表!$C:$C,0))*1000+K59</f>
        <v>60051000</v>
      </c>
      <c r="B59" s="7" t="s">
        <v>289</v>
      </c>
      <c r="C59" s="7" t="s">
        <v>290</v>
      </c>
      <c r="D59" s="7" t="s">
        <v>291</v>
      </c>
      <c r="E59" s="7">
        <v>20</v>
      </c>
      <c r="F59" s="7" t="str" cm="1">
        <f t="array" ref="F59">INDEX(编号表!$E:$E,MATCH(J59,编号表!$C:$C,0))</f>
        <v>白色</v>
      </c>
      <c r="G59" s="7">
        <v>9</v>
      </c>
      <c r="H59" s="7" t="s">
        <v>292</v>
      </c>
      <c r="I59" s="7" t="s">
        <v>292</v>
      </c>
      <c r="J59" s="7" t="s">
        <v>137</v>
      </c>
      <c r="K59" s="7">
        <v>0</v>
      </c>
      <c r="L59" s="7">
        <f>COUNTIFS(I$11:I59,I59,J$11:J59,J59)-1</f>
        <v>0</v>
      </c>
      <c r="O59" s="7">
        <v>10</v>
      </c>
      <c r="P59" s="7">
        <v>300000</v>
      </c>
      <c r="Q59" s="7" t="s">
        <v>138</v>
      </c>
      <c r="R59" s="21">
        <v>40140002</v>
      </c>
      <c r="S59" s="7"/>
      <c r="T59" s="7"/>
      <c r="U59" s="7">
        <v>11010001</v>
      </c>
      <c r="V59" s="7">
        <v>11020001</v>
      </c>
      <c r="X59" s="7" t="s">
        <v>139</v>
      </c>
      <c r="Y59" s="7" t="s">
        <v>293</v>
      </c>
      <c r="Z59" s="7">
        <v>1.5</v>
      </c>
      <c r="AA59" s="7">
        <v>80</v>
      </c>
      <c r="AB59" s="7">
        <v>80</v>
      </c>
      <c r="AC59" s="7">
        <v>20</v>
      </c>
      <c r="AD59" s="7">
        <v>30</v>
      </c>
      <c r="AE59" s="7" t="s">
        <v>141</v>
      </c>
      <c r="AF59" s="7"/>
      <c r="AG59" s="22"/>
      <c r="AI59" s="23">
        <v>73</v>
      </c>
      <c r="AJ59" s="7" t="s">
        <v>142</v>
      </c>
      <c r="AK59" s="24">
        <v>390</v>
      </c>
      <c r="AL59" s="7" t="s">
        <v>143</v>
      </c>
      <c r="AM59" s="7">
        <v>7</v>
      </c>
      <c r="AN59" s="7" t="s">
        <v>144</v>
      </c>
      <c r="AO59" s="7">
        <v>9</v>
      </c>
      <c r="AP59" s="7" t="s">
        <v>145</v>
      </c>
      <c r="AQ59" s="7">
        <v>6</v>
      </c>
      <c r="AR59" s="7" t="s">
        <v>146</v>
      </c>
      <c r="AS59" s="7">
        <v>9</v>
      </c>
      <c r="AT59" s="7" t="s">
        <v>147</v>
      </c>
      <c r="AU59" s="7">
        <v>15</v>
      </c>
      <c r="AV59" s="7" t="s">
        <v>148</v>
      </c>
      <c r="AW59" s="7">
        <v>20</v>
      </c>
      <c r="AX59" s="7" t="s">
        <v>149</v>
      </c>
      <c r="AY59" s="7">
        <v>15</v>
      </c>
      <c r="AZ59" s="7" t="s">
        <v>150</v>
      </c>
      <c r="BA59" s="7">
        <v>20</v>
      </c>
      <c r="BB59" s="7" t="s">
        <v>151</v>
      </c>
      <c r="BC59" s="7">
        <v>1</v>
      </c>
      <c r="BD59" s="7" t="s">
        <v>152</v>
      </c>
      <c r="BE59" s="7">
        <v>2</v>
      </c>
      <c r="BF59" s="7" t="s">
        <v>153</v>
      </c>
      <c r="BG59" s="7">
        <v>100</v>
      </c>
      <c r="BH59" s="7" t="s">
        <v>154</v>
      </c>
      <c r="BI59" s="7">
        <v>10</v>
      </c>
      <c r="BJ59" s="7" t="s">
        <v>155</v>
      </c>
      <c r="BK59" s="7">
        <v>250</v>
      </c>
      <c r="BL59" s="20"/>
      <c r="BM59" s="20"/>
      <c r="BN59" s="20">
        <v>1</v>
      </c>
      <c r="BO59" s="20">
        <v>2500</v>
      </c>
      <c r="BP59" s="20">
        <v>2</v>
      </c>
      <c r="BQ59" s="20">
        <v>2500</v>
      </c>
      <c r="BR59" s="20" t="s">
        <v>156</v>
      </c>
    </row>
    <row r="60" s="7" customFormat="1" ht="16.5" spans="1:70">
      <c r="A60" s="7">
        <f>60000000+INDEX(编号表!$B:$B,MATCH(I60,编号表!$A:$A,0))*10000+INDEX(编号表!$B:$B,MATCH(J60,编号表!$C:$C,0))*1000+K60</f>
        <v>60051001</v>
      </c>
      <c r="B60" s="7" t="s">
        <v>294</v>
      </c>
      <c r="C60" s="7" t="s">
        <v>295</v>
      </c>
      <c r="D60" s="7" t="s">
        <v>295</v>
      </c>
      <c r="E60" s="7">
        <v>20</v>
      </c>
      <c r="F60" s="7" t="str" cm="1">
        <f t="array" ref="F60">INDEX(编号表!$E:$E,MATCH(J60,编号表!$C:$C,0))</f>
        <v>白色</v>
      </c>
      <c r="G60" s="7">
        <v>9</v>
      </c>
      <c r="H60" s="7" t="s">
        <v>292</v>
      </c>
      <c r="I60" s="7" t="s">
        <v>292</v>
      </c>
      <c r="J60" s="7" t="s">
        <v>137</v>
      </c>
      <c r="K60" s="7">
        <v>1</v>
      </c>
      <c r="L60" s="7">
        <f>COUNTIFS(I$11:I60,I60,J$11:J60,J60)-1</f>
        <v>1</v>
      </c>
      <c r="O60" s="7">
        <v>10</v>
      </c>
      <c r="P60" s="7">
        <v>300000</v>
      </c>
      <c r="Q60" s="7" t="s">
        <v>138</v>
      </c>
      <c r="R60" s="21">
        <v>40140002</v>
      </c>
      <c r="S60" s="7"/>
      <c r="T60" s="7"/>
      <c r="U60" s="7">
        <v>11010001</v>
      </c>
      <c r="V60" s="7">
        <v>11020001</v>
      </c>
      <c r="X60" s="7" t="s">
        <v>139</v>
      </c>
      <c r="Y60" s="7" t="s">
        <v>296</v>
      </c>
      <c r="Z60" s="7">
        <v>1.5</v>
      </c>
      <c r="AA60" s="7">
        <v>80</v>
      </c>
      <c r="AB60" s="7">
        <v>80</v>
      </c>
      <c r="AC60" s="7">
        <v>20</v>
      </c>
      <c r="AD60" s="7">
        <v>30</v>
      </c>
      <c r="AE60" s="7" t="s">
        <v>141</v>
      </c>
      <c r="AF60" s="7"/>
      <c r="AG60" s="22"/>
      <c r="AI60" s="23">
        <v>73</v>
      </c>
      <c r="AJ60" s="7" t="s">
        <v>142</v>
      </c>
      <c r="AK60" s="24">
        <v>390</v>
      </c>
      <c r="AL60" s="7" t="s">
        <v>143</v>
      </c>
      <c r="AM60" s="7">
        <v>7</v>
      </c>
      <c r="AN60" s="7" t="s">
        <v>144</v>
      </c>
      <c r="AO60" s="7">
        <v>9</v>
      </c>
      <c r="AP60" s="7" t="s">
        <v>145</v>
      </c>
      <c r="AQ60" s="7">
        <v>6</v>
      </c>
      <c r="AR60" s="7" t="s">
        <v>146</v>
      </c>
      <c r="AS60" s="7">
        <v>9</v>
      </c>
      <c r="AT60" s="7" t="s">
        <v>147</v>
      </c>
      <c r="AU60" s="7">
        <v>15</v>
      </c>
      <c r="AV60" s="7" t="s">
        <v>148</v>
      </c>
      <c r="AW60" s="7">
        <v>20</v>
      </c>
      <c r="AX60" s="7" t="s">
        <v>149</v>
      </c>
      <c r="AY60" s="7">
        <v>15</v>
      </c>
      <c r="AZ60" s="7" t="s">
        <v>150</v>
      </c>
      <c r="BA60" s="7">
        <v>20</v>
      </c>
      <c r="BB60" s="7" t="s">
        <v>151</v>
      </c>
      <c r="BC60" s="7">
        <v>1</v>
      </c>
      <c r="BD60" s="7" t="s">
        <v>152</v>
      </c>
      <c r="BE60" s="7">
        <v>2</v>
      </c>
      <c r="BF60" s="7" t="s">
        <v>153</v>
      </c>
      <c r="BG60" s="7">
        <v>100</v>
      </c>
      <c r="BH60" s="7" t="s">
        <v>154</v>
      </c>
      <c r="BI60" s="7">
        <v>10</v>
      </c>
      <c r="BJ60" s="7" t="s">
        <v>155</v>
      </c>
      <c r="BK60" s="7">
        <v>250</v>
      </c>
      <c r="BL60" s="20"/>
      <c r="BM60" s="20"/>
      <c r="BN60" s="20">
        <v>1</v>
      </c>
      <c r="BO60" s="20">
        <v>2500</v>
      </c>
      <c r="BP60" s="20">
        <v>2</v>
      </c>
      <c r="BQ60" s="20">
        <v>2500</v>
      </c>
      <c r="BR60" s="20" t="s">
        <v>156</v>
      </c>
    </row>
    <row r="61" s="7" customFormat="1" ht="16.5" spans="1:70">
      <c r="A61" s="7">
        <f>60000000+INDEX(编号表!$B:$B,MATCH(I61,编号表!$A:$A,0))*10000+INDEX(编号表!$B:$B,MATCH(J61,编号表!$C:$C,0))*1000+K61</f>
        <v>60051002</v>
      </c>
      <c r="B61" s="7" t="s">
        <v>297</v>
      </c>
      <c r="C61" s="7" t="s">
        <v>298</v>
      </c>
      <c r="D61" s="7" t="s">
        <v>298</v>
      </c>
      <c r="E61" s="7">
        <v>20</v>
      </c>
      <c r="F61" s="7" t="str" cm="1">
        <f t="array" ref="F61">INDEX(编号表!$E:$E,MATCH(J61,编号表!$C:$C,0))</f>
        <v>白色</v>
      </c>
      <c r="G61" s="7">
        <v>9</v>
      </c>
      <c r="H61" s="7" t="s">
        <v>292</v>
      </c>
      <c r="I61" s="7" t="s">
        <v>292</v>
      </c>
      <c r="J61" s="7" t="s">
        <v>137</v>
      </c>
      <c r="K61" s="7">
        <v>2</v>
      </c>
      <c r="L61" s="7">
        <f>COUNTIFS(I$11:I61,I61,J$11:J61,J61)-1</f>
        <v>2</v>
      </c>
      <c r="O61" s="7">
        <v>10</v>
      </c>
      <c r="P61" s="7">
        <v>300000</v>
      </c>
      <c r="Q61" s="7" t="s">
        <v>138</v>
      </c>
      <c r="R61" s="21">
        <v>40140002</v>
      </c>
      <c r="S61" s="7"/>
      <c r="T61" s="7"/>
      <c r="U61" s="7">
        <v>11010001</v>
      </c>
      <c r="V61" s="7">
        <v>11020001</v>
      </c>
      <c r="X61" s="7" t="s">
        <v>139</v>
      </c>
      <c r="Y61" s="7" t="s">
        <v>299</v>
      </c>
      <c r="Z61" s="7">
        <v>1.5</v>
      </c>
      <c r="AA61" s="7">
        <v>80</v>
      </c>
      <c r="AB61" s="7">
        <v>80</v>
      </c>
      <c r="AC61" s="7">
        <v>20</v>
      </c>
      <c r="AD61" s="7">
        <v>30</v>
      </c>
      <c r="AE61" s="7" t="s">
        <v>141</v>
      </c>
      <c r="AF61" s="7"/>
      <c r="AG61" s="22"/>
      <c r="AI61" s="23">
        <v>73</v>
      </c>
      <c r="AJ61" s="7" t="s">
        <v>142</v>
      </c>
      <c r="AK61" s="24">
        <v>390</v>
      </c>
      <c r="AL61" s="7" t="s">
        <v>143</v>
      </c>
      <c r="AM61" s="7">
        <v>7</v>
      </c>
      <c r="AN61" s="7" t="s">
        <v>144</v>
      </c>
      <c r="AO61" s="7">
        <v>9</v>
      </c>
      <c r="AP61" s="7" t="s">
        <v>145</v>
      </c>
      <c r="AQ61" s="7">
        <v>6</v>
      </c>
      <c r="AR61" s="7" t="s">
        <v>146</v>
      </c>
      <c r="AS61" s="7">
        <v>9</v>
      </c>
      <c r="AT61" s="7" t="s">
        <v>147</v>
      </c>
      <c r="AU61" s="7">
        <v>15</v>
      </c>
      <c r="AV61" s="7" t="s">
        <v>148</v>
      </c>
      <c r="AW61" s="7">
        <v>20</v>
      </c>
      <c r="AX61" s="7" t="s">
        <v>149</v>
      </c>
      <c r="AY61" s="7">
        <v>15</v>
      </c>
      <c r="AZ61" s="7" t="s">
        <v>150</v>
      </c>
      <c r="BA61" s="7">
        <v>20</v>
      </c>
      <c r="BB61" s="7" t="s">
        <v>151</v>
      </c>
      <c r="BC61" s="7">
        <v>1</v>
      </c>
      <c r="BD61" s="7" t="s">
        <v>152</v>
      </c>
      <c r="BE61" s="7">
        <v>2</v>
      </c>
      <c r="BF61" s="7" t="s">
        <v>153</v>
      </c>
      <c r="BG61" s="7">
        <v>100</v>
      </c>
      <c r="BH61" s="7" t="s">
        <v>154</v>
      </c>
      <c r="BI61" s="7">
        <v>10</v>
      </c>
      <c r="BJ61" s="7" t="s">
        <v>155</v>
      </c>
      <c r="BK61" s="7">
        <v>250</v>
      </c>
      <c r="BL61" s="20"/>
      <c r="BM61" s="20"/>
      <c r="BN61" s="20">
        <v>1</v>
      </c>
      <c r="BO61" s="20">
        <v>2500</v>
      </c>
      <c r="BP61" s="20">
        <v>2</v>
      </c>
      <c r="BQ61" s="20">
        <v>2500</v>
      </c>
      <c r="BR61" s="20" t="s">
        <v>156</v>
      </c>
    </row>
    <row r="62" s="7" customFormat="1" ht="16.5" spans="1:70">
      <c r="A62" s="7">
        <f>60000000+INDEX(编号表!$B:$B,MATCH(I62,编号表!$A:$A,0))*10000+INDEX(编号表!$B:$B,MATCH(J62,编号表!$C:$C,0))*1000+K62</f>
        <v>60051003</v>
      </c>
      <c r="B62" s="7" t="s">
        <v>300</v>
      </c>
      <c r="C62" s="7" t="s">
        <v>301</v>
      </c>
      <c r="D62" s="7" t="s">
        <v>301</v>
      </c>
      <c r="E62" s="7">
        <v>20</v>
      </c>
      <c r="F62" s="7" t="str" cm="1">
        <f t="array" ref="F62">INDEX(编号表!$E:$E,MATCH(J62,编号表!$C:$C,0))</f>
        <v>白色</v>
      </c>
      <c r="G62" s="7">
        <v>9</v>
      </c>
      <c r="H62" s="7" t="s">
        <v>292</v>
      </c>
      <c r="I62" s="7" t="s">
        <v>292</v>
      </c>
      <c r="J62" s="7" t="s">
        <v>137</v>
      </c>
      <c r="K62" s="7">
        <v>3</v>
      </c>
      <c r="L62" s="7">
        <f>COUNTIFS(I$11:I62,I62,J$11:J62,J62)-1</f>
        <v>3</v>
      </c>
      <c r="O62" s="7">
        <v>10</v>
      </c>
      <c r="P62" s="7">
        <v>300000</v>
      </c>
      <c r="Q62" s="7" t="s">
        <v>138</v>
      </c>
      <c r="R62" s="21">
        <v>40140002</v>
      </c>
      <c r="S62" s="7"/>
      <c r="T62" s="7"/>
      <c r="U62" s="7">
        <v>11010001</v>
      </c>
      <c r="V62" s="7">
        <v>11020001</v>
      </c>
      <c r="X62" s="7" t="s">
        <v>139</v>
      </c>
      <c r="Y62" s="7" t="s">
        <v>302</v>
      </c>
      <c r="Z62" s="7">
        <v>1.5</v>
      </c>
      <c r="AA62" s="7">
        <v>80</v>
      </c>
      <c r="AB62" s="7">
        <v>80</v>
      </c>
      <c r="AC62" s="7">
        <v>20</v>
      </c>
      <c r="AD62" s="7">
        <v>30</v>
      </c>
      <c r="AE62" s="7" t="s">
        <v>141</v>
      </c>
      <c r="AF62" s="7"/>
      <c r="AG62" s="22"/>
      <c r="AI62" s="23">
        <v>73</v>
      </c>
      <c r="AJ62" s="7" t="s">
        <v>142</v>
      </c>
      <c r="AK62" s="24">
        <v>390</v>
      </c>
      <c r="AL62" s="7" t="s">
        <v>143</v>
      </c>
      <c r="AM62" s="7">
        <v>7</v>
      </c>
      <c r="AN62" s="7" t="s">
        <v>144</v>
      </c>
      <c r="AO62" s="7">
        <v>9</v>
      </c>
      <c r="AP62" s="7" t="s">
        <v>145</v>
      </c>
      <c r="AQ62" s="7">
        <v>6</v>
      </c>
      <c r="AR62" s="7" t="s">
        <v>146</v>
      </c>
      <c r="AS62" s="7">
        <v>9</v>
      </c>
      <c r="AT62" s="7" t="s">
        <v>147</v>
      </c>
      <c r="AU62" s="7">
        <v>15</v>
      </c>
      <c r="AV62" s="7" t="s">
        <v>148</v>
      </c>
      <c r="AW62" s="7">
        <v>20</v>
      </c>
      <c r="AX62" s="7" t="s">
        <v>149</v>
      </c>
      <c r="AY62" s="7">
        <v>15</v>
      </c>
      <c r="AZ62" s="7" t="s">
        <v>150</v>
      </c>
      <c r="BA62" s="7">
        <v>20</v>
      </c>
      <c r="BB62" s="7" t="s">
        <v>151</v>
      </c>
      <c r="BC62" s="7">
        <v>1</v>
      </c>
      <c r="BD62" s="7" t="s">
        <v>152</v>
      </c>
      <c r="BE62" s="7">
        <v>2</v>
      </c>
      <c r="BF62" s="7" t="s">
        <v>153</v>
      </c>
      <c r="BG62" s="7">
        <v>100</v>
      </c>
      <c r="BH62" s="7" t="s">
        <v>154</v>
      </c>
      <c r="BI62" s="7">
        <v>10</v>
      </c>
      <c r="BJ62" s="7" t="s">
        <v>155</v>
      </c>
      <c r="BK62" s="7">
        <v>250</v>
      </c>
      <c r="BL62" s="20"/>
      <c r="BM62" s="20"/>
      <c r="BN62" s="20">
        <v>1</v>
      </c>
      <c r="BO62" s="20">
        <v>2500</v>
      </c>
      <c r="BP62" s="20">
        <v>2</v>
      </c>
      <c r="BQ62" s="20">
        <v>2500</v>
      </c>
      <c r="BR62" s="20" t="s">
        <v>156</v>
      </c>
    </row>
    <row r="63" s="7" customFormat="1" ht="16.5" spans="1:70">
      <c r="A63" s="7">
        <f>60000000+INDEX(编号表!$B:$B,MATCH(I63,编号表!$A:$A,0))*10000+INDEX(编号表!$B:$B,MATCH(J63,编号表!$C:$C,0))*1000+K63</f>
        <v>60051004</v>
      </c>
      <c r="B63" s="7" t="s">
        <v>303</v>
      </c>
      <c r="C63" s="7" t="s">
        <v>304</v>
      </c>
      <c r="D63" s="7" t="s">
        <v>304</v>
      </c>
      <c r="E63" s="7">
        <v>20</v>
      </c>
      <c r="F63" s="7" t="str" cm="1">
        <f t="array" ref="F63">INDEX(编号表!$E:$E,MATCH(J63,编号表!$C:$C,0))</f>
        <v>白色</v>
      </c>
      <c r="G63" s="7">
        <v>9</v>
      </c>
      <c r="H63" s="7" t="s">
        <v>292</v>
      </c>
      <c r="I63" s="7" t="s">
        <v>292</v>
      </c>
      <c r="J63" s="7" t="s">
        <v>137</v>
      </c>
      <c r="K63" s="7">
        <v>4</v>
      </c>
      <c r="L63" s="7">
        <f>COUNTIFS(I$11:I63,I63,J$11:J63,J63)-1</f>
        <v>4</v>
      </c>
      <c r="O63" s="7">
        <v>10</v>
      </c>
      <c r="P63" s="7">
        <v>300000</v>
      </c>
      <c r="Q63" s="7" t="s">
        <v>138</v>
      </c>
      <c r="R63" s="21">
        <v>40140002</v>
      </c>
      <c r="S63" s="7"/>
      <c r="T63" s="7"/>
      <c r="U63" s="7">
        <v>11010001</v>
      </c>
      <c r="V63" s="7">
        <v>11020001</v>
      </c>
      <c r="X63" s="7" t="s">
        <v>139</v>
      </c>
      <c r="Y63" s="7" t="s">
        <v>305</v>
      </c>
      <c r="Z63" s="7">
        <v>1.5</v>
      </c>
      <c r="AA63" s="7">
        <v>80</v>
      </c>
      <c r="AB63" s="7">
        <v>80</v>
      </c>
      <c r="AC63" s="7">
        <v>20</v>
      </c>
      <c r="AD63" s="7">
        <v>30</v>
      </c>
      <c r="AE63" s="7" t="s">
        <v>141</v>
      </c>
      <c r="AF63" s="7"/>
      <c r="AG63" s="22"/>
      <c r="AI63" s="23">
        <v>73</v>
      </c>
      <c r="AJ63" s="7" t="s">
        <v>142</v>
      </c>
      <c r="AK63" s="24">
        <v>390</v>
      </c>
      <c r="AL63" s="7" t="s">
        <v>143</v>
      </c>
      <c r="AM63" s="7">
        <v>7</v>
      </c>
      <c r="AN63" s="7" t="s">
        <v>144</v>
      </c>
      <c r="AO63" s="7">
        <v>9</v>
      </c>
      <c r="AP63" s="7" t="s">
        <v>145</v>
      </c>
      <c r="AQ63" s="7">
        <v>6</v>
      </c>
      <c r="AR63" s="7" t="s">
        <v>146</v>
      </c>
      <c r="AS63" s="7">
        <v>9</v>
      </c>
      <c r="AT63" s="7" t="s">
        <v>147</v>
      </c>
      <c r="AU63" s="7">
        <v>15</v>
      </c>
      <c r="AV63" s="7" t="s">
        <v>148</v>
      </c>
      <c r="AW63" s="7">
        <v>20</v>
      </c>
      <c r="AX63" s="7" t="s">
        <v>149</v>
      </c>
      <c r="AY63" s="7">
        <v>15</v>
      </c>
      <c r="AZ63" s="7" t="s">
        <v>150</v>
      </c>
      <c r="BA63" s="7">
        <v>20</v>
      </c>
      <c r="BB63" s="7" t="s">
        <v>151</v>
      </c>
      <c r="BC63" s="7">
        <v>1</v>
      </c>
      <c r="BD63" s="7" t="s">
        <v>152</v>
      </c>
      <c r="BE63" s="7">
        <v>2</v>
      </c>
      <c r="BF63" s="7" t="s">
        <v>153</v>
      </c>
      <c r="BG63" s="7">
        <v>100</v>
      </c>
      <c r="BH63" s="7" t="s">
        <v>154</v>
      </c>
      <c r="BI63" s="7">
        <v>10</v>
      </c>
      <c r="BJ63" s="7" t="s">
        <v>155</v>
      </c>
      <c r="BK63" s="7">
        <v>250</v>
      </c>
      <c r="BL63" s="20"/>
      <c r="BM63" s="20"/>
      <c r="BN63" s="20">
        <v>1</v>
      </c>
      <c r="BO63" s="20">
        <v>2500</v>
      </c>
      <c r="BP63" s="20">
        <v>2</v>
      </c>
      <c r="BQ63" s="20">
        <v>2500</v>
      </c>
      <c r="BR63" s="20" t="s">
        <v>156</v>
      </c>
    </row>
    <row r="64" s="7" customFormat="1" ht="16.5" spans="1:70">
      <c r="A64" s="7">
        <f>60000000+INDEX(编号表!$B:$B,MATCH(I64,编号表!$A:$A,0))*10000+INDEX(编号表!$B:$B,MATCH(J64,编号表!$C:$C,0))*1000+K64</f>
        <v>60051005</v>
      </c>
      <c r="B64" s="7" t="s">
        <v>306</v>
      </c>
      <c r="C64" s="7" t="s">
        <v>241</v>
      </c>
      <c r="D64" s="7" t="s">
        <v>307</v>
      </c>
      <c r="E64" s="7">
        <v>20</v>
      </c>
      <c r="F64" s="7" t="str" cm="1">
        <f t="array" ref="F64">INDEX(编号表!$E:$E,MATCH(J64,编号表!$C:$C,0))</f>
        <v>白色</v>
      </c>
      <c r="G64" s="7">
        <v>9</v>
      </c>
      <c r="H64" s="7" t="s">
        <v>292</v>
      </c>
      <c r="I64" s="7" t="s">
        <v>292</v>
      </c>
      <c r="J64" s="7" t="s">
        <v>137</v>
      </c>
      <c r="K64" s="7">
        <v>5</v>
      </c>
      <c r="L64" s="7">
        <f>COUNTIFS(I$11:I64,I64,J$11:J64,J64)-1</f>
        <v>5</v>
      </c>
      <c r="O64" s="7">
        <v>10</v>
      </c>
      <c r="P64" s="7">
        <v>150000</v>
      </c>
      <c r="Q64" s="7" t="s">
        <v>138</v>
      </c>
      <c r="R64" s="21">
        <v>40140002</v>
      </c>
      <c r="S64" s="7"/>
      <c r="T64" s="7"/>
      <c r="U64" s="7">
        <v>11010001</v>
      </c>
      <c r="V64" s="7">
        <v>11020001</v>
      </c>
      <c r="X64" s="7" t="s">
        <v>139</v>
      </c>
      <c r="Y64" s="7" t="s">
        <v>242</v>
      </c>
      <c r="Z64" s="7">
        <v>0.5</v>
      </c>
      <c r="AA64" s="7">
        <v>80</v>
      </c>
      <c r="AB64" s="7">
        <v>80</v>
      </c>
      <c r="AC64" s="7">
        <v>20</v>
      </c>
      <c r="AD64" s="7">
        <v>30</v>
      </c>
      <c r="AE64" s="7" t="s">
        <v>141</v>
      </c>
      <c r="AF64" s="7"/>
      <c r="AG64" s="22"/>
      <c r="AI64" s="23">
        <v>73</v>
      </c>
      <c r="AJ64" s="7" t="s">
        <v>142</v>
      </c>
      <c r="AK64" s="24">
        <v>370</v>
      </c>
      <c r="AL64" s="7" t="s">
        <v>143</v>
      </c>
      <c r="AM64" s="7">
        <v>6</v>
      </c>
      <c r="AN64" s="7" t="s">
        <v>144</v>
      </c>
      <c r="AO64" s="7">
        <v>9</v>
      </c>
      <c r="AP64" s="7" t="s">
        <v>145</v>
      </c>
      <c r="AQ64" s="7">
        <v>6</v>
      </c>
      <c r="AR64" s="7" t="s">
        <v>146</v>
      </c>
      <c r="AS64" s="7">
        <v>8</v>
      </c>
      <c r="AT64" s="7" t="s">
        <v>147</v>
      </c>
      <c r="AU64" s="7">
        <v>14</v>
      </c>
      <c r="AV64" s="7" t="s">
        <v>148</v>
      </c>
      <c r="AW64" s="7">
        <v>19</v>
      </c>
      <c r="AX64" s="7" t="s">
        <v>149</v>
      </c>
      <c r="AY64" s="7">
        <v>14</v>
      </c>
      <c r="AZ64" s="7" t="s">
        <v>150</v>
      </c>
      <c r="BA64" s="7">
        <v>19</v>
      </c>
      <c r="BB64" s="7" t="s">
        <v>151</v>
      </c>
      <c r="BC64" s="7">
        <v>0</v>
      </c>
      <c r="BD64" s="7" t="s">
        <v>152</v>
      </c>
      <c r="BE64" s="7">
        <v>0</v>
      </c>
      <c r="BF64" s="7" t="s">
        <v>153</v>
      </c>
      <c r="BG64" s="7">
        <v>100</v>
      </c>
      <c r="BH64" s="7" t="s">
        <v>154</v>
      </c>
      <c r="BI64" s="7">
        <v>10</v>
      </c>
      <c r="BJ64" s="7" t="s">
        <v>155</v>
      </c>
      <c r="BK64" s="7">
        <v>250</v>
      </c>
      <c r="BL64" s="20"/>
      <c r="BM64" s="20"/>
      <c r="BN64" s="20">
        <v>1</v>
      </c>
      <c r="BO64" s="20">
        <v>2500</v>
      </c>
      <c r="BP64" s="20">
        <v>2</v>
      </c>
      <c r="BQ64" s="20">
        <v>2500</v>
      </c>
      <c r="BR64" s="20" t="s">
        <v>156</v>
      </c>
    </row>
    <row r="65" s="7" customFormat="1" ht="16.5" spans="1:70">
      <c r="A65" s="7">
        <f>60000000+INDEX(编号表!$B:$B,MATCH(I65,编号表!$A:$A,0))*10000+INDEX(编号表!$B:$B,MATCH(J65,编号表!$C:$C,0))*1000+K65</f>
        <v>60051006</v>
      </c>
      <c r="B65" s="7" t="s">
        <v>308</v>
      </c>
      <c r="C65" s="7" t="s">
        <v>309</v>
      </c>
      <c r="D65" s="7" t="s">
        <v>309</v>
      </c>
      <c r="E65" s="7">
        <v>20</v>
      </c>
      <c r="F65" s="7" t="str" cm="1">
        <f t="array" ref="F65">INDEX(编号表!$E:$E,MATCH(J65,编号表!$C:$C,0))</f>
        <v>白色</v>
      </c>
      <c r="G65" s="7">
        <v>9</v>
      </c>
      <c r="H65" s="7" t="s">
        <v>292</v>
      </c>
      <c r="I65" s="7" t="s">
        <v>292</v>
      </c>
      <c r="J65" s="7" t="s">
        <v>137</v>
      </c>
      <c r="K65" s="7">
        <v>6</v>
      </c>
      <c r="L65" s="7">
        <f>COUNTIFS(I$11:I65,I65,J$11:J65,J65)-1</f>
        <v>6</v>
      </c>
      <c r="O65" s="7">
        <v>10</v>
      </c>
      <c r="P65" s="7">
        <v>300000</v>
      </c>
      <c r="Q65" s="7" t="s">
        <v>138</v>
      </c>
      <c r="R65" s="21">
        <v>40140002</v>
      </c>
      <c r="S65" s="7"/>
      <c r="T65" s="7"/>
      <c r="U65" s="7">
        <v>11010001</v>
      </c>
      <c r="V65" s="7">
        <v>11020001</v>
      </c>
      <c r="X65" s="7" t="s">
        <v>139</v>
      </c>
      <c r="Y65" s="7" t="s">
        <v>296</v>
      </c>
      <c r="Z65" s="7">
        <v>1.5</v>
      </c>
      <c r="AA65" s="7">
        <v>80</v>
      </c>
      <c r="AB65" s="7">
        <v>80</v>
      </c>
      <c r="AC65" s="7">
        <v>20</v>
      </c>
      <c r="AD65" s="7">
        <v>30</v>
      </c>
      <c r="AE65" s="7" t="s">
        <v>206</v>
      </c>
      <c r="AF65" s="7" t="s">
        <v>310</v>
      </c>
      <c r="AG65" s="22"/>
      <c r="AI65" s="23">
        <v>73</v>
      </c>
      <c r="AJ65" s="7" t="s">
        <v>142</v>
      </c>
      <c r="AK65" s="24">
        <v>360</v>
      </c>
      <c r="AL65" s="7" t="s">
        <v>143</v>
      </c>
      <c r="AM65" s="7">
        <v>6</v>
      </c>
      <c r="AN65" s="7" t="s">
        <v>144</v>
      </c>
      <c r="AO65" s="7">
        <v>9</v>
      </c>
      <c r="AP65" s="7" t="s">
        <v>145</v>
      </c>
      <c r="AQ65" s="7">
        <v>6</v>
      </c>
      <c r="AR65" s="7" t="s">
        <v>146</v>
      </c>
      <c r="AS65" s="7">
        <v>8</v>
      </c>
      <c r="AT65" s="7" t="s">
        <v>147</v>
      </c>
      <c r="AU65" s="7">
        <v>16</v>
      </c>
      <c r="AV65" s="7" t="s">
        <v>148</v>
      </c>
      <c r="AW65" s="7">
        <v>22</v>
      </c>
      <c r="AX65" s="7" t="s">
        <v>149</v>
      </c>
      <c r="AY65" s="7">
        <v>16</v>
      </c>
      <c r="AZ65" s="7" t="s">
        <v>150</v>
      </c>
      <c r="BA65" s="7">
        <v>22</v>
      </c>
      <c r="BB65" s="7" t="s">
        <v>151</v>
      </c>
      <c r="BC65" s="7">
        <v>1</v>
      </c>
      <c r="BD65" s="7" t="s">
        <v>152</v>
      </c>
      <c r="BE65" s="7">
        <v>2</v>
      </c>
      <c r="BF65" s="7" t="s">
        <v>153</v>
      </c>
      <c r="BG65" s="7">
        <v>100</v>
      </c>
      <c r="BH65" s="7" t="s">
        <v>154</v>
      </c>
      <c r="BI65" s="7">
        <v>300</v>
      </c>
      <c r="BJ65" s="7" t="s">
        <v>155</v>
      </c>
      <c r="BK65" s="7">
        <v>250</v>
      </c>
      <c r="BL65" s="20"/>
      <c r="BM65" s="20"/>
      <c r="BN65" s="20">
        <v>1</v>
      </c>
      <c r="BO65" s="20">
        <v>2500</v>
      </c>
      <c r="BP65" s="20">
        <v>2</v>
      </c>
      <c r="BQ65" s="20">
        <v>2500</v>
      </c>
      <c r="BR65" s="20" t="s">
        <v>156</v>
      </c>
    </row>
    <row r="66" s="7" customFormat="1" ht="16.5" spans="1:70">
      <c r="A66" s="7">
        <f>60000000+INDEX(编号表!$B:$B,MATCH(I66,编号表!$A:$A,0))*10000+INDEX(编号表!$B:$B,MATCH(J66,编号表!$C:$C,0))*1000+K66</f>
        <v>60052000</v>
      </c>
      <c r="B66" s="7" t="s">
        <v>311</v>
      </c>
      <c r="C66" s="7" t="s">
        <v>309</v>
      </c>
      <c r="D66" s="7" t="s">
        <v>312</v>
      </c>
      <c r="E66" s="7">
        <v>21</v>
      </c>
      <c r="F66" s="7" t="str" cm="1">
        <f t="array" ref="F66">INDEX(编号表!$E:$E,MATCH(J66,编号表!$C:$C,0))</f>
        <v>绿色</v>
      </c>
      <c r="G66" s="7">
        <v>9</v>
      </c>
      <c r="H66" s="7" t="s">
        <v>292</v>
      </c>
      <c r="I66" s="7" t="s">
        <v>292</v>
      </c>
      <c r="J66" s="7" t="s">
        <v>221</v>
      </c>
      <c r="K66" s="7">
        <v>0</v>
      </c>
      <c r="L66" s="7">
        <f>COUNTIFS(I$11:I66,I66,J$11:J66,J66)-1</f>
        <v>0</v>
      </c>
      <c r="O66" s="7">
        <v>10</v>
      </c>
      <c r="P66" s="7">
        <v>300000</v>
      </c>
      <c r="Q66" s="7" t="s">
        <v>138</v>
      </c>
      <c r="R66" s="21">
        <v>40140002</v>
      </c>
      <c r="S66" s="7"/>
      <c r="T66" s="7"/>
      <c r="U66" s="7">
        <v>11010001</v>
      </c>
      <c r="V66" s="7">
        <v>11020001</v>
      </c>
      <c r="X66" s="7" t="s">
        <v>139</v>
      </c>
      <c r="Y66" s="7" t="s">
        <v>296</v>
      </c>
      <c r="Z66" s="7">
        <v>1.5</v>
      </c>
      <c r="AA66" s="7">
        <v>80</v>
      </c>
      <c r="AB66" s="7">
        <v>80</v>
      </c>
      <c r="AC66" s="7">
        <v>20</v>
      </c>
      <c r="AD66" s="7">
        <v>30</v>
      </c>
      <c r="AE66" s="7" t="s">
        <v>206</v>
      </c>
      <c r="AF66" s="7" t="s">
        <v>310</v>
      </c>
      <c r="AG66" s="22" t="s">
        <v>222</v>
      </c>
      <c r="AI66" s="23">
        <v>310</v>
      </c>
      <c r="AJ66" s="7" t="s">
        <v>142</v>
      </c>
      <c r="AK66" s="24">
        <v>1850</v>
      </c>
      <c r="AL66" s="7" t="s">
        <v>143</v>
      </c>
      <c r="AM66" s="7">
        <v>9</v>
      </c>
      <c r="AN66" s="7" t="s">
        <v>144</v>
      </c>
      <c r="AO66" s="7">
        <v>12</v>
      </c>
      <c r="AP66" s="7" t="s">
        <v>145</v>
      </c>
      <c r="AQ66" s="7">
        <v>8</v>
      </c>
      <c r="AR66" s="7" t="s">
        <v>146</v>
      </c>
      <c r="AS66" s="7">
        <v>12</v>
      </c>
      <c r="AT66" s="7" t="s">
        <v>147</v>
      </c>
      <c r="AU66" s="7">
        <v>30</v>
      </c>
      <c r="AV66" s="7" t="s">
        <v>148</v>
      </c>
      <c r="AW66" s="7">
        <v>40</v>
      </c>
      <c r="AX66" s="7" t="s">
        <v>149</v>
      </c>
      <c r="AY66" s="7">
        <v>30</v>
      </c>
      <c r="AZ66" s="7" t="s">
        <v>150</v>
      </c>
      <c r="BA66" s="7">
        <v>40</v>
      </c>
      <c r="BB66" s="7" t="s">
        <v>151</v>
      </c>
      <c r="BC66" s="7">
        <v>1</v>
      </c>
      <c r="BD66" s="7" t="s">
        <v>152</v>
      </c>
      <c r="BE66" s="7">
        <v>2</v>
      </c>
      <c r="BF66" s="7" t="s">
        <v>153</v>
      </c>
      <c r="BG66" s="7">
        <v>100</v>
      </c>
      <c r="BH66" s="7" t="s">
        <v>154</v>
      </c>
      <c r="BI66" s="7">
        <v>300</v>
      </c>
      <c r="BJ66" s="7" t="s">
        <v>155</v>
      </c>
      <c r="BK66" s="7">
        <v>250</v>
      </c>
      <c r="BL66" s="20"/>
      <c r="BM66" s="20"/>
      <c r="BN66" s="20">
        <v>1</v>
      </c>
      <c r="BO66" s="20">
        <v>2500</v>
      </c>
      <c r="BP66" s="20">
        <v>2</v>
      </c>
      <c r="BQ66" s="20">
        <v>2500</v>
      </c>
      <c r="BR66" s="20" t="s">
        <v>156</v>
      </c>
    </row>
    <row r="67" s="15" customFormat="1" ht="16.5" spans="1:70">
      <c r="A67" s="15">
        <f>60000000+INDEX(编号表!$B:$B,MATCH(I67,编号表!$A:$A,0))*10000+INDEX(编号表!$B:$B,MATCH(J67,编号表!$C:$C,0))*1000+K67</f>
        <v>60054000</v>
      </c>
      <c r="B67" s="15" t="s">
        <v>313</v>
      </c>
      <c r="C67" s="15" t="s">
        <v>309</v>
      </c>
      <c r="D67" s="15" t="s">
        <v>312</v>
      </c>
      <c r="E67" s="15">
        <v>21</v>
      </c>
      <c r="F67" s="15" t="str" cm="1">
        <f t="array" ref="F67">INDEX(编号表!$E:$E,MATCH(J67,编号表!$C:$C,0))</f>
        <v>橙色</v>
      </c>
      <c r="G67" s="15">
        <v>9</v>
      </c>
      <c r="H67" s="15" t="s">
        <v>292</v>
      </c>
      <c r="I67" s="15" t="s">
        <v>292</v>
      </c>
      <c r="J67" s="15" t="s">
        <v>233</v>
      </c>
      <c r="K67" s="15">
        <v>0</v>
      </c>
      <c r="L67" s="15">
        <f>COUNTIFS(I$11:I67,I67,J$11:J67,J67)-1</f>
        <v>0</v>
      </c>
      <c r="O67" s="7">
        <v>10</v>
      </c>
      <c r="P67" s="7">
        <v>300000</v>
      </c>
      <c r="Q67" s="15" t="s">
        <v>138</v>
      </c>
      <c r="R67" s="21">
        <v>40140003</v>
      </c>
      <c r="S67" s="15"/>
      <c r="T67" s="15"/>
      <c r="U67" s="15">
        <v>11010001</v>
      </c>
      <c r="V67" s="15">
        <v>11020001</v>
      </c>
      <c r="X67" s="15" t="s">
        <v>139</v>
      </c>
      <c r="Y67" s="7" t="s">
        <v>296</v>
      </c>
      <c r="Z67" s="7">
        <v>1.5</v>
      </c>
      <c r="AA67" s="7">
        <v>80</v>
      </c>
      <c r="AB67" s="7">
        <v>80</v>
      </c>
      <c r="AC67" s="7">
        <v>20</v>
      </c>
      <c r="AD67" s="7">
        <v>30</v>
      </c>
      <c r="AE67" s="15" t="s">
        <v>206</v>
      </c>
      <c r="AF67" s="7" t="s">
        <v>310</v>
      </c>
      <c r="AG67" s="22" t="s">
        <v>234</v>
      </c>
      <c r="AH67" s="15"/>
      <c r="AI67" s="23">
        <v>1580</v>
      </c>
      <c r="AJ67" s="15" t="s">
        <v>142</v>
      </c>
      <c r="AK67" s="24">
        <v>8700</v>
      </c>
      <c r="AL67" s="15" t="s">
        <v>143</v>
      </c>
      <c r="AM67" s="15">
        <v>12</v>
      </c>
      <c r="AN67" s="15" t="s">
        <v>144</v>
      </c>
      <c r="AO67" s="15">
        <v>16</v>
      </c>
      <c r="AP67" s="15" t="s">
        <v>145</v>
      </c>
      <c r="AQ67" s="15">
        <v>11</v>
      </c>
      <c r="AR67" s="15" t="s">
        <v>146</v>
      </c>
      <c r="AS67" s="15">
        <v>16</v>
      </c>
      <c r="AT67" s="15" t="s">
        <v>147</v>
      </c>
      <c r="AU67" s="15">
        <v>45</v>
      </c>
      <c r="AV67" s="15" t="s">
        <v>148</v>
      </c>
      <c r="AW67" s="15">
        <v>60</v>
      </c>
      <c r="AX67" s="15" t="s">
        <v>149</v>
      </c>
      <c r="AY67" s="15">
        <v>45</v>
      </c>
      <c r="AZ67" s="15" t="s">
        <v>150</v>
      </c>
      <c r="BA67" s="15">
        <v>60</v>
      </c>
      <c r="BB67" s="15" t="s">
        <v>151</v>
      </c>
      <c r="BC67" s="15">
        <v>1</v>
      </c>
      <c r="BD67" s="15" t="s">
        <v>152</v>
      </c>
      <c r="BE67" s="15">
        <v>2</v>
      </c>
      <c r="BF67" s="15" t="s">
        <v>153</v>
      </c>
      <c r="BG67" s="15">
        <v>100</v>
      </c>
      <c r="BH67" s="15" t="s">
        <v>154</v>
      </c>
      <c r="BI67" s="7">
        <v>300</v>
      </c>
      <c r="BJ67" s="15" t="s">
        <v>155</v>
      </c>
      <c r="BK67" s="7">
        <v>250</v>
      </c>
      <c r="BL67" s="25"/>
      <c r="BM67" s="25"/>
      <c r="BN67" s="20">
        <v>1</v>
      </c>
      <c r="BO67" s="20">
        <v>2500</v>
      </c>
      <c r="BP67" s="20">
        <v>2</v>
      </c>
      <c r="BQ67" s="20">
        <v>2500</v>
      </c>
      <c r="BR67" s="25" t="s">
        <v>156</v>
      </c>
    </row>
    <row r="68" s="15" customFormat="1" ht="16.5" spans="1:70">
      <c r="A68" s="15">
        <f>60000000+INDEX(编号表!$B:$B,MATCH(I68,编号表!$A:$A,0))*10000+INDEX(编号表!$B:$B,MATCH(J68,编号表!$C:$C,0))*1000+K68</f>
        <v>60054001</v>
      </c>
      <c r="B68" s="15" t="s">
        <v>314</v>
      </c>
      <c r="C68" s="15" t="s">
        <v>309</v>
      </c>
      <c r="D68" s="15" t="s">
        <v>312</v>
      </c>
      <c r="E68" s="15">
        <v>21</v>
      </c>
      <c r="F68" s="15" t="str" cm="1">
        <f t="array" ref="F68">INDEX(编号表!$E:$E,MATCH(J68,编号表!$C:$C,0))</f>
        <v>橙色</v>
      </c>
      <c r="G68" s="15">
        <v>9</v>
      </c>
      <c r="H68" s="15" t="s">
        <v>292</v>
      </c>
      <c r="I68" s="15" t="s">
        <v>292</v>
      </c>
      <c r="J68" s="15" t="s">
        <v>233</v>
      </c>
      <c r="K68" s="15">
        <v>1</v>
      </c>
      <c r="L68" s="15">
        <f>COUNTIFS(I$11:I68,I68,J$11:J68,J68)-1</f>
        <v>1</v>
      </c>
      <c r="O68" s="7">
        <v>10</v>
      </c>
      <c r="P68" s="7">
        <v>300000</v>
      </c>
      <c r="Q68" s="15" t="s">
        <v>138</v>
      </c>
      <c r="R68" s="21">
        <v>40140003</v>
      </c>
      <c r="S68" s="15"/>
      <c r="T68" s="15"/>
      <c r="U68" s="15">
        <v>11010001</v>
      </c>
      <c r="V68" s="15">
        <v>11020001</v>
      </c>
      <c r="X68" s="15" t="s">
        <v>139</v>
      </c>
      <c r="Y68" s="7" t="s">
        <v>296</v>
      </c>
      <c r="Z68" s="7">
        <v>1.5</v>
      </c>
      <c r="AA68" s="7">
        <v>80</v>
      </c>
      <c r="AB68" s="7">
        <v>80</v>
      </c>
      <c r="AC68" s="7">
        <v>20</v>
      </c>
      <c r="AD68" s="7">
        <v>30</v>
      </c>
      <c r="AE68" s="15" t="s">
        <v>206</v>
      </c>
      <c r="AF68" s="7" t="s">
        <v>310</v>
      </c>
      <c r="AG68" s="22" t="s">
        <v>234</v>
      </c>
      <c r="AH68" s="15"/>
      <c r="AI68" s="23">
        <v>1580</v>
      </c>
      <c r="AJ68" s="15" t="s">
        <v>142</v>
      </c>
      <c r="AK68" s="24">
        <v>8700</v>
      </c>
      <c r="AL68" s="15" t="s">
        <v>143</v>
      </c>
      <c r="AM68" s="15">
        <v>12</v>
      </c>
      <c r="AN68" s="15" t="s">
        <v>144</v>
      </c>
      <c r="AO68" s="15">
        <v>16</v>
      </c>
      <c r="AP68" s="15" t="s">
        <v>145</v>
      </c>
      <c r="AQ68" s="15">
        <v>11</v>
      </c>
      <c r="AR68" s="15" t="s">
        <v>146</v>
      </c>
      <c r="AS68" s="15">
        <v>16</v>
      </c>
      <c r="AT68" s="15" t="s">
        <v>147</v>
      </c>
      <c r="AU68" s="15">
        <v>45</v>
      </c>
      <c r="AV68" s="15" t="s">
        <v>148</v>
      </c>
      <c r="AW68" s="15">
        <v>60</v>
      </c>
      <c r="AX68" s="15" t="s">
        <v>149</v>
      </c>
      <c r="AY68" s="15">
        <v>45</v>
      </c>
      <c r="AZ68" s="15" t="s">
        <v>150</v>
      </c>
      <c r="BA68" s="15">
        <v>60</v>
      </c>
      <c r="BB68" s="15" t="s">
        <v>151</v>
      </c>
      <c r="BC68" s="15">
        <v>1</v>
      </c>
      <c r="BD68" s="15" t="s">
        <v>152</v>
      </c>
      <c r="BE68" s="15">
        <v>2</v>
      </c>
      <c r="BF68" s="15" t="s">
        <v>153</v>
      </c>
      <c r="BG68" s="15">
        <v>100</v>
      </c>
      <c r="BH68" s="15" t="s">
        <v>154</v>
      </c>
      <c r="BI68" s="7">
        <v>300</v>
      </c>
      <c r="BJ68" s="15" t="s">
        <v>155</v>
      </c>
      <c r="BK68" s="7">
        <v>250</v>
      </c>
      <c r="BL68" s="25"/>
      <c r="BM68" s="25"/>
      <c r="BN68" s="20">
        <v>1</v>
      </c>
      <c r="BO68" s="20">
        <v>2500</v>
      </c>
      <c r="BP68" s="20">
        <v>2</v>
      </c>
      <c r="BQ68" s="20">
        <v>2500</v>
      </c>
      <c r="BR68" s="25" t="s">
        <v>156</v>
      </c>
    </row>
    <row r="69" s="15" customFormat="1" ht="16.5" spans="1:70">
      <c r="A69" s="15">
        <f>60000000+INDEX(编号表!$B:$B,MATCH(I69,编号表!$A:$A,0))*10000+INDEX(编号表!$B:$B,MATCH(J69,编号表!$C:$C,0))*1000+K69</f>
        <v>60054002</v>
      </c>
      <c r="B69" s="15" t="s">
        <v>315</v>
      </c>
      <c r="C69" s="15" t="s">
        <v>309</v>
      </c>
      <c r="D69" s="15" t="s">
        <v>312</v>
      </c>
      <c r="E69" s="15">
        <v>21</v>
      </c>
      <c r="F69" s="15" t="str" cm="1">
        <f t="array" ref="F69">INDEX(编号表!$E:$E,MATCH(J69,编号表!$C:$C,0))</f>
        <v>橙色</v>
      </c>
      <c r="G69" s="15">
        <v>9</v>
      </c>
      <c r="H69" s="15" t="s">
        <v>292</v>
      </c>
      <c r="I69" s="15" t="s">
        <v>292</v>
      </c>
      <c r="J69" s="15" t="s">
        <v>233</v>
      </c>
      <c r="K69" s="15">
        <v>2</v>
      </c>
      <c r="L69" s="15">
        <f>COUNTIFS(I$11:I69,I69,J$11:J69,J69)-1</f>
        <v>2</v>
      </c>
      <c r="O69" s="7">
        <v>10</v>
      </c>
      <c r="P69" s="7">
        <v>300000</v>
      </c>
      <c r="Q69" s="15" t="s">
        <v>138</v>
      </c>
      <c r="R69" s="21">
        <v>40140003</v>
      </c>
      <c r="S69" s="15"/>
      <c r="T69" s="15"/>
      <c r="U69" s="15">
        <v>11010001</v>
      </c>
      <c r="V69" s="15">
        <v>11020001</v>
      </c>
      <c r="X69" s="15" t="s">
        <v>139</v>
      </c>
      <c r="Y69" s="7" t="s">
        <v>296</v>
      </c>
      <c r="Z69" s="7">
        <v>1.5</v>
      </c>
      <c r="AA69" s="7">
        <v>80</v>
      </c>
      <c r="AB69" s="7">
        <v>80</v>
      </c>
      <c r="AC69" s="7">
        <v>20</v>
      </c>
      <c r="AD69" s="7">
        <v>30</v>
      </c>
      <c r="AE69" s="15" t="s">
        <v>206</v>
      </c>
      <c r="AF69" s="7" t="s">
        <v>310</v>
      </c>
      <c r="AG69" s="22" t="s">
        <v>234</v>
      </c>
      <c r="AH69" s="15"/>
      <c r="AI69" s="23">
        <v>1580</v>
      </c>
      <c r="AJ69" s="15" t="s">
        <v>142</v>
      </c>
      <c r="AK69" s="24">
        <v>8700</v>
      </c>
      <c r="AL69" s="15" t="s">
        <v>143</v>
      </c>
      <c r="AM69" s="15">
        <v>12</v>
      </c>
      <c r="AN69" s="15" t="s">
        <v>144</v>
      </c>
      <c r="AO69" s="15">
        <v>16</v>
      </c>
      <c r="AP69" s="15" t="s">
        <v>145</v>
      </c>
      <c r="AQ69" s="15">
        <v>11</v>
      </c>
      <c r="AR69" s="15" t="s">
        <v>146</v>
      </c>
      <c r="AS69" s="15">
        <v>16</v>
      </c>
      <c r="AT69" s="15" t="s">
        <v>147</v>
      </c>
      <c r="AU69" s="15">
        <v>45</v>
      </c>
      <c r="AV69" s="15" t="s">
        <v>148</v>
      </c>
      <c r="AW69" s="15">
        <v>60</v>
      </c>
      <c r="AX69" s="15" t="s">
        <v>149</v>
      </c>
      <c r="AY69" s="15">
        <v>45</v>
      </c>
      <c r="AZ69" s="15" t="s">
        <v>150</v>
      </c>
      <c r="BA69" s="15">
        <v>60</v>
      </c>
      <c r="BB69" s="15" t="s">
        <v>151</v>
      </c>
      <c r="BC69" s="15">
        <v>1</v>
      </c>
      <c r="BD69" s="15" t="s">
        <v>152</v>
      </c>
      <c r="BE69" s="15">
        <v>2</v>
      </c>
      <c r="BF69" s="15" t="s">
        <v>153</v>
      </c>
      <c r="BG69" s="15">
        <v>100</v>
      </c>
      <c r="BH69" s="15" t="s">
        <v>154</v>
      </c>
      <c r="BI69" s="7">
        <v>300</v>
      </c>
      <c r="BJ69" s="15" t="s">
        <v>155</v>
      </c>
      <c r="BK69" s="7">
        <v>250</v>
      </c>
      <c r="BL69" s="25"/>
      <c r="BM69" s="25"/>
      <c r="BN69" s="20">
        <v>1</v>
      </c>
      <c r="BO69" s="20">
        <v>2500</v>
      </c>
      <c r="BP69" s="20">
        <v>2</v>
      </c>
      <c r="BQ69" s="20">
        <v>2500</v>
      </c>
      <c r="BR69" s="25" t="s">
        <v>156</v>
      </c>
    </row>
    <row r="70" s="16" customFormat="1" ht="16.5" spans="1:70">
      <c r="A70" s="16">
        <f>60000000+INDEX(编号表!$B:$B,MATCH(I70,编号表!$A:$A,0))*10000+INDEX(编号表!$B:$B,MATCH(J70,编号表!$C:$C,0))*1000+K70</f>
        <v>60061000</v>
      </c>
      <c r="B70" s="16" t="s">
        <v>316</v>
      </c>
      <c r="C70" s="16" t="s">
        <v>309</v>
      </c>
      <c r="D70" s="16" t="s">
        <v>317</v>
      </c>
      <c r="E70" s="16">
        <v>20</v>
      </c>
      <c r="F70" s="16" t="str" cm="1">
        <f t="array" ref="F70">INDEX(编号表!$E:$E,MATCH(J70,编号表!$C:$C,0))</f>
        <v>白色</v>
      </c>
      <c r="G70" s="7">
        <v>10</v>
      </c>
      <c r="H70" s="7" t="s">
        <v>318</v>
      </c>
      <c r="I70" s="7" t="s">
        <v>318</v>
      </c>
      <c r="J70" s="16" t="s">
        <v>137</v>
      </c>
      <c r="K70" s="16">
        <v>0</v>
      </c>
      <c r="L70" s="16">
        <f>COUNTIFS(I$11:I70,I70,J$11:J70,J70)-1</f>
        <v>0</v>
      </c>
      <c r="O70" s="7">
        <v>10</v>
      </c>
      <c r="P70" s="7">
        <v>300000</v>
      </c>
      <c r="Q70" s="16" t="s">
        <v>138</v>
      </c>
      <c r="R70" s="21">
        <v>40140003</v>
      </c>
      <c r="S70" s="16"/>
      <c r="T70" s="16"/>
      <c r="U70" s="16">
        <v>11010001</v>
      </c>
      <c r="V70" s="16">
        <v>11020001</v>
      </c>
      <c r="X70" s="16" t="s">
        <v>139</v>
      </c>
      <c r="Y70" s="7" t="s">
        <v>296</v>
      </c>
      <c r="Z70" s="7">
        <v>1.5</v>
      </c>
      <c r="AA70" s="7">
        <v>80</v>
      </c>
      <c r="AB70" s="7">
        <v>80</v>
      </c>
      <c r="AC70" s="7">
        <v>20</v>
      </c>
      <c r="AD70" s="7">
        <v>30</v>
      </c>
      <c r="AE70" s="16" t="s">
        <v>206</v>
      </c>
      <c r="AF70" s="7" t="s">
        <v>310</v>
      </c>
      <c r="AG70" s="22"/>
      <c r="AH70" s="16"/>
      <c r="AI70" s="23">
        <v>74</v>
      </c>
      <c r="AJ70" s="16" t="s">
        <v>142</v>
      </c>
      <c r="AK70" s="24">
        <v>390</v>
      </c>
      <c r="AL70" s="16" t="s">
        <v>143</v>
      </c>
      <c r="AM70" s="16">
        <v>6</v>
      </c>
      <c r="AN70" s="16" t="s">
        <v>144</v>
      </c>
      <c r="AO70" s="16">
        <v>9</v>
      </c>
      <c r="AP70" s="16" t="s">
        <v>145</v>
      </c>
      <c r="AQ70" s="16">
        <v>6</v>
      </c>
      <c r="AR70" s="16" t="s">
        <v>146</v>
      </c>
      <c r="AS70" s="16">
        <v>9</v>
      </c>
      <c r="AT70" s="16" t="s">
        <v>147</v>
      </c>
      <c r="AU70" s="16">
        <v>17</v>
      </c>
      <c r="AV70" s="16" t="s">
        <v>148</v>
      </c>
      <c r="AW70" s="16">
        <v>23</v>
      </c>
      <c r="AX70" s="16" t="s">
        <v>149</v>
      </c>
      <c r="AY70" s="16">
        <v>17</v>
      </c>
      <c r="AZ70" s="16" t="s">
        <v>150</v>
      </c>
      <c r="BA70" s="16">
        <v>23</v>
      </c>
      <c r="BB70" s="16" t="s">
        <v>151</v>
      </c>
      <c r="BC70" s="16">
        <v>1</v>
      </c>
      <c r="BD70" s="16" t="s">
        <v>152</v>
      </c>
      <c r="BE70" s="16">
        <v>2</v>
      </c>
      <c r="BF70" s="16" t="s">
        <v>153</v>
      </c>
      <c r="BG70" s="16">
        <v>100</v>
      </c>
      <c r="BH70" s="16" t="s">
        <v>154</v>
      </c>
      <c r="BI70" s="7">
        <v>300</v>
      </c>
      <c r="BJ70" s="16" t="s">
        <v>155</v>
      </c>
      <c r="BK70" s="7">
        <v>250</v>
      </c>
      <c r="BL70" s="26"/>
      <c r="BM70" s="26"/>
      <c r="BN70" s="20">
        <v>1</v>
      </c>
      <c r="BO70" s="20">
        <v>2500</v>
      </c>
      <c r="BP70" s="20">
        <v>2</v>
      </c>
      <c r="BQ70" s="20">
        <v>2500</v>
      </c>
      <c r="BR70" s="26" t="s">
        <v>156</v>
      </c>
    </row>
    <row r="71" s="16" customFormat="1" ht="16.5" spans="1:70">
      <c r="A71" s="16">
        <f>60000000+INDEX(编号表!$B:$B,MATCH(I71,编号表!$A:$A,0))*10000+INDEX(编号表!$B:$B,MATCH(J71,编号表!$C:$C,0))*1000+K71</f>
        <v>60061001</v>
      </c>
      <c r="B71" s="16" t="s">
        <v>319</v>
      </c>
      <c r="C71" s="16" t="s">
        <v>309</v>
      </c>
      <c r="D71" s="16" t="s">
        <v>320</v>
      </c>
      <c r="E71" s="16">
        <v>20</v>
      </c>
      <c r="F71" s="16" t="str" cm="1">
        <f t="array" ref="F71">INDEX(编号表!$E:$E,MATCH(J71,编号表!$C:$C,0))</f>
        <v>白色</v>
      </c>
      <c r="G71" s="15">
        <v>10</v>
      </c>
      <c r="H71" s="7" t="s">
        <v>318</v>
      </c>
      <c r="I71" s="7" t="s">
        <v>318</v>
      </c>
      <c r="J71" s="16" t="s">
        <v>137</v>
      </c>
      <c r="K71" s="16">
        <v>1</v>
      </c>
      <c r="L71" s="16">
        <f>COUNTIFS(I$11:I71,I71,J$11:J71,J71)-1</f>
        <v>1</v>
      </c>
      <c r="O71" s="7">
        <v>10</v>
      </c>
      <c r="P71" s="7">
        <v>300000</v>
      </c>
      <c r="Q71" s="16" t="s">
        <v>138</v>
      </c>
      <c r="R71" s="21">
        <v>40140003</v>
      </c>
      <c r="S71" s="16"/>
      <c r="T71" s="16"/>
      <c r="U71" s="16">
        <v>11010001</v>
      </c>
      <c r="V71" s="16">
        <v>11020001</v>
      </c>
      <c r="X71" s="16" t="s">
        <v>139</v>
      </c>
      <c r="Y71" s="7" t="s">
        <v>296</v>
      </c>
      <c r="Z71" s="7">
        <v>1.5</v>
      </c>
      <c r="AA71" s="7">
        <v>80</v>
      </c>
      <c r="AB71" s="7">
        <v>80</v>
      </c>
      <c r="AC71" s="7">
        <v>20</v>
      </c>
      <c r="AD71" s="7">
        <v>30</v>
      </c>
      <c r="AE71" s="16" t="s">
        <v>206</v>
      </c>
      <c r="AF71" s="7" t="s">
        <v>310</v>
      </c>
      <c r="AG71" s="22"/>
      <c r="AH71" s="16"/>
      <c r="AI71" s="23">
        <v>74</v>
      </c>
      <c r="AJ71" s="16" t="s">
        <v>142</v>
      </c>
      <c r="AK71" s="24">
        <v>390</v>
      </c>
      <c r="AL71" s="16" t="s">
        <v>143</v>
      </c>
      <c r="AM71" s="16">
        <v>6</v>
      </c>
      <c r="AN71" s="16" t="s">
        <v>144</v>
      </c>
      <c r="AO71" s="16">
        <v>9</v>
      </c>
      <c r="AP71" s="16" t="s">
        <v>145</v>
      </c>
      <c r="AQ71" s="16">
        <v>6</v>
      </c>
      <c r="AR71" s="16" t="s">
        <v>146</v>
      </c>
      <c r="AS71" s="16">
        <v>9</v>
      </c>
      <c r="AT71" s="16" t="s">
        <v>147</v>
      </c>
      <c r="AU71" s="16">
        <v>17</v>
      </c>
      <c r="AV71" s="16" t="s">
        <v>148</v>
      </c>
      <c r="AW71" s="16">
        <v>23</v>
      </c>
      <c r="AX71" s="16" t="s">
        <v>149</v>
      </c>
      <c r="AY71" s="16">
        <v>17</v>
      </c>
      <c r="AZ71" s="16" t="s">
        <v>150</v>
      </c>
      <c r="BA71" s="16">
        <v>23</v>
      </c>
      <c r="BB71" s="16" t="s">
        <v>151</v>
      </c>
      <c r="BC71" s="16">
        <v>1</v>
      </c>
      <c r="BD71" s="16" t="s">
        <v>152</v>
      </c>
      <c r="BE71" s="16">
        <v>2</v>
      </c>
      <c r="BF71" s="16" t="s">
        <v>153</v>
      </c>
      <c r="BG71" s="16">
        <v>100</v>
      </c>
      <c r="BH71" s="16" t="s">
        <v>154</v>
      </c>
      <c r="BI71" s="7">
        <v>300</v>
      </c>
      <c r="BJ71" s="16" t="s">
        <v>155</v>
      </c>
      <c r="BK71" s="7">
        <v>250</v>
      </c>
      <c r="BL71" s="26"/>
      <c r="BM71" s="26"/>
      <c r="BN71" s="20">
        <v>1</v>
      </c>
      <c r="BO71" s="20">
        <v>2500</v>
      </c>
      <c r="BP71" s="20">
        <v>2</v>
      </c>
      <c r="BQ71" s="20">
        <v>2500</v>
      </c>
      <c r="BR71" s="26" t="s">
        <v>156</v>
      </c>
    </row>
    <row r="72" s="16" customFormat="1" ht="16.5" spans="1:70">
      <c r="A72" s="16">
        <f>60000000+INDEX(编号表!$B:$B,MATCH(I72,编号表!$A:$A,0))*10000+INDEX(编号表!$B:$B,MATCH(J72,编号表!$C:$C,0))*1000+K72</f>
        <v>60061002</v>
      </c>
      <c r="B72" s="16" t="s">
        <v>321</v>
      </c>
      <c r="C72" s="16" t="s">
        <v>309</v>
      </c>
      <c r="D72" s="16" t="s">
        <v>322</v>
      </c>
      <c r="E72" s="16">
        <v>20</v>
      </c>
      <c r="F72" s="16" t="str" cm="1">
        <f t="array" ref="F72">INDEX(编号表!$E:$E,MATCH(J72,编号表!$C:$C,0))</f>
        <v>白色</v>
      </c>
      <c r="G72" s="15">
        <v>10</v>
      </c>
      <c r="H72" s="7" t="s">
        <v>318</v>
      </c>
      <c r="I72" s="7" t="s">
        <v>318</v>
      </c>
      <c r="J72" s="16" t="s">
        <v>137</v>
      </c>
      <c r="K72" s="16">
        <v>2</v>
      </c>
      <c r="L72" s="16">
        <f>COUNTIFS(I$11:I72,I72,J$11:J72,J72)-1</f>
        <v>2</v>
      </c>
      <c r="O72" s="7">
        <v>10</v>
      </c>
      <c r="P72" s="7">
        <v>300000</v>
      </c>
      <c r="Q72" s="16" t="s">
        <v>138</v>
      </c>
      <c r="R72" s="21">
        <v>40140003</v>
      </c>
      <c r="S72" s="16"/>
      <c r="T72" s="16"/>
      <c r="U72" s="16">
        <v>11010001</v>
      </c>
      <c r="V72" s="16">
        <v>11020001</v>
      </c>
      <c r="X72" s="16" t="s">
        <v>139</v>
      </c>
      <c r="Y72" s="7" t="s">
        <v>296</v>
      </c>
      <c r="Z72" s="7">
        <v>1.5</v>
      </c>
      <c r="AA72" s="7">
        <v>80</v>
      </c>
      <c r="AB72" s="7">
        <v>80</v>
      </c>
      <c r="AC72" s="7">
        <v>20</v>
      </c>
      <c r="AD72" s="7">
        <v>30</v>
      </c>
      <c r="AE72" s="16" t="s">
        <v>206</v>
      </c>
      <c r="AF72" s="7" t="s">
        <v>310</v>
      </c>
      <c r="AG72" s="22"/>
      <c r="AH72" s="16"/>
      <c r="AI72" s="23">
        <v>74</v>
      </c>
      <c r="AJ72" s="16" t="s">
        <v>142</v>
      </c>
      <c r="AK72" s="24">
        <v>390</v>
      </c>
      <c r="AL72" s="16" t="s">
        <v>143</v>
      </c>
      <c r="AM72" s="16">
        <v>6</v>
      </c>
      <c r="AN72" s="16" t="s">
        <v>144</v>
      </c>
      <c r="AO72" s="16">
        <v>9</v>
      </c>
      <c r="AP72" s="16" t="s">
        <v>145</v>
      </c>
      <c r="AQ72" s="16">
        <v>6</v>
      </c>
      <c r="AR72" s="16" t="s">
        <v>146</v>
      </c>
      <c r="AS72" s="16">
        <v>9</v>
      </c>
      <c r="AT72" s="16" t="s">
        <v>147</v>
      </c>
      <c r="AU72" s="16">
        <v>17</v>
      </c>
      <c r="AV72" s="16" t="s">
        <v>148</v>
      </c>
      <c r="AW72" s="16">
        <v>23</v>
      </c>
      <c r="AX72" s="16" t="s">
        <v>149</v>
      </c>
      <c r="AY72" s="16">
        <v>17</v>
      </c>
      <c r="AZ72" s="16" t="s">
        <v>150</v>
      </c>
      <c r="BA72" s="16">
        <v>23</v>
      </c>
      <c r="BB72" s="16" t="s">
        <v>151</v>
      </c>
      <c r="BC72" s="16">
        <v>1</v>
      </c>
      <c r="BD72" s="16" t="s">
        <v>152</v>
      </c>
      <c r="BE72" s="16">
        <v>2</v>
      </c>
      <c r="BF72" s="16" t="s">
        <v>153</v>
      </c>
      <c r="BG72" s="16">
        <v>100</v>
      </c>
      <c r="BH72" s="16" t="s">
        <v>154</v>
      </c>
      <c r="BI72" s="7">
        <v>300</v>
      </c>
      <c r="BJ72" s="16" t="s">
        <v>155</v>
      </c>
      <c r="BK72" s="7">
        <v>250</v>
      </c>
      <c r="BL72" s="26"/>
      <c r="BM72" s="26"/>
      <c r="BN72" s="20">
        <v>1</v>
      </c>
      <c r="BO72" s="20">
        <v>2500</v>
      </c>
      <c r="BP72" s="20">
        <v>2</v>
      </c>
      <c r="BQ72" s="20">
        <v>2500</v>
      </c>
      <c r="BR72" s="26" t="s">
        <v>156</v>
      </c>
    </row>
    <row r="73" s="7" customFormat="1" ht="16.5" spans="1:70">
      <c r="A73" s="7">
        <f>60000000+INDEX(编号表!$B:$B,MATCH(I73,编号表!$A:$A,0))*10000+INDEX(编号表!$B:$B,MATCH(J73,编号表!$C:$C,0))*1000+K73</f>
        <v>60062000</v>
      </c>
      <c r="B73" s="7" t="s">
        <v>323</v>
      </c>
      <c r="C73" s="7" t="s">
        <v>324</v>
      </c>
      <c r="D73" s="7" t="s">
        <v>324</v>
      </c>
      <c r="E73" s="7">
        <v>21</v>
      </c>
      <c r="F73" s="7" t="str" cm="1">
        <f t="array" ref="F73">INDEX(编号表!$E:$E,MATCH(J73,编号表!$C:$C,0))</f>
        <v>绿色</v>
      </c>
      <c r="G73" s="7">
        <v>10</v>
      </c>
      <c r="H73" s="7" t="s">
        <v>318</v>
      </c>
      <c r="I73" s="7" t="s">
        <v>318</v>
      </c>
      <c r="J73" s="7" t="s">
        <v>221</v>
      </c>
      <c r="K73" s="7">
        <v>0</v>
      </c>
      <c r="L73" s="7">
        <f>COUNTIFS(I$11:I73,I73,J$11:J73,J73)-1</f>
        <v>0</v>
      </c>
      <c r="O73" s="7">
        <v>10</v>
      </c>
      <c r="P73" s="7">
        <v>300000</v>
      </c>
      <c r="Q73" s="7" t="s">
        <v>138</v>
      </c>
      <c r="R73" s="21">
        <v>40140003</v>
      </c>
      <c r="S73" s="7"/>
      <c r="T73" s="7"/>
      <c r="U73" s="7">
        <v>11010001</v>
      </c>
      <c r="V73" s="7">
        <v>11020001</v>
      </c>
      <c r="X73" s="7" t="s">
        <v>139</v>
      </c>
      <c r="Y73" s="7" t="s">
        <v>325</v>
      </c>
      <c r="Z73" s="7"/>
      <c r="AA73" s="7">
        <v>80</v>
      </c>
      <c r="AB73" s="7">
        <v>80</v>
      </c>
      <c r="AC73" s="7">
        <v>20</v>
      </c>
      <c r="AD73" s="7">
        <v>30</v>
      </c>
      <c r="AE73" s="7" t="s">
        <v>141</v>
      </c>
      <c r="AF73" s="7"/>
      <c r="AG73" s="22" t="s">
        <v>222</v>
      </c>
      <c r="AI73" s="23">
        <v>320</v>
      </c>
      <c r="AJ73" s="7" t="s">
        <v>142</v>
      </c>
      <c r="AK73" s="24">
        <v>2550</v>
      </c>
      <c r="AL73" s="7" t="s">
        <v>143</v>
      </c>
      <c r="AM73" s="7">
        <v>12</v>
      </c>
      <c r="AN73" s="7" t="s">
        <v>144</v>
      </c>
      <c r="AO73" s="7">
        <v>17</v>
      </c>
      <c r="AP73" s="7" t="s">
        <v>145</v>
      </c>
      <c r="AQ73" s="7">
        <v>11</v>
      </c>
      <c r="AR73" s="7" t="s">
        <v>146</v>
      </c>
      <c r="AS73" s="7">
        <v>16</v>
      </c>
      <c r="AT73" s="7" t="s">
        <v>147</v>
      </c>
      <c r="AU73" s="7">
        <v>29</v>
      </c>
      <c r="AV73" s="7" t="s">
        <v>148</v>
      </c>
      <c r="AW73" s="7">
        <v>40</v>
      </c>
      <c r="AX73" s="7" t="s">
        <v>149</v>
      </c>
      <c r="AY73" s="7">
        <v>29</v>
      </c>
      <c r="AZ73" s="7" t="s">
        <v>150</v>
      </c>
      <c r="BA73" s="7">
        <v>40</v>
      </c>
      <c r="BB73" s="7" t="s">
        <v>151</v>
      </c>
      <c r="BC73" s="7">
        <v>1</v>
      </c>
      <c r="BD73" s="7" t="s">
        <v>152</v>
      </c>
      <c r="BE73" s="7">
        <v>2</v>
      </c>
      <c r="BF73" s="7" t="s">
        <v>153</v>
      </c>
      <c r="BG73" s="7">
        <v>100</v>
      </c>
      <c r="BH73" s="7" t="s">
        <v>154</v>
      </c>
      <c r="BI73" s="7">
        <v>10</v>
      </c>
      <c r="BJ73" s="7" t="s">
        <v>155</v>
      </c>
      <c r="BK73" s="7">
        <v>250</v>
      </c>
      <c r="BL73" s="20"/>
      <c r="BM73" s="20"/>
      <c r="BN73" s="20">
        <v>1</v>
      </c>
      <c r="BO73" s="20">
        <v>2500</v>
      </c>
      <c r="BP73" s="20">
        <v>2</v>
      </c>
      <c r="BQ73" s="20">
        <v>2500</v>
      </c>
      <c r="BR73" s="20" t="s">
        <v>156</v>
      </c>
    </row>
    <row r="74" s="15" customFormat="1" ht="16.5" spans="1:70">
      <c r="A74" s="15">
        <f>60000000+INDEX(编号表!$B:$B,MATCH(I74,编号表!$A:$A,0))*10000+INDEX(编号表!$B:$B,MATCH(J74,编号表!$C:$C,0))*1000+K74</f>
        <v>60064000</v>
      </c>
      <c r="B74" s="15" t="s">
        <v>326</v>
      </c>
      <c r="C74" s="15" t="s">
        <v>324</v>
      </c>
      <c r="D74" s="15" t="s">
        <v>324</v>
      </c>
      <c r="E74" s="15">
        <v>21</v>
      </c>
      <c r="F74" s="15" t="str" cm="1">
        <f t="array" ref="F74">INDEX(编号表!$E:$E,MATCH(J74,编号表!$C:$C,0))</f>
        <v>橙色</v>
      </c>
      <c r="G74" s="15">
        <v>10</v>
      </c>
      <c r="H74" s="15" t="s">
        <v>318</v>
      </c>
      <c r="I74" s="15" t="s">
        <v>318</v>
      </c>
      <c r="J74" s="15" t="s">
        <v>233</v>
      </c>
      <c r="K74" s="15">
        <v>0</v>
      </c>
      <c r="L74" s="15">
        <f>COUNTIFS(I$11:I74,I74,J$11:J74,J74)-1</f>
        <v>0</v>
      </c>
      <c r="O74" s="7">
        <v>10</v>
      </c>
      <c r="P74" s="7">
        <v>300000</v>
      </c>
      <c r="Q74" s="15" t="s">
        <v>138</v>
      </c>
      <c r="R74" s="21">
        <v>40140003</v>
      </c>
      <c r="S74" s="15"/>
      <c r="T74" s="15"/>
      <c r="U74" s="15">
        <v>11010001</v>
      </c>
      <c r="V74" s="15">
        <v>11020001</v>
      </c>
      <c r="X74" s="15" t="s">
        <v>139</v>
      </c>
      <c r="Y74" s="15" t="s">
        <v>325</v>
      </c>
      <c r="Z74" s="7">
        <v>1.5</v>
      </c>
      <c r="AA74" s="7">
        <v>100</v>
      </c>
      <c r="AB74" s="7">
        <v>100</v>
      </c>
      <c r="AC74" s="7">
        <v>20</v>
      </c>
      <c r="AD74" s="7">
        <v>30</v>
      </c>
      <c r="AE74" s="15" t="s">
        <v>141</v>
      </c>
      <c r="AF74" s="15"/>
      <c r="AG74" s="22" t="s">
        <v>234</v>
      </c>
      <c r="AH74" s="15"/>
      <c r="AI74" s="23">
        <v>1600</v>
      </c>
      <c r="AJ74" s="15" t="s">
        <v>142</v>
      </c>
      <c r="AK74" s="24">
        <v>12200</v>
      </c>
      <c r="AL74" s="15" t="s">
        <v>143</v>
      </c>
      <c r="AM74" s="15">
        <v>16</v>
      </c>
      <c r="AN74" s="15" t="s">
        <v>144</v>
      </c>
      <c r="AO74" s="15">
        <v>22</v>
      </c>
      <c r="AP74" s="15" t="s">
        <v>145</v>
      </c>
      <c r="AQ74" s="15">
        <v>15</v>
      </c>
      <c r="AR74" s="15" t="s">
        <v>146</v>
      </c>
      <c r="AS74" s="15">
        <v>21</v>
      </c>
      <c r="AT74" s="15" t="s">
        <v>147</v>
      </c>
      <c r="AU74" s="15">
        <v>44</v>
      </c>
      <c r="AV74" s="15" t="s">
        <v>148</v>
      </c>
      <c r="AW74" s="15">
        <v>60</v>
      </c>
      <c r="AX74" s="15" t="s">
        <v>149</v>
      </c>
      <c r="AY74" s="15">
        <v>44</v>
      </c>
      <c r="AZ74" s="15" t="s">
        <v>150</v>
      </c>
      <c r="BA74" s="15">
        <v>60</v>
      </c>
      <c r="BB74" s="15" t="s">
        <v>151</v>
      </c>
      <c r="BC74" s="15">
        <v>1</v>
      </c>
      <c r="BD74" s="15" t="s">
        <v>152</v>
      </c>
      <c r="BE74" s="15">
        <v>2</v>
      </c>
      <c r="BF74" s="15" t="s">
        <v>153</v>
      </c>
      <c r="BG74" s="15">
        <v>100</v>
      </c>
      <c r="BH74" s="15" t="s">
        <v>154</v>
      </c>
      <c r="BI74" s="15">
        <v>10</v>
      </c>
      <c r="BJ74" s="15" t="s">
        <v>155</v>
      </c>
      <c r="BK74" s="7">
        <v>250</v>
      </c>
      <c r="BL74" s="25"/>
      <c r="BM74" s="25"/>
      <c r="BN74" s="20">
        <v>1</v>
      </c>
      <c r="BO74" s="20">
        <v>2500</v>
      </c>
      <c r="BP74" s="20">
        <v>2</v>
      </c>
      <c r="BQ74" s="20">
        <v>2500</v>
      </c>
      <c r="BR74" s="25" t="s">
        <v>156</v>
      </c>
    </row>
    <row r="75" s="15" customFormat="1" ht="16.5" spans="1:70">
      <c r="A75" s="15">
        <f>60000000+INDEX(编号表!$B:$B,MATCH(I75,编号表!$A:$A,0))*10000+INDEX(编号表!$B:$B,MATCH(J75,编号表!$C:$C,0))*1000+K75</f>
        <v>60064001</v>
      </c>
      <c r="B75" s="15" t="s">
        <v>327</v>
      </c>
      <c r="C75" s="15" t="s">
        <v>324</v>
      </c>
      <c r="D75" s="15" t="s">
        <v>324</v>
      </c>
      <c r="E75" s="15">
        <v>21</v>
      </c>
      <c r="F75" s="15" t="str" cm="1">
        <f t="array" ref="F75">INDEX(编号表!$E:$E,MATCH(J75,编号表!$C:$C,0))</f>
        <v>橙色</v>
      </c>
      <c r="G75" s="15">
        <v>10</v>
      </c>
      <c r="H75" s="15" t="s">
        <v>318</v>
      </c>
      <c r="I75" s="15" t="s">
        <v>318</v>
      </c>
      <c r="J75" s="15" t="s">
        <v>233</v>
      </c>
      <c r="K75" s="15">
        <v>1</v>
      </c>
      <c r="L75" s="15">
        <f>COUNTIFS(I$11:I75,I75,J$11:J75,J75)-1</f>
        <v>1</v>
      </c>
      <c r="O75" s="7">
        <v>10</v>
      </c>
      <c r="P75" s="7">
        <v>300000</v>
      </c>
      <c r="Q75" s="15" t="s">
        <v>138</v>
      </c>
      <c r="R75" s="21">
        <v>40140003</v>
      </c>
      <c r="S75" s="15"/>
      <c r="T75" s="15"/>
      <c r="U75" s="15">
        <v>11010001</v>
      </c>
      <c r="V75" s="15">
        <v>11020001</v>
      </c>
      <c r="X75" s="15" t="s">
        <v>139</v>
      </c>
      <c r="Y75" s="15" t="s">
        <v>325</v>
      </c>
      <c r="Z75" s="7">
        <v>1.5</v>
      </c>
      <c r="AA75" s="7">
        <v>100</v>
      </c>
      <c r="AB75" s="7">
        <v>100</v>
      </c>
      <c r="AC75" s="7">
        <v>20</v>
      </c>
      <c r="AD75" s="7">
        <v>30</v>
      </c>
      <c r="AE75" s="15" t="s">
        <v>141</v>
      </c>
      <c r="AF75" s="15"/>
      <c r="AG75" s="22" t="s">
        <v>234</v>
      </c>
      <c r="AH75" s="15"/>
      <c r="AI75" s="23">
        <v>1600</v>
      </c>
      <c r="AJ75" s="15" t="s">
        <v>142</v>
      </c>
      <c r="AK75" s="24">
        <v>12200</v>
      </c>
      <c r="AL75" s="15" t="s">
        <v>143</v>
      </c>
      <c r="AM75" s="15">
        <v>16</v>
      </c>
      <c r="AN75" s="15" t="s">
        <v>144</v>
      </c>
      <c r="AO75" s="15">
        <v>22</v>
      </c>
      <c r="AP75" s="15" t="s">
        <v>145</v>
      </c>
      <c r="AQ75" s="15">
        <v>15</v>
      </c>
      <c r="AR75" s="15" t="s">
        <v>146</v>
      </c>
      <c r="AS75" s="15">
        <v>21</v>
      </c>
      <c r="AT75" s="15" t="s">
        <v>147</v>
      </c>
      <c r="AU75" s="15">
        <v>44</v>
      </c>
      <c r="AV75" s="15" t="s">
        <v>148</v>
      </c>
      <c r="AW75" s="15">
        <v>60</v>
      </c>
      <c r="AX75" s="15" t="s">
        <v>149</v>
      </c>
      <c r="AY75" s="15">
        <v>44</v>
      </c>
      <c r="AZ75" s="15" t="s">
        <v>150</v>
      </c>
      <c r="BA75" s="15">
        <v>60</v>
      </c>
      <c r="BB75" s="15" t="s">
        <v>151</v>
      </c>
      <c r="BC75" s="15">
        <v>1</v>
      </c>
      <c r="BD75" s="15" t="s">
        <v>152</v>
      </c>
      <c r="BE75" s="15">
        <v>2</v>
      </c>
      <c r="BF75" s="15" t="s">
        <v>153</v>
      </c>
      <c r="BG75" s="15">
        <v>100</v>
      </c>
      <c r="BH75" s="15" t="s">
        <v>154</v>
      </c>
      <c r="BI75" s="15">
        <v>10</v>
      </c>
      <c r="BJ75" s="15" t="s">
        <v>155</v>
      </c>
      <c r="BK75" s="7">
        <v>250</v>
      </c>
      <c r="BL75" s="25"/>
      <c r="BM75" s="25"/>
      <c r="BN75" s="20">
        <v>1</v>
      </c>
      <c r="BO75" s="20">
        <v>2500</v>
      </c>
      <c r="BP75" s="20">
        <v>2</v>
      </c>
      <c r="BQ75" s="20">
        <v>2500</v>
      </c>
      <c r="BR75" s="25" t="s">
        <v>156</v>
      </c>
    </row>
    <row r="76" s="15" customFormat="1" ht="16.5" spans="1:70">
      <c r="A76" s="15">
        <f>60000000+INDEX(编号表!$B:$B,MATCH(I76,编号表!$A:$A,0))*10000+INDEX(编号表!$B:$B,MATCH(J76,编号表!$C:$C,0))*1000+K76</f>
        <v>60064002</v>
      </c>
      <c r="B76" s="15" t="s">
        <v>328</v>
      </c>
      <c r="C76" s="15" t="s">
        <v>324</v>
      </c>
      <c r="D76" s="15" t="s">
        <v>324</v>
      </c>
      <c r="E76" s="15">
        <v>21</v>
      </c>
      <c r="F76" s="15" t="str" cm="1">
        <f t="array" ref="F76">INDEX(编号表!$E:$E,MATCH(J76,编号表!$C:$C,0))</f>
        <v>橙色</v>
      </c>
      <c r="G76" s="15">
        <v>10</v>
      </c>
      <c r="H76" s="15" t="s">
        <v>318</v>
      </c>
      <c r="I76" s="15" t="s">
        <v>318</v>
      </c>
      <c r="J76" s="15" t="s">
        <v>233</v>
      </c>
      <c r="K76" s="15">
        <v>2</v>
      </c>
      <c r="L76" s="15">
        <f>COUNTIFS(I$11:I76,I76,J$11:J76,J76)-1</f>
        <v>2</v>
      </c>
      <c r="O76" s="7">
        <v>10</v>
      </c>
      <c r="P76" s="7">
        <v>300000</v>
      </c>
      <c r="Q76" s="15" t="s">
        <v>138</v>
      </c>
      <c r="R76" s="21">
        <v>40140003</v>
      </c>
      <c r="S76" s="15"/>
      <c r="T76" s="15"/>
      <c r="U76" s="15">
        <v>11010001</v>
      </c>
      <c r="V76" s="15">
        <v>11020001</v>
      </c>
      <c r="X76" s="15" t="s">
        <v>139</v>
      </c>
      <c r="Y76" s="15" t="s">
        <v>325</v>
      </c>
      <c r="Z76" s="7">
        <v>1.5</v>
      </c>
      <c r="AA76" s="7">
        <v>100</v>
      </c>
      <c r="AB76" s="7">
        <v>100</v>
      </c>
      <c r="AC76" s="7">
        <v>20</v>
      </c>
      <c r="AD76" s="7">
        <v>30</v>
      </c>
      <c r="AE76" s="15" t="s">
        <v>141</v>
      </c>
      <c r="AF76" s="15"/>
      <c r="AG76" s="22" t="s">
        <v>234</v>
      </c>
      <c r="AH76" s="15"/>
      <c r="AI76" s="23">
        <v>1600</v>
      </c>
      <c r="AJ76" s="15" t="s">
        <v>142</v>
      </c>
      <c r="AK76" s="24">
        <v>12200</v>
      </c>
      <c r="AL76" s="15" t="s">
        <v>143</v>
      </c>
      <c r="AM76" s="15">
        <v>16</v>
      </c>
      <c r="AN76" s="15" t="s">
        <v>144</v>
      </c>
      <c r="AO76" s="15">
        <v>22</v>
      </c>
      <c r="AP76" s="15" t="s">
        <v>145</v>
      </c>
      <c r="AQ76" s="15">
        <v>15</v>
      </c>
      <c r="AR76" s="15" t="s">
        <v>146</v>
      </c>
      <c r="AS76" s="15">
        <v>21</v>
      </c>
      <c r="AT76" s="15" t="s">
        <v>147</v>
      </c>
      <c r="AU76" s="15">
        <v>44</v>
      </c>
      <c r="AV76" s="15" t="s">
        <v>148</v>
      </c>
      <c r="AW76" s="15">
        <v>60</v>
      </c>
      <c r="AX76" s="15" t="s">
        <v>149</v>
      </c>
      <c r="AY76" s="15">
        <v>44</v>
      </c>
      <c r="AZ76" s="15" t="s">
        <v>150</v>
      </c>
      <c r="BA76" s="15">
        <v>60</v>
      </c>
      <c r="BB76" s="15" t="s">
        <v>151</v>
      </c>
      <c r="BC76" s="15">
        <v>1</v>
      </c>
      <c r="BD76" s="15" t="s">
        <v>152</v>
      </c>
      <c r="BE76" s="15">
        <v>2</v>
      </c>
      <c r="BF76" s="15" t="s">
        <v>153</v>
      </c>
      <c r="BG76" s="15">
        <v>100</v>
      </c>
      <c r="BH76" s="15" t="s">
        <v>154</v>
      </c>
      <c r="BI76" s="15">
        <v>10</v>
      </c>
      <c r="BJ76" s="15" t="s">
        <v>155</v>
      </c>
      <c r="BK76" s="7">
        <v>250</v>
      </c>
      <c r="BL76" s="25"/>
      <c r="BM76" s="25"/>
      <c r="BN76" s="20">
        <v>1</v>
      </c>
      <c r="BO76" s="20">
        <v>2500</v>
      </c>
      <c r="BP76" s="20">
        <v>2</v>
      </c>
      <c r="BQ76" s="20">
        <v>2500</v>
      </c>
      <c r="BR76" s="25" t="s">
        <v>156</v>
      </c>
    </row>
    <row r="77" s="7" customFormat="1" ht="16.5" spans="1:70">
      <c r="A77" s="7">
        <f>60000000+INDEX(编号表!$B:$B,MATCH(I77,编号表!$A:$A,0))*10000+INDEX(编号表!$B:$B,MATCH(J77,编号表!$C:$C,0))*1000+K77</f>
        <v>60071000</v>
      </c>
      <c r="B77" s="7" t="s">
        <v>329</v>
      </c>
      <c r="C77" s="7" t="s">
        <v>330</v>
      </c>
      <c r="D77" s="7" t="s">
        <v>330</v>
      </c>
      <c r="E77" s="7">
        <v>21</v>
      </c>
      <c r="F77" s="7" t="str" cm="1">
        <f t="array" ref="F77">INDEX(编号表!$E:$E,MATCH(J77,编号表!$C:$C,0))</f>
        <v>白色</v>
      </c>
      <c r="G77" s="7">
        <v>11</v>
      </c>
      <c r="H77" s="7" t="s">
        <v>331</v>
      </c>
      <c r="I77" s="7" t="s">
        <v>331</v>
      </c>
      <c r="J77" s="7" t="s">
        <v>137</v>
      </c>
      <c r="K77" s="7">
        <v>0</v>
      </c>
      <c r="L77" s="7">
        <f>COUNTIFS(I$11:I77,I77,J$11:J77,J77)-1</f>
        <v>0</v>
      </c>
      <c r="O77" s="7">
        <v>10</v>
      </c>
      <c r="P77" s="7">
        <v>300000</v>
      </c>
      <c r="Q77" s="7" t="s">
        <v>138</v>
      </c>
      <c r="R77" s="21">
        <v>40140003</v>
      </c>
      <c r="S77" s="7"/>
      <c r="T77" s="7"/>
      <c r="U77" s="7">
        <v>11010001</v>
      </c>
      <c r="V77" s="7">
        <v>11020001</v>
      </c>
      <c r="X77" s="7" t="s">
        <v>139</v>
      </c>
      <c r="Y77" s="7" t="s">
        <v>332</v>
      </c>
      <c r="Z77" s="7">
        <v>0.5</v>
      </c>
      <c r="AA77" s="7">
        <v>50</v>
      </c>
      <c r="AB77" s="7">
        <v>50</v>
      </c>
      <c r="AC77" s="7">
        <v>20</v>
      </c>
      <c r="AD77" s="7">
        <v>30</v>
      </c>
      <c r="AE77" s="7" t="s">
        <v>141</v>
      </c>
      <c r="AF77" s="7"/>
      <c r="AG77" s="22"/>
      <c r="AI77" s="23">
        <v>81</v>
      </c>
      <c r="AJ77" s="7" t="s">
        <v>142</v>
      </c>
      <c r="AK77" s="24">
        <v>460</v>
      </c>
      <c r="AL77" s="7" t="s">
        <v>143</v>
      </c>
      <c r="AM77" s="7">
        <v>7</v>
      </c>
      <c r="AN77" s="7" t="s">
        <v>144</v>
      </c>
      <c r="AO77" s="7">
        <v>10</v>
      </c>
      <c r="AP77" s="7" t="s">
        <v>145</v>
      </c>
      <c r="AQ77" s="7">
        <v>6</v>
      </c>
      <c r="AR77" s="7" t="s">
        <v>146</v>
      </c>
      <c r="AS77" s="7">
        <v>9</v>
      </c>
      <c r="AT77" s="7" t="s">
        <v>147</v>
      </c>
      <c r="AU77" s="7">
        <v>16</v>
      </c>
      <c r="AV77" s="7" t="s">
        <v>148</v>
      </c>
      <c r="AW77" s="7">
        <v>21</v>
      </c>
      <c r="AX77" s="7" t="s">
        <v>149</v>
      </c>
      <c r="AY77" s="7">
        <v>16</v>
      </c>
      <c r="AZ77" s="7" t="s">
        <v>150</v>
      </c>
      <c r="BA77" s="7">
        <v>21</v>
      </c>
      <c r="BB77" s="7" t="s">
        <v>151</v>
      </c>
      <c r="BC77" s="7">
        <v>1</v>
      </c>
      <c r="BD77" s="7" t="s">
        <v>152</v>
      </c>
      <c r="BE77" s="7">
        <v>2</v>
      </c>
      <c r="BF77" s="7" t="s">
        <v>153</v>
      </c>
      <c r="BG77" s="7">
        <v>100</v>
      </c>
      <c r="BH77" s="7" t="s">
        <v>154</v>
      </c>
      <c r="BI77" s="7">
        <v>10</v>
      </c>
      <c r="BJ77" s="7" t="s">
        <v>155</v>
      </c>
      <c r="BK77" s="7">
        <v>250</v>
      </c>
      <c r="BL77" s="20"/>
      <c r="BM77" s="20"/>
      <c r="BN77" s="20">
        <v>1</v>
      </c>
      <c r="BO77" s="20">
        <v>2500</v>
      </c>
      <c r="BP77" s="20">
        <v>2</v>
      </c>
      <c r="BQ77" s="20">
        <v>2500</v>
      </c>
      <c r="BR77" s="20" t="s">
        <v>156</v>
      </c>
    </row>
    <row r="78" s="7" customFormat="1" ht="16.5" spans="1:70">
      <c r="A78" s="7">
        <f>60000000+INDEX(编号表!$B:$B,MATCH(I78,编号表!$A:$A,0))*10000+INDEX(编号表!$B:$B,MATCH(J78,编号表!$C:$C,0))*1000+K78</f>
        <v>60071001</v>
      </c>
      <c r="B78" s="7" t="s">
        <v>333</v>
      </c>
      <c r="C78" s="7" t="s">
        <v>334</v>
      </c>
      <c r="D78" s="7" t="s">
        <v>334</v>
      </c>
      <c r="E78" s="7">
        <v>21</v>
      </c>
      <c r="F78" s="7" t="str" cm="1">
        <f t="array" ref="F78">INDEX(编号表!$E:$E,MATCH(J78,编号表!$C:$C,0))</f>
        <v>白色</v>
      </c>
      <c r="G78" s="7">
        <v>11</v>
      </c>
      <c r="H78" s="7" t="s">
        <v>331</v>
      </c>
      <c r="I78" s="7" t="s">
        <v>331</v>
      </c>
      <c r="J78" s="7" t="s">
        <v>137</v>
      </c>
      <c r="K78" s="7">
        <v>1</v>
      </c>
      <c r="L78" s="7">
        <f>COUNTIFS(I$11:I78,I78,J$11:J78,J78)-1</f>
        <v>1</v>
      </c>
      <c r="O78" s="7">
        <v>10</v>
      </c>
      <c r="P78" s="7">
        <v>300000</v>
      </c>
      <c r="Q78" s="7" t="s">
        <v>138</v>
      </c>
      <c r="R78" s="21">
        <v>40140003</v>
      </c>
      <c r="S78" s="7"/>
      <c r="T78" s="7"/>
      <c r="U78" s="7">
        <v>11010001</v>
      </c>
      <c r="V78" s="7">
        <v>11020001</v>
      </c>
      <c r="X78" s="7" t="s">
        <v>139</v>
      </c>
      <c r="Y78" s="7" t="s">
        <v>335</v>
      </c>
      <c r="Z78" s="7">
        <v>0.5</v>
      </c>
      <c r="AA78" s="7">
        <v>50</v>
      </c>
      <c r="AB78" s="7">
        <v>50</v>
      </c>
      <c r="AC78" s="7">
        <v>20</v>
      </c>
      <c r="AD78" s="7">
        <v>30</v>
      </c>
      <c r="AE78" s="7" t="s">
        <v>141</v>
      </c>
      <c r="AF78" s="7"/>
      <c r="AG78" s="22"/>
      <c r="AI78" s="23">
        <v>81</v>
      </c>
      <c r="AJ78" s="7" t="s">
        <v>142</v>
      </c>
      <c r="AK78" s="24">
        <v>370</v>
      </c>
      <c r="AL78" s="7" t="s">
        <v>143</v>
      </c>
      <c r="AM78" s="7">
        <v>6</v>
      </c>
      <c r="AN78" s="7" t="s">
        <v>144</v>
      </c>
      <c r="AO78" s="7">
        <v>8</v>
      </c>
      <c r="AP78" s="7" t="s">
        <v>145</v>
      </c>
      <c r="AQ78" s="7">
        <v>5</v>
      </c>
      <c r="AR78" s="7" t="s">
        <v>146</v>
      </c>
      <c r="AS78" s="7">
        <v>8</v>
      </c>
      <c r="AT78" s="7" t="s">
        <v>147</v>
      </c>
      <c r="AU78" s="7">
        <v>17</v>
      </c>
      <c r="AV78" s="7" t="s">
        <v>148</v>
      </c>
      <c r="AW78" s="7">
        <v>24</v>
      </c>
      <c r="AX78" s="7" t="s">
        <v>149</v>
      </c>
      <c r="AY78" s="7">
        <v>17</v>
      </c>
      <c r="AZ78" s="7" t="s">
        <v>150</v>
      </c>
      <c r="BA78" s="7">
        <v>24</v>
      </c>
      <c r="BB78" s="7" t="s">
        <v>151</v>
      </c>
      <c r="BC78" s="7">
        <v>1</v>
      </c>
      <c r="BD78" s="7" t="s">
        <v>152</v>
      </c>
      <c r="BE78" s="7">
        <v>2</v>
      </c>
      <c r="BF78" s="7" t="s">
        <v>153</v>
      </c>
      <c r="BG78" s="7">
        <v>100</v>
      </c>
      <c r="BH78" s="7" t="s">
        <v>154</v>
      </c>
      <c r="BI78" s="7">
        <v>10</v>
      </c>
      <c r="BJ78" s="7" t="s">
        <v>155</v>
      </c>
      <c r="BK78" s="7">
        <v>250</v>
      </c>
      <c r="BL78" s="20"/>
      <c r="BM78" s="20"/>
      <c r="BN78" s="20">
        <v>1</v>
      </c>
      <c r="BO78" s="20">
        <v>2500</v>
      </c>
      <c r="BP78" s="20">
        <v>2</v>
      </c>
      <c r="BQ78" s="20">
        <v>2500</v>
      </c>
      <c r="BR78" s="20" t="s">
        <v>156</v>
      </c>
    </row>
    <row r="79" s="7" customFormat="1" ht="16.5" spans="1:70">
      <c r="A79" s="7">
        <f>60000000+INDEX(编号表!$B:$B,MATCH(I79,编号表!$A:$A,0))*10000+INDEX(编号表!$B:$B,MATCH(J79,编号表!$C:$C,0))*1000+K79</f>
        <v>60071002</v>
      </c>
      <c r="B79" s="7" t="s">
        <v>336</v>
      </c>
      <c r="C79" s="7" t="s">
        <v>337</v>
      </c>
      <c r="D79" s="7" t="s">
        <v>337</v>
      </c>
      <c r="E79" s="7">
        <v>21</v>
      </c>
      <c r="F79" s="7" t="str" cm="1">
        <f t="array" ref="F79">INDEX(编号表!$E:$E,MATCH(J79,编号表!$C:$C,0))</f>
        <v>白色</v>
      </c>
      <c r="G79" s="7">
        <v>11</v>
      </c>
      <c r="H79" s="7" t="s">
        <v>331</v>
      </c>
      <c r="I79" s="7" t="s">
        <v>331</v>
      </c>
      <c r="J79" s="7" t="s">
        <v>137</v>
      </c>
      <c r="K79" s="7">
        <v>2</v>
      </c>
      <c r="L79" s="7">
        <f>COUNTIFS(I$11:I79,I79,J$11:J79,J79)-1</f>
        <v>2</v>
      </c>
      <c r="O79" s="7">
        <v>10</v>
      </c>
      <c r="P79" s="7">
        <v>300000</v>
      </c>
      <c r="Q79" s="7" t="s">
        <v>138</v>
      </c>
      <c r="R79" s="21">
        <v>40140003</v>
      </c>
      <c r="S79" s="7"/>
      <c r="T79" s="7"/>
      <c r="U79" s="7">
        <v>11010001</v>
      </c>
      <c r="V79" s="7">
        <v>11020001</v>
      </c>
      <c r="X79" s="7" t="s">
        <v>139</v>
      </c>
      <c r="Y79" s="7" t="s">
        <v>338</v>
      </c>
      <c r="Z79" s="7">
        <v>0.5</v>
      </c>
      <c r="AA79" s="7">
        <v>50</v>
      </c>
      <c r="AB79" s="7">
        <v>50</v>
      </c>
      <c r="AC79" s="7">
        <v>20</v>
      </c>
      <c r="AD79" s="7">
        <v>30</v>
      </c>
      <c r="AE79" s="7" t="s">
        <v>141</v>
      </c>
      <c r="AF79" s="7"/>
      <c r="AG79" s="22"/>
      <c r="AI79" s="23">
        <v>81</v>
      </c>
      <c r="AJ79" s="7" t="s">
        <v>142</v>
      </c>
      <c r="AK79" s="24">
        <v>490</v>
      </c>
      <c r="AL79" s="7" t="s">
        <v>143</v>
      </c>
      <c r="AM79" s="7">
        <v>8</v>
      </c>
      <c r="AN79" s="7" t="s">
        <v>144</v>
      </c>
      <c r="AO79" s="7">
        <v>11</v>
      </c>
      <c r="AP79" s="7" t="s">
        <v>145</v>
      </c>
      <c r="AQ79" s="7">
        <v>7</v>
      </c>
      <c r="AR79" s="7" t="s">
        <v>146</v>
      </c>
      <c r="AS79" s="7">
        <v>10</v>
      </c>
      <c r="AT79" s="7" t="s">
        <v>147</v>
      </c>
      <c r="AU79" s="7">
        <v>17</v>
      </c>
      <c r="AV79" s="7" t="s">
        <v>148</v>
      </c>
      <c r="AW79" s="7">
        <v>23</v>
      </c>
      <c r="AX79" s="7" t="s">
        <v>149</v>
      </c>
      <c r="AY79" s="7">
        <v>17</v>
      </c>
      <c r="AZ79" s="7" t="s">
        <v>150</v>
      </c>
      <c r="BA79" s="7">
        <v>23</v>
      </c>
      <c r="BB79" s="7" t="s">
        <v>151</v>
      </c>
      <c r="BC79" s="7">
        <v>1</v>
      </c>
      <c r="BD79" s="7" t="s">
        <v>152</v>
      </c>
      <c r="BE79" s="7">
        <v>2</v>
      </c>
      <c r="BF79" s="7" t="s">
        <v>153</v>
      </c>
      <c r="BG79" s="7">
        <v>100</v>
      </c>
      <c r="BH79" s="7" t="s">
        <v>154</v>
      </c>
      <c r="BI79" s="7">
        <v>10</v>
      </c>
      <c r="BJ79" s="7" t="s">
        <v>155</v>
      </c>
      <c r="BK79" s="7">
        <v>250</v>
      </c>
      <c r="BL79" s="20"/>
      <c r="BM79" s="20"/>
      <c r="BN79" s="20">
        <v>1</v>
      </c>
      <c r="BO79" s="20">
        <v>2500</v>
      </c>
      <c r="BP79" s="20">
        <v>2</v>
      </c>
      <c r="BQ79" s="20">
        <v>2500</v>
      </c>
      <c r="BR79" s="20" t="s">
        <v>156</v>
      </c>
    </row>
    <row r="80" s="7" customFormat="1" ht="16.5" spans="1:70">
      <c r="A80" s="7">
        <f>60000000+INDEX(编号表!$B:$B,MATCH(I80,编号表!$A:$A,0))*10000+INDEX(编号表!$B:$B,MATCH(J80,编号表!$C:$C,0))*1000+K80</f>
        <v>60071003</v>
      </c>
      <c r="B80" s="7" t="s">
        <v>339</v>
      </c>
      <c r="C80" s="7" t="s">
        <v>340</v>
      </c>
      <c r="D80" s="7" t="s">
        <v>340</v>
      </c>
      <c r="E80" s="7">
        <v>21</v>
      </c>
      <c r="F80" s="7" t="str" cm="1">
        <f t="array" ref="F80">INDEX(编号表!$E:$E,MATCH(J80,编号表!$C:$C,0))</f>
        <v>白色</v>
      </c>
      <c r="G80" s="7">
        <v>11</v>
      </c>
      <c r="H80" s="7" t="s">
        <v>331</v>
      </c>
      <c r="I80" s="7" t="s">
        <v>331</v>
      </c>
      <c r="J80" s="7" t="s">
        <v>137</v>
      </c>
      <c r="K80" s="7">
        <v>3</v>
      </c>
      <c r="L80" s="7">
        <f>COUNTIFS(I$11:I80,I80,J$11:J80,J80)-1</f>
        <v>3</v>
      </c>
      <c r="O80" s="7">
        <v>10</v>
      </c>
      <c r="P80" s="7">
        <v>300000</v>
      </c>
      <c r="Q80" s="7" t="s">
        <v>138</v>
      </c>
      <c r="R80" s="21">
        <v>40140003</v>
      </c>
      <c r="S80" s="7"/>
      <c r="T80" s="7"/>
      <c r="U80" s="7">
        <v>11010001</v>
      </c>
      <c r="V80" s="7">
        <v>11020001</v>
      </c>
      <c r="X80" s="7" t="s">
        <v>139</v>
      </c>
      <c r="Y80" s="7" t="s">
        <v>341</v>
      </c>
      <c r="Z80" s="7">
        <v>0.5</v>
      </c>
      <c r="AA80" s="7">
        <v>50</v>
      </c>
      <c r="AB80" s="7">
        <v>50</v>
      </c>
      <c r="AC80" s="7">
        <v>20</v>
      </c>
      <c r="AD80" s="7">
        <v>30</v>
      </c>
      <c r="AE80" s="7" t="s">
        <v>141</v>
      </c>
      <c r="AF80" s="7"/>
      <c r="AG80" s="22"/>
      <c r="AI80" s="23">
        <v>81</v>
      </c>
      <c r="AJ80" s="7" t="s">
        <v>142</v>
      </c>
      <c r="AK80" s="24">
        <v>560</v>
      </c>
      <c r="AL80" s="7" t="s">
        <v>143</v>
      </c>
      <c r="AM80" s="7">
        <v>9</v>
      </c>
      <c r="AN80" s="7" t="s">
        <v>144</v>
      </c>
      <c r="AO80" s="7">
        <v>13</v>
      </c>
      <c r="AP80" s="7" t="s">
        <v>145</v>
      </c>
      <c r="AQ80" s="7">
        <v>8</v>
      </c>
      <c r="AR80" s="7" t="s">
        <v>146</v>
      </c>
      <c r="AS80" s="7">
        <v>12</v>
      </c>
      <c r="AT80" s="7" t="s">
        <v>147</v>
      </c>
      <c r="AU80" s="7">
        <v>17</v>
      </c>
      <c r="AV80" s="7" t="s">
        <v>148</v>
      </c>
      <c r="AW80" s="7">
        <v>24</v>
      </c>
      <c r="AX80" s="7" t="s">
        <v>149</v>
      </c>
      <c r="AY80" s="7">
        <v>17</v>
      </c>
      <c r="AZ80" s="7" t="s">
        <v>150</v>
      </c>
      <c r="BA80" s="7">
        <v>24</v>
      </c>
      <c r="BB80" s="7" t="s">
        <v>151</v>
      </c>
      <c r="BC80" s="7">
        <v>1</v>
      </c>
      <c r="BD80" s="7" t="s">
        <v>152</v>
      </c>
      <c r="BE80" s="7">
        <v>2</v>
      </c>
      <c r="BF80" s="7" t="s">
        <v>153</v>
      </c>
      <c r="BG80" s="7">
        <v>100</v>
      </c>
      <c r="BH80" s="7" t="s">
        <v>154</v>
      </c>
      <c r="BI80" s="7">
        <v>10</v>
      </c>
      <c r="BJ80" s="7" t="s">
        <v>155</v>
      </c>
      <c r="BK80" s="7">
        <v>250</v>
      </c>
      <c r="BL80" s="20"/>
      <c r="BM80" s="20"/>
      <c r="BN80" s="20">
        <v>1</v>
      </c>
      <c r="BO80" s="20">
        <v>2500</v>
      </c>
      <c r="BP80" s="20">
        <v>2</v>
      </c>
      <c r="BQ80" s="20">
        <v>2500</v>
      </c>
      <c r="BR80" s="20" t="s">
        <v>156</v>
      </c>
    </row>
    <row r="81" s="7" customFormat="1" ht="16.5" spans="1:70">
      <c r="A81" s="7">
        <f>60000000+INDEX(编号表!$B:$B,MATCH(I81,编号表!$A:$A,0))*10000+INDEX(编号表!$B:$B,MATCH(J81,编号表!$C:$C,0))*1000+K81</f>
        <v>60072000</v>
      </c>
      <c r="B81" s="7" t="s">
        <v>342</v>
      </c>
      <c r="C81" s="7" t="s">
        <v>330</v>
      </c>
      <c r="D81" s="7" t="s">
        <v>343</v>
      </c>
      <c r="E81" s="7">
        <v>22</v>
      </c>
      <c r="F81" s="7" t="str" cm="1">
        <f t="array" ref="F81">INDEX(编号表!$E:$E,MATCH(J81,编号表!$C:$C,0))</f>
        <v>绿色</v>
      </c>
      <c r="G81" s="7">
        <v>11</v>
      </c>
      <c r="H81" s="7" t="s">
        <v>331</v>
      </c>
      <c r="I81" s="7" t="s">
        <v>331</v>
      </c>
      <c r="J81" s="7" t="s">
        <v>221</v>
      </c>
      <c r="K81" s="7">
        <v>0</v>
      </c>
      <c r="L81" s="7">
        <f>COUNTIFS(I$11:I81,I81,J$11:J81,J81)-1</f>
        <v>0</v>
      </c>
      <c r="O81" s="7">
        <v>10</v>
      </c>
      <c r="P81" s="7">
        <v>300000</v>
      </c>
      <c r="Q81" s="7" t="s">
        <v>138</v>
      </c>
      <c r="R81" s="21">
        <v>40140003</v>
      </c>
      <c r="S81" s="7"/>
      <c r="T81" s="7"/>
      <c r="U81" s="7">
        <v>11010001</v>
      </c>
      <c r="V81" s="7">
        <v>11020001</v>
      </c>
      <c r="X81" s="7" t="s">
        <v>139</v>
      </c>
      <c r="Y81" s="7" t="s">
        <v>332</v>
      </c>
      <c r="Z81" s="7">
        <v>0.5</v>
      </c>
      <c r="AA81" s="7">
        <v>50</v>
      </c>
      <c r="AB81" s="7">
        <v>50</v>
      </c>
      <c r="AC81" s="7">
        <v>20</v>
      </c>
      <c r="AD81" s="7">
        <v>30</v>
      </c>
      <c r="AE81" s="7" t="s">
        <v>141</v>
      </c>
      <c r="AF81" s="7"/>
      <c r="AG81" s="22" t="s">
        <v>222</v>
      </c>
      <c r="AI81" s="23">
        <v>350</v>
      </c>
      <c r="AJ81" s="7" t="s">
        <v>142</v>
      </c>
      <c r="AK81" s="24">
        <v>2400</v>
      </c>
      <c r="AL81" s="7" t="s">
        <v>143</v>
      </c>
      <c r="AM81" s="7">
        <v>10</v>
      </c>
      <c r="AN81" s="7" t="s">
        <v>144</v>
      </c>
      <c r="AO81" s="7">
        <v>15</v>
      </c>
      <c r="AP81" s="7" t="s">
        <v>145</v>
      </c>
      <c r="AQ81" s="7">
        <v>9</v>
      </c>
      <c r="AR81" s="7" t="s">
        <v>146</v>
      </c>
      <c r="AS81" s="7">
        <v>14</v>
      </c>
      <c r="AT81" s="7" t="s">
        <v>147</v>
      </c>
      <c r="AU81" s="7">
        <v>29</v>
      </c>
      <c r="AV81" s="7" t="s">
        <v>148</v>
      </c>
      <c r="AW81" s="7">
        <v>40</v>
      </c>
      <c r="AX81" s="7" t="s">
        <v>149</v>
      </c>
      <c r="AY81" s="7">
        <v>29</v>
      </c>
      <c r="AZ81" s="7" t="s">
        <v>150</v>
      </c>
      <c r="BA81" s="7">
        <v>40</v>
      </c>
      <c r="BB81" s="7" t="s">
        <v>151</v>
      </c>
      <c r="BC81" s="7">
        <v>1</v>
      </c>
      <c r="BD81" s="7" t="s">
        <v>152</v>
      </c>
      <c r="BE81" s="7">
        <v>2</v>
      </c>
      <c r="BF81" s="7" t="s">
        <v>153</v>
      </c>
      <c r="BG81" s="7">
        <v>100</v>
      </c>
      <c r="BH81" s="7" t="s">
        <v>154</v>
      </c>
      <c r="BI81" s="7">
        <v>10</v>
      </c>
      <c r="BJ81" s="7" t="s">
        <v>155</v>
      </c>
      <c r="BK81" s="7">
        <v>250</v>
      </c>
      <c r="BL81" s="20"/>
      <c r="BM81" s="20"/>
      <c r="BN81" s="20">
        <v>1</v>
      </c>
      <c r="BO81" s="20">
        <v>2500</v>
      </c>
      <c r="BP81" s="20">
        <v>2</v>
      </c>
      <c r="BQ81" s="20">
        <v>2500</v>
      </c>
      <c r="BR81" s="20" t="s">
        <v>156</v>
      </c>
    </row>
    <row r="82" s="15" customFormat="1" ht="16.5" spans="1:70">
      <c r="A82" s="15">
        <f>60000000+INDEX(编号表!$B:$B,MATCH(I82,编号表!$A:$A,0))*10000+INDEX(编号表!$B:$B,MATCH(J82,编号表!$C:$C,0))*1000+K82</f>
        <v>60074000</v>
      </c>
      <c r="B82" s="15" t="s">
        <v>344</v>
      </c>
      <c r="C82" s="15" t="s">
        <v>330</v>
      </c>
      <c r="D82" s="15" t="s">
        <v>343</v>
      </c>
      <c r="E82" s="15">
        <v>22</v>
      </c>
      <c r="F82" s="15" t="str" cm="1">
        <f t="array" ref="F82">INDEX(编号表!$E:$E,MATCH(J82,编号表!$C:$C,0))</f>
        <v>橙色</v>
      </c>
      <c r="G82" s="15">
        <v>11</v>
      </c>
      <c r="H82" s="15" t="s">
        <v>331</v>
      </c>
      <c r="I82" s="15" t="s">
        <v>331</v>
      </c>
      <c r="J82" s="15" t="s">
        <v>233</v>
      </c>
      <c r="K82" s="15">
        <v>0</v>
      </c>
      <c r="L82" s="15">
        <f>COUNTIFS(I$11:I82,I82,J$11:J82,J82)-1</f>
        <v>0</v>
      </c>
      <c r="O82" s="7">
        <v>10</v>
      </c>
      <c r="P82" s="7">
        <v>300000</v>
      </c>
      <c r="Q82" s="15" t="s">
        <v>138</v>
      </c>
      <c r="R82" s="21">
        <v>40140003</v>
      </c>
      <c r="S82" s="15"/>
      <c r="T82" s="15"/>
      <c r="U82" s="15">
        <v>11010001</v>
      </c>
      <c r="V82" s="15">
        <v>11020001</v>
      </c>
      <c r="X82" s="15" t="s">
        <v>139</v>
      </c>
      <c r="Y82" s="15" t="s">
        <v>332</v>
      </c>
      <c r="Z82" s="7">
        <v>1.5</v>
      </c>
      <c r="AA82" s="7">
        <v>80</v>
      </c>
      <c r="AB82" s="7">
        <v>80</v>
      </c>
      <c r="AC82" s="7">
        <v>20</v>
      </c>
      <c r="AD82" s="7">
        <v>30</v>
      </c>
      <c r="AE82" s="15" t="s">
        <v>141</v>
      </c>
      <c r="AF82" s="15"/>
      <c r="AG82" s="22" t="s">
        <v>234</v>
      </c>
      <c r="AH82" s="15"/>
      <c r="AI82" s="23">
        <v>1740</v>
      </c>
      <c r="AJ82" s="15" t="s">
        <v>142</v>
      </c>
      <c r="AK82" s="24">
        <v>11900</v>
      </c>
      <c r="AL82" s="15" t="s">
        <v>143</v>
      </c>
      <c r="AM82" s="15">
        <v>14</v>
      </c>
      <c r="AN82" s="15" t="s">
        <v>144</v>
      </c>
      <c r="AO82" s="15">
        <v>19</v>
      </c>
      <c r="AP82" s="15" t="s">
        <v>145</v>
      </c>
      <c r="AQ82" s="15">
        <v>13</v>
      </c>
      <c r="AR82" s="15" t="s">
        <v>146</v>
      </c>
      <c r="AS82" s="15">
        <v>18</v>
      </c>
      <c r="AT82" s="15" t="s">
        <v>147</v>
      </c>
      <c r="AU82" s="15">
        <v>45</v>
      </c>
      <c r="AV82" s="15" t="s">
        <v>148</v>
      </c>
      <c r="AW82" s="15">
        <v>60</v>
      </c>
      <c r="AX82" s="15" t="s">
        <v>149</v>
      </c>
      <c r="AY82" s="15">
        <v>45</v>
      </c>
      <c r="AZ82" s="15" t="s">
        <v>150</v>
      </c>
      <c r="BA82" s="15">
        <v>60</v>
      </c>
      <c r="BB82" s="15" t="s">
        <v>151</v>
      </c>
      <c r="BC82" s="15">
        <v>1</v>
      </c>
      <c r="BD82" s="15" t="s">
        <v>152</v>
      </c>
      <c r="BE82" s="15">
        <v>2</v>
      </c>
      <c r="BF82" s="15" t="s">
        <v>153</v>
      </c>
      <c r="BG82" s="15">
        <v>100</v>
      </c>
      <c r="BH82" s="15" t="s">
        <v>154</v>
      </c>
      <c r="BI82" s="15">
        <v>10</v>
      </c>
      <c r="BJ82" s="15" t="s">
        <v>155</v>
      </c>
      <c r="BK82" s="7">
        <v>250</v>
      </c>
      <c r="BL82" s="25"/>
      <c r="BM82" s="25"/>
      <c r="BN82" s="20">
        <v>1</v>
      </c>
      <c r="BO82" s="20">
        <v>2500</v>
      </c>
      <c r="BP82" s="20">
        <v>2</v>
      </c>
      <c r="BQ82" s="20">
        <v>2500</v>
      </c>
      <c r="BR82" s="25" t="s">
        <v>156</v>
      </c>
    </row>
    <row r="83" s="15" customFormat="1" ht="16.5" spans="1:70">
      <c r="A83" s="15">
        <f>60000000+INDEX(编号表!$B:$B,MATCH(I83,编号表!$A:$A,0))*10000+INDEX(编号表!$B:$B,MATCH(J83,编号表!$C:$C,0))*1000+K83</f>
        <v>60074001</v>
      </c>
      <c r="B83" s="15" t="s">
        <v>345</v>
      </c>
      <c r="C83" s="15" t="s">
        <v>330</v>
      </c>
      <c r="D83" s="15" t="s">
        <v>343</v>
      </c>
      <c r="E83" s="15">
        <v>22</v>
      </c>
      <c r="F83" s="15" t="str" cm="1">
        <f t="array" ref="F83">INDEX(编号表!$E:$E,MATCH(J83,编号表!$C:$C,0))</f>
        <v>橙色</v>
      </c>
      <c r="G83" s="15">
        <v>11</v>
      </c>
      <c r="H83" s="15" t="s">
        <v>331</v>
      </c>
      <c r="I83" s="15" t="s">
        <v>331</v>
      </c>
      <c r="J83" s="15" t="s">
        <v>233</v>
      </c>
      <c r="K83" s="15">
        <v>1</v>
      </c>
      <c r="L83" s="15">
        <f>COUNTIFS(I$11:I83,I83,J$11:J83,J83)-1</f>
        <v>1</v>
      </c>
      <c r="O83" s="7">
        <v>10</v>
      </c>
      <c r="P83" s="7">
        <v>300000</v>
      </c>
      <c r="Q83" s="15" t="s">
        <v>138</v>
      </c>
      <c r="R83" s="21">
        <v>40140003</v>
      </c>
      <c r="S83" s="15"/>
      <c r="T83" s="15"/>
      <c r="U83" s="15">
        <v>11010001</v>
      </c>
      <c r="V83" s="15">
        <v>11020001</v>
      </c>
      <c r="X83" s="15" t="s">
        <v>139</v>
      </c>
      <c r="Y83" s="15" t="s">
        <v>332</v>
      </c>
      <c r="Z83" s="7">
        <v>1.5</v>
      </c>
      <c r="AA83" s="7">
        <v>80</v>
      </c>
      <c r="AB83" s="7">
        <v>80</v>
      </c>
      <c r="AC83" s="7">
        <v>20</v>
      </c>
      <c r="AD83" s="7">
        <v>30</v>
      </c>
      <c r="AE83" s="15" t="s">
        <v>141</v>
      </c>
      <c r="AF83" s="15"/>
      <c r="AG83" s="22" t="s">
        <v>234</v>
      </c>
      <c r="AH83" s="15"/>
      <c r="AI83" s="23">
        <v>1740</v>
      </c>
      <c r="AJ83" s="15" t="s">
        <v>142</v>
      </c>
      <c r="AK83" s="24">
        <v>11900</v>
      </c>
      <c r="AL83" s="15" t="s">
        <v>143</v>
      </c>
      <c r="AM83" s="15">
        <v>14</v>
      </c>
      <c r="AN83" s="15" t="s">
        <v>144</v>
      </c>
      <c r="AO83" s="15">
        <v>19</v>
      </c>
      <c r="AP83" s="15" t="s">
        <v>145</v>
      </c>
      <c r="AQ83" s="15">
        <v>13</v>
      </c>
      <c r="AR83" s="15" t="s">
        <v>146</v>
      </c>
      <c r="AS83" s="15">
        <v>18</v>
      </c>
      <c r="AT83" s="15" t="s">
        <v>147</v>
      </c>
      <c r="AU83" s="15">
        <v>45</v>
      </c>
      <c r="AV83" s="15" t="s">
        <v>148</v>
      </c>
      <c r="AW83" s="15">
        <v>60</v>
      </c>
      <c r="AX83" s="15" t="s">
        <v>149</v>
      </c>
      <c r="AY83" s="15">
        <v>45</v>
      </c>
      <c r="AZ83" s="15" t="s">
        <v>150</v>
      </c>
      <c r="BA83" s="15">
        <v>60</v>
      </c>
      <c r="BB83" s="15" t="s">
        <v>151</v>
      </c>
      <c r="BC83" s="15">
        <v>1</v>
      </c>
      <c r="BD83" s="15" t="s">
        <v>152</v>
      </c>
      <c r="BE83" s="15">
        <v>2</v>
      </c>
      <c r="BF83" s="15" t="s">
        <v>153</v>
      </c>
      <c r="BG83" s="15">
        <v>100</v>
      </c>
      <c r="BH83" s="15" t="s">
        <v>154</v>
      </c>
      <c r="BI83" s="15">
        <v>10</v>
      </c>
      <c r="BJ83" s="15" t="s">
        <v>155</v>
      </c>
      <c r="BK83" s="7">
        <v>250</v>
      </c>
      <c r="BL83" s="25"/>
      <c r="BM83" s="25"/>
      <c r="BN83" s="20">
        <v>1</v>
      </c>
      <c r="BO83" s="20">
        <v>2500</v>
      </c>
      <c r="BP83" s="20">
        <v>2</v>
      </c>
      <c r="BQ83" s="20">
        <v>2500</v>
      </c>
      <c r="BR83" s="25" t="s">
        <v>156</v>
      </c>
    </row>
    <row r="84" s="7" customFormat="1" ht="16.5" spans="1:70">
      <c r="A84" s="7">
        <f>60000000+INDEX(编号表!$B:$B,MATCH(I84,编号表!$A:$A,0))*10000+INDEX(编号表!$B:$B,MATCH(J84,编号表!$C:$C,0))*1000+K84</f>
        <v>60081000</v>
      </c>
      <c r="B84" s="7" t="s">
        <v>346</v>
      </c>
      <c r="C84" s="7" t="s">
        <v>330</v>
      </c>
      <c r="D84" s="7" t="s">
        <v>347</v>
      </c>
      <c r="E84" s="7">
        <v>22</v>
      </c>
      <c r="F84" s="7" t="str" cm="1">
        <f t="array" ref="F84">INDEX(编号表!$E:$E,MATCH(J84,编号表!$C:$C,0))</f>
        <v>白色</v>
      </c>
      <c r="G84" s="7">
        <v>12</v>
      </c>
      <c r="H84" s="7" t="s">
        <v>348</v>
      </c>
      <c r="I84" s="7" t="s">
        <v>348</v>
      </c>
      <c r="J84" s="7" t="s">
        <v>137</v>
      </c>
      <c r="K84" s="7">
        <v>0</v>
      </c>
      <c r="L84" s="7">
        <f>COUNTIFS(I$11:I84,I84,J$11:J84,J84)-1</f>
        <v>0</v>
      </c>
      <c r="O84" s="7">
        <v>10</v>
      </c>
      <c r="P84" s="7">
        <v>300000</v>
      </c>
      <c r="Q84" s="7" t="s">
        <v>138</v>
      </c>
      <c r="R84" s="21">
        <v>40140003</v>
      </c>
      <c r="S84" s="7"/>
      <c r="T84" s="7"/>
      <c r="U84" s="7">
        <v>11010001</v>
      </c>
      <c r="V84" s="7">
        <v>11020001</v>
      </c>
      <c r="X84" s="7" t="s">
        <v>139</v>
      </c>
      <c r="Y84" s="7" t="s">
        <v>332</v>
      </c>
      <c r="Z84" s="7">
        <v>0.5</v>
      </c>
      <c r="AA84" s="7">
        <v>50</v>
      </c>
      <c r="AB84" s="7">
        <v>50</v>
      </c>
      <c r="AC84" s="7">
        <v>20</v>
      </c>
      <c r="AD84" s="7">
        <v>30</v>
      </c>
      <c r="AE84" s="7" t="s">
        <v>141</v>
      </c>
      <c r="AF84" s="7"/>
      <c r="AG84" s="22"/>
      <c r="AI84" s="23">
        <v>89</v>
      </c>
      <c r="AJ84" s="7" t="s">
        <v>142</v>
      </c>
      <c r="AK84" s="24">
        <v>530</v>
      </c>
      <c r="AL84" s="7" t="s">
        <v>143</v>
      </c>
      <c r="AM84" s="7">
        <v>8</v>
      </c>
      <c r="AN84" s="7" t="s">
        <v>144</v>
      </c>
      <c r="AO84" s="7">
        <v>11</v>
      </c>
      <c r="AP84" s="7" t="s">
        <v>145</v>
      </c>
      <c r="AQ84" s="7">
        <v>7</v>
      </c>
      <c r="AR84" s="7" t="s">
        <v>146</v>
      </c>
      <c r="AS84" s="7">
        <v>10</v>
      </c>
      <c r="AT84" s="7" t="s">
        <v>147</v>
      </c>
      <c r="AU84" s="7">
        <v>17</v>
      </c>
      <c r="AV84" s="7" t="s">
        <v>148</v>
      </c>
      <c r="AW84" s="7">
        <v>23</v>
      </c>
      <c r="AX84" s="7" t="s">
        <v>149</v>
      </c>
      <c r="AY84" s="7">
        <v>17</v>
      </c>
      <c r="AZ84" s="7" t="s">
        <v>150</v>
      </c>
      <c r="BA84" s="7">
        <v>23</v>
      </c>
      <c r="BB84" s="7" t="s">
        <v>151</v>
      </c>
      <c r="BC84" s="7">
        <v>1</v>
      </c>
      <c r="BD84" s="7" t="s">
        <v>152</v>
      </c>
      <c r="BE84" s="7">
        <v>2</v>
      </c>
      <c r="BF84" s="7" t="s">
        <v>153</v>
      </c>
      <c r="BG84" s="7">
        <v>100</v>
      </c>
      <c r="BH84" s="7" t="s">
        <v>154</v>
      </c>
      <c r="BI84" s="7">
        <v>10</v>
      </c>
      <c r="BJ84" s="7" t="s">
        <v>155</v>
      </c>
      <c r="BK84" s="7">
        <v>250</v>
      </c>
      <c r="BL84" s="20"/>
      <c r="BM84" s="20"/>
      <c r="BN84" s="20">
        <v>1</v>
      </c>
      <c r="BO84" s="20">
        <v>2500</v>
      </c>
      <c r="BP84" s="20">
        <v>2</v>
      </c>
      <c r="BQ84" s="20">
        <v>2500</v>
      </c>
      <c r="BR84" s="20" t="s">
        <v>156</v>
      </c>
    </row>
    <row r="85" s="7" customFormat="1" ht="16.5" spans="1:70">
      <c r="A85" s="7">
        <f>60000000+INDEX(编号表!$B:$B,MATCH(I85,编号表!$A:$A,0))*10000+INDEX(编号表!$B:$B,MATCH(J85,编号表!$C:$C,0))*1000+K85</f>
        <v>60081001</v>
      </c>
      <c r="B85" s="7" t="s">
        <v>349</v>
      </c>
      <c r="C85" s="7" t="s">
        <v>334</v>
      </c>
      <c r="D85" s="7" t="s">
        <v>350</v>
      </c>
      <c r="E85" s="7">
        <v>22</v>
      </c>
      <c r="F85" s="7" t="str" cm="1">
        <f t="array" ref="F85">INDEX(编号表!$E:$E,MATCH(J85,编号表!$C:$C,0))</f>
        <v>白色</v>
      </c>
      <c r="G85" s="7">
        <v>12</v>
      </c>
      <c r="H85" s="7" t="s">
        <v>348</v>
      </c>
      <c r="I85" s="7" t="s">
        <v>348</v>
      </c>
      <c r="J85" s="7" t="s">
        <v>137</v>
      </c>
      <c r="K85" s="7">
        <v>1</v>
      </c>
      <c r="L85" s="7">
        <f>COUNTIFS(I$11:I85,I85,J$11:J85,J85)-1</f>
        <v>1</v>
      </c>
      <c r="O85" s="7">
        <v>10</v>
      </c>
      <c r="P85" s="7">
        <v>300000</v>
      </c>
      <c r="Q85" s="7" t="s">
        <v>138</v>
      </c>
      <c r="R85" s="21">
        <v>40140003</v>
      </c>
      <c r="S85" s="7"/>
      <c r="T85" s="7"/>
      <c r="U85" s="7">
        <v>11010001</v>
      </c>
      <c r="V85" s="7">
        <v>11020001</v>
      </c>
      <c r="X85" s="7" t="s">
        <v>139</v>
      </c>
      <c r="Y85" s="7" t="s">
        <v>335</v>
      </c>
      <c r="Z85" s="7">
        <v>0.5</v>
      </c>
      <c r="AA85" s="7">
        <v>50</v>
      </c>
      <c r="AB85" s="7">
        <v>50</v>
      </c>
      <c r="AC85" s="7">
        <v>20</v>
      </c>
      <c r="AD85" s="7">
        <v>30</v>
      </c>
      <c r="AE85" s="7" t="s">
        <v>141</v>
      </c>
      <c r="AF85" s="7"/>
      <c r="AG85" s="22"/>
      <c r="AI85" s="23">
        <v>89</v>
      </c>
      <c r="AJ85" s="7" t="s">
        <v>142</v>
      </c>
      <c r="AK85" s="24">
        <v>420</v>
      </c>
      <c r="AL85" s="7" t="s">
        <v>143</v>
      </c>
      <c r="AM85" s="7">
        <v>6</v>
      </c>
      <c r="AN85" s="7" t="s">
        <v>144</v>
      </c>
      <c r="AO85" s="7">
        <v>9</v>
      </c>
      <c r="AP85" s="7" t="s">
        <v>145</v>
      </c>
      <c r="AQ85" s="7">
        <v>6</v>
      </c>
      <c r="AR85" s="7" t="s">
        <v>146</v>
      </c>
      <c r="AS85" s="7">
        <v>9</v>
      </c>
      <c r="AT85" s="7" t="s">
        <v>147</v>
      </c>
      <c r="AU85" s="7">
        <v>19</v>
      </c>
      <c r="AV85" s="7" t="s">
        <v>148</v>
      </c>
      <c r="AW85" s="7">
        <v>26</v>
      </c>
      <c r="AX85" s="7" t="s">
        <v>149</v>
      </c>
      <c r="AY85" s="7">
        <v>19</v>
      </c>
      <c r="AZ85" s="7" t="s">
        <v>150</v>
      </c>
      <c r="BA85" s="7">
        <v>26</v>
      </c>
      <c r="BB85" s="7" t="s">
        <v>151</v>
      </c>
      <c r="BC85" s="7">
        <v>1</v>
      </c>
      <c r="BD85" s="7" t="s">
        <v>152</v>
      </c>
      <c r="BE85" s="7">
        <v>2</v>
      </c>
      <c r="BF85" s="7" t="s">
        <v>153</v>
      </c>
      <c r="BG85" s="7">
        <v>100</v>
      </c>
      <c r="BH85" s="7" t="s">
        <v>154</v>
      </c>
      <c r="BI85" s="7">
        <v>10</v>
      </c>
      <c r="BJ85" s="7" t="s">
        <v>155</v>
      </c>
      <c r="BK85" s="7">
        <v>250</v>
      </c>
      <c r="BL85" s="20"/>
      <c r="BM85" s="20"/>
      <c r="BN85" s="20">
        <v>1</v>
      </c>
      <c r="BO85" s="20">
        <v>2500</v>
      </c>
      <c r="BP85" s="20">
        <v>2</v>
      </c>
      <c r="BQ85" s="20">
        <v>2500</v>
      </c>
      <c r="BR85" s="20" t="s">
        <v>156</v>
      </c>
    </row>
    <row r="86" s="7" customFormat="1" ht="16.5" spans="1:70">
      <c r="A86" s="7">
        <f>60000000+INDEX(编号表!$B:$B,MATCH(I86,编号表!$A:$A,0))*10000+INDEX(编号表!$B:$B,MATCH(J86,编号表!$C:$C,0))*1000+K86</f>
        <v>60081002</v>
      </c>
      <c r="B86" s="7" t="s">
        <v>351</v>
      </c>
      <c r="C86" s="7" t="s">
        <v>337</v>
      </c>
      <c r="D86" s="7" t="s">
        <v>352</v>
      </c>
      <c r="E86" s="7">
        <v>22</v>
      </c>
      <c r="F86" s="7" t="str" cm="1">
        <f t="array" ref="F86">INDEX(编号表!$E:$E,MATCH(J86,编号表!$C:$C,0))</f>
        <v>白色</v>
      </c>
      <c r="G86" s="7">
        <v>12</v>
      </c>
      <c r="H86" s="7" t="s">
        <v>348</v>
      </c>
      <c r="I86" s="7" t="s">
        <v>348</v>
      </c>
      <c r="J86" s="7" t="s">
        <v>137</v>
      </c>
      <c r="K86" s="7">
        <v>2</v>
      </c>
      <c r="L86" s="7">
        <f>COUNTIFS(I$11:I86,I86,J$11:J86,J86)-1</f>
        <v>2</v>
      </c>
      <c r="O86" s="7">
        <v>10</v>
      </c>
      <c r="P86" s="7">
        <v>300000</v>
      </c>
      <c r="Q86" s="7" t="s">
        <v>138</v>
      </c>
      <c r="R86" s="21">
        <v>40140003</v>
      </c>
      <c r="S86" s="7"/>
      <c r="T86" s="7"/>
      <c r="U86" s="7">
        <v>11010001</v>
      </c>
      <c r="V86" s="7">
        <v>11020001</v>
      </c>
      <c r="X86" s="7" t="s">
        <v>139</v>
      </c>
      <c r="Y86" s="7" t="s">
        <v>338</v>
      </c>
      <c r="Z86" s="7">
        <v>0.5</v>
      </c>
      <c r="AA86" s="7">
        <v>50</v>
      </c>
      <c r="AB86" s="7">
        <v>50</v>
      </c>
      <c r="AC86" s="7">
        <v>20</v>
      </c>
      <c r="AD86" s="7">
        <v>30</v>
      </c>
      <c r="AE86" s="7" t="s">
        <v>141</v>
      </c>
      <c r="AF86" s="7"/>
      <c r="AG86" s="22"/>
      <c r="AI86" s="23">
        <v>89</v>
      </c>
      <c r="AJ86" s="7" t="s">
        <v>142</v>
      </c>
      <c r="AK86" s="24">
        <v>550</v>
      </c>
      <c r="AL86" s="7" t="s">
        <v>143</v>
      </c>
      <c r="AM86" s="7">
        <v>8</v>
      </c>
      <c r="AN86" s="7" t="s">
        <v>144</v>
      </c>
      <c r="AO86" s="7">
        <v>12</v>
      </c>
      <c r="AP86" s="7" t="s">
        <v>145</v>
      </c>
      <c r="AQ86" s="7">
        <v>8</v>
      </c>
      <c r="AR86" s="7" t="s">
        <v>146</v>
      </c>
      <c r="AS86" s="7">
        <v>11</v>
      </c>
      <c r="AT86" s="7" t="s">
        <v>147</v>
      </c>
      <c r="AU86" s="7">
        <v>18</v>
      </c>
      <c r="AV86" s="7" t="s">
        <v>148</v>
      </c>
      <c r="AW86" s="7">
        <v>25</v>
      </c>
      <c r="AX86" s="7" t="s">
        <v>149</v>
      </c>
      <c r="AY86" s="7">
        <v>18</v>
      </c>
      <c r="AZ86" s="7" t="s">
        <v>150</v>
      </c>
      <c r="BA86" s="7">
        <v>25</v>
      </c>
      <c r="BB86" s="7" t="s">
        <v>151</v>
      </c>
      <c r="BC86" s="7">
        <v>1</v>
      </c>
      <c r="BD86" s="7" t="s">
        <v>152</v>
      </c>
      <c r="BE86" s="7">
        <v>2</v>
      </c>
      <c r="BF86" s="7" t="s">
        <v>153</v>
      </c>
      <c r="BG86" s="7">
        <v>100</v>
      </c>
      <c r="BH86" s="7" t="s">
        <v>154</v>
      </c>
      <c r="BI86" s="7">
        <v>10</v>
      </c>
      <c r="BJ86" s="7" t="s">
        <v>155</v>
      </c>
      <c r="BK86" s="7">
        <v>250</v>
      </c>
      <c r="BL86" s="20"/>
      <c r="BM86" s="20"/>
      <c r="BN86" s="20">
        <v>1</v>
      </c>
      <c r="BO86" s="20">
        <v>2500</v>
      </c>
      <c r="BP86" s="20">
        <v>2</v>
      </c>
      <c r="BQ86" s="20">
        <v>2500</v>
      </c>
      <c r="BR86" s="20" t="s">
        <v>156</v>
      </c>
    </row>
    <row r="87" s="7" customFormat="1" ht="16.5" spans="1:70">
      <c r="A87" s="7">
        <f>60000000+INDEX(编号表!$B:$B,MATCH(I87,编号表!$A:$A,0))*10000+INDEX(编号表!$B:$B,MATCH(J87,编号表!$C:$C,0))*1000+K87</f>
        <v>60081003</v>
      </c>
      <c r="B87" s="7" t="s">
        <v>353</v>
      </c>
      <c r="C87" s="7" t="s">
        <v>340</v>
      </c>
      <c r="D87" s="7" t="s">
        <v>354</v>
      </c>
      <c r="E87" s="7">
        <v>22</v>
      </c>
      <c r="F87" s="7" t="str" cm="1">
        <f t="array" ref="F87">INDEX(编号表!$E:$E,MATCH(J87,编号表!$C:$C,0))</f>
        <v>白色</v>
      </c>
      <c r="G87" s="7">
        <v>12</v>
      </c>
      <c r="H87" s="7" t="s">
        <v>348</v>
      </c>
      <c r="I87" s="7" t="s">
        <v>348</v>
      </c>
      <c r="J87" s="7" t="s">
        <v>137</v>
      </c>
      <c r="K87" s="7">
        <v>3</v>
      </c>
      <c r="L87" s="7">
        <f>COUNTIFS(I$11:I87,I87,J$11:J87,J87)-1</f>
        <v>3</v>
      </c>
      <c r="O87" s="7">
        <v>10</v>
      </c>
      <c r="P87" s="7">
        <v>300000</v>
      </c>
      <c r="Q87" s="7" t="s">
        <v>138</v>
      </c>
      <c r="R87" s="21">
        <v>40140003</v>
      </c>
      <c r="S87" s="7"/>
      <c r="T87" s="7"/>
      <c r="U87" s="7">
        <v>11010001</v>
      </c>
      <c r="V87" s="7">
        <v>11020001</v>
      </c>
      <c r="X87" s="7" t="s">
        <v>139</v>
      </c>
      <c r="Y87" s="7" t="s">
        <v>341</v>
      </c>
      <c r="Z87" s="7">
        <v>0.5</v>
      </c>
      <c r="AA87" s="7">
        <v>50</v>
      </c>
      <c r="AB87" s="7">
        <v>50</v>
      </c>
      <c r="AC87" s="7">
        <v>20</v>
      </c>
      <c r="AD87" s="7">
        <v>30</v>
      </c>
      <c r="AE87" s="7" t="s">
        <v>141</v>
      </c>
      <c r="AF87" s="7"/>
      <c r="AG87" s="22"/>
      <c r="AI87" s="23">
        <v>89</v>
      </c>
      <c r="AJ87" s="7" t="s">
        <v>142</v>
      </c>
      <c r="AK87" s="24">
        <v>640</v>
      </c>
      <c r="AL87" s="7" t="s">
        <v>143</v>
      </c>
      <c r="AM87" s="7">
        <v>10</v>
      </c>
      <c r="AN87" s="7" t="s">
        <v>144</v>
      </c>
      <c r="AO87" s="7">
        <v>14</v>
      </c>
      <c r="AP87" s="7" t="s">
        <v>145</v>
      </c>
      <c r="AQ87" s="7">
        <v>9</v>
      </c>
      <c r="AR87" s="7" t="s">
        <v>146</v>
      </c>
      <c r="AS87" s="7">
        <v>13</v>
      </c>
      <c r="AT87" s="7" t="s">
        <v>147</v>
      </c>
      <c r="AU87" s="7">
        <v>19</v>
      </c>
      <c r="AV87" s="7" t="s">
        <v>148</v>
      </c>
      <c r="AW87" s="7">
        <v>26</v>
      </c>
      <c r="AX87" s="7" t="s">
        <v>149</v>
      </c>
      <c r="AY87" s="7">
        <v>19</v>
      </c>
      <c r="AZ87" s="7" t="s">
        <v>150</v>
      </c>
      <c r="BA87" s="7">
        <v>26</v>
      </c>
      <c r="BB87" s="7" t="s">
        <v>151</v>
      </c>
      <c r="BC87" s="7">
        <v>1</v>
      </c>
      <c r="BD87" s="7" t="s">
        <v>152</v>
      </c>
      <c r="BE87" s="7">
        <v>2</v>
      </c>
      <c r="BF87" s="7" t="s">
        <v>153</v>
      </c>
      <c r="BG87" s="7">
        <v>100</v>
      </c>
      <c r="BH87" s="7" t="s">
        <v>154</v>
      </c>
      <c r="BI87" s="7">
        <v>10</v>
      </c>
      <c r="BJ87" s="7" t="s">
        <v>155</v>
      </c>
      <c r="BK87" s="7">
        <v>250</v>
      </c>
      <c r="BL87" s="20"/>
      <c r="BM87" s="20"/>
      <c r="BN87" s="20">
        <v>1</v>
      </c>
      <c r="BO87" s="20">
        <v>2500</v>
      </c>
      <c r="BP87" s="20">
        <v>2</v>
      </c>
      <c r="BQ87" s="20">
        <v>2500</v>
      </c>
      <c r="BR87" s="20" t="s">
        <v>156</v>
      </c>
    </row>
    <row r="88" s="7" customFormat="1" ht="16.5" spans="1:70">
      <c r="A88" s="7">
        <f>60000000+INDEX(编号表!$B:$B,MATCH(I88,编号表!$A:$A,0))*10000+INDEX(编号表!$B:$B,MATCH(J88,编号表!$C:$C,0))*1000+K88</f>
        <v>60081004</v>
      </c>
      <c r="B88" s="7" t="s">
        <v>355</v>
      </c>
      <c r="C88" s="7" t="s">
        <v>356</v>
      </c>
      <c r="D88" s="7" t="s">
        <v>356</v>
      </c>
      <c r="E88" s="7">
        <v>22</v>
      </c>
      <c r="F88" s="7" t="str" cm="1">
        <f t="array" ref="F88">INDEX(编号表!$E:$E,MATCH(J88,编号表!$C:$C,0))</f>
        <v>白色</v>
      </c>
      <c r="G88" s="7">
        <v>12</v>
      </c>
      <c r="H88" s="7" t="s">
        <v>348</v>
      </c>
      <c r="I88" s="7" t="s">
        <v>348</v>
      </c>
      <c r="J88" s="7" t="s">
        <v>137</v>
      </c>
      <c r="K88" s="7">
        <v>4</v>
      </c>
      <c r="L88" s="7">
        <f>COUNTIFS(I$11:I88,I88,J$11:J88,J88)-1</f>
        <v>4</v>
      </c>
      <c r="O88" s="7">
        <v>10</v>
      </c>
      <c r="P88" s="7">
        <v>300000</v>
      </c>
      <c r="Q88" s="7" t="s">
        <v>138</v>
      </c>
      <c r="R88" s="21">
        <v>40140003</v>
      </c>
      <c r="S88" s="7"/>
      <c r="T88" s="7"/>
      <c r="U88" s="7">
        <v>11010001</v>
      </c>
      <c r="V88" s="7">
        <v>11020001</v>
      </c>
      <c r="X88" s="7" t="s">
        <v>139</v>
      </c>
      <c r="Y88" s="7" t="s">
        <v>357</v>
      </c>
      <c r="Z88" s="7">
        <v>0.5</v>
      </c>
      <c r="AA88" s="7">
        <v>50</v>
      </c>
      <c r="AB88" s="7">
        <v>50</v>
      </c>
      <c r="AC88" s="7">
        <v>20</v>
      </c>
      <c r="AD88" s="7">
        <v>30</v>
      </c>
      <c r="AE88" s="7" t="s">
        <v>141</v>
      </c>
      <c r="AF88" s="7"/>
      <c r="AG88" s="22"/>
      <c r="AI88" s="23">
        <v>89</v>
      </c>
      <c r="AJ88" s="7" t="s">
        <v>142</v>
      </c>
      <c r="AK88" s="24">
        <v>610</v>
      </c>
      <c r="AL88" s="7" t="s">
        <v>143</v>
      </c>
      <c r="AM88" s="7">
        <v>9</v>
      </c>
      <c r="AN88" s="7" t="s">
        <v>144</v>
      </c>
      <c r="AO88" s="7">
        <v>12</v>
      </c>
      <c r="AP88" s="7" t="s">
        <v>145</v>
      </c>
      <c r="AQ88" s="7">
        <v>8</v>
      </c>
      <c r="AR88" s="7" t="s">
        <v>146</v>
      </c>
      <c r="AS88" s="7">
        <v>12</v>
      </c>
      <c r="AT88" s="7" t="s">
        <v>147</v>
      </c>
      <c r="AU88" s="7">
        <v>18</v>
      </c>
      <c r="AV88" s="7" t="s">
        <v>148</v>
      </c>
      <c r="AW88" s="7">
        <v>25</v>
      </c>
      <c r="AX88" s="7" t="s">
        <v>149</v>
      </c>
      <c r="AY88" s="7">
        <v>18</v>
      </c>
      <c r="AZ88" s="7" t="s">
        <v>150</v>
      </c>
      <c r="BA88" s="7">
        <v>25</v>
      </c>
      <c r="BB88" s="7" t="s">
        <v>151</v>
      </c>
      <c r="BC88" s="7">
        <v>1</v>
      </c>
      <c r="BD88" s="7" t="s">
        <v>152</v>
      </c>
      <c r="BE88" s="7">
        <v>2</v>
      </c>
      <c r="BF88" s="7" t="s">
        <v>153</v>
      </c>
      <c r="BG88" s="7">
        <v>100</v>
      </c>
      <c r="BH88" s="7" t="s">
        <v>154</v>
      </c>
      <c r="BI88" s="7">
        <v>10</v>
      </c>
      <c r="BJ88" s="7" t="s">
        <v>155</v>
      </c>
      <c r="BK88" s="7">
        <v>250</v>
      </c>
      <c r="BL88" s="20"/>
      <c r="BM88" s="20"/>
      <c r="BN88" s="20">
        <v>1</v>
      </c>
      <c r="BO88" s="20">
        <v>2500</v>
      </c>
      <c r="BP88" s="20">
        <v>2</v>
      </c>
      <c r="BQ88" s="20">
        <v>2500</v>
      </c>
      <c r="BR88" s="20" t="s">
        <v>156</v>
      </c>
    </row>
    <row r="89" s="7" customFormat="1" ht="16.5" spans="1:70">
      <c r="A89" s="7">
        <f>60000000+INDEX(编号表!$B:$B,MATCH(I89,编号表!$A:$A,0))*10000+INDEX(编号表!$B:$B,MATCH(J89,编号表!$C:$C,0))*1000+K89</f>
        <v>60082000</v>
      </c>
      <c r="B89" s="7" t="s">
        <v>358</v>
      </c>
      <c r="C89" s="7" t="s">
        <v>356</v>
      </c>
      <c r="D89" s="7" t="s">
        <v>359</v>
      </c>
      <c r="E89" s="7">
        <v>23</v>
      </c>
      <c r="F89" s="7" t="str" cm="1">
        <f t="array" ref="F89">INDEX(编号表!$E:$E,MATCH(J89,编号表!$C:$C,0))</f>
        <v>绿色</v>
      </c>
      <c r="G89" s="7">
        <v>12</v>
      </c>
      <c r="H89" s="7" t="s">
        <v>348</v>
      </c>
      <c r="I89" s="7" t="s">
        <v>348</v>
      </c>
      <c r="J89" s="7" t="s">
        <v>221</v>
      </c>
      <c r="K89" s="7">
        <v>0</v>
      </c>
      <c r="L89" s="7">
        <f>COUNTIFS(I$11:I89,I89,J$11:J89,J89)-1</f>
        <v>0</v>
      </c>
      <c r="O89" s="7">
        <v>10</v>
      </c>
      <c r="P89" s="7">
        <v>300000</v>
      </c>
      <c r="Q89" s="7" t="s">
        <v>138</v>
      </c>
      <c r="R89" s="21">
        <v>40140003</v>
      </c>
      <c r="S89" s="7"/>
      <c r="T89" s="7"/>
      <c r="U89" s="7">
        <v>11010001</v>
      </c>
      <c r="V89" s="7">
        <v>11020001</v>
      </c>
      <c r="X89" s="7" t="s">
        <v>139</v>
      </c>
      <c r="Y89" s="7" t="s">
        <v>357</v>
      </c>
      <c r="Z89" s="7">
        <v>0.5</v>
      </c>
      <c r="AA89" s="7">
        <v>50</v>
      </c>
      <c r="AB89" s="7">
        <v>50</v>
      </c>
      <c r="AC89" s="7">
        <v>20</v>
      </c>
      <c r="AD89" s="7">
        <v>30</v>
      </c>
      <c r="AE89" s="7" t="s">
        <v>141</v>
      </c>
      <c r="AF89" s="7"/>
      <c r="AG89" s="22" t="s">
        <v>222</v>
      </c>
      <c r="AI89" s="23">
        <v>380</v>
      </c>
      <c r="AJ89" s="7" t="s">
        <v>142</v>
      </c>
      <c r="AK89" s="24">
        <v>3150</v>
      </c>
      <c r="AL89" s="7" t="s">
        <v>143</v>
      </c>
      <c r="AM89" s="7">
        <v>13</v>
      </c>
      <c r="AN89" s="7" t="s">
        <v>144</v>
      </c>
      <c r="AO89" s="7">
        <v>18</v>
      </c>
      <c r="AP89" s="7" t="s">
        <v>145</v>
      </c>
      <c r="AQ89" s="7">
        <v>12</v>
      </c>
      <c r="AR89" s="7" t="s">
        <v>146</v>
      </c>
      <c r="AS89" s="7">
        <v>18</v>
      </c>
      <c r="AT89" s="7" t="s">
        <v>147</v>
      </c>
      <c r="AU89" s="7">
        <v>34</v>
      </c>
      <c r="AV89" s="7" t="s">
        <v>148</v>
      </c>
      <c r="AW89" s="7">
        <v>46</v>
      </c>
      <c r="AX89" s="7" t="s">
        <v>149</v>
      </c>
      <c r="AY89" s="7">
        <v>34</v>
      </c>
      <c r="AZ89" s="7" t="s">
        <v>150</v>
      </c>
      <c r="BA89" s="7">
        <v>46</v>
      </c>
      <c r="BB89" s="7" t="s">
        <v>151</v>
      </c>
      <c r="BC89" s="7">
        <v>1</v>
      </c>
      <c r="BD89" s="7" t="s">
        <v>152</v>
      </c>
      <c r="BE89" s="7">
        <v>2</v>
      </c>
      <c r="BF89" s="7" t="s">
        <v>153</v>
      </c>
      <c r="BG89" s="7">
        <v>100</v>
      </c>
      <c r="BH89" s="7" t="s">
        <v>154</v>
      </c>
      <c r="BI89" s="7">
        <v>10</v>
      </c>
      <c r="BJ89" s="7" t="s">
        <v>155</v>
      </c>
      <c r="BK89" s="7">
        <v>250</v>
      </c>
      <c r="BL89" s="20"/>
      <c r="BM89" s="20"/>
      <c r="BN89" s="20">
        <v>1</v>
      </c>
      <c r="BO89" s="20">
        <v>2500</v>
      </c>
      <c r="BP89" s="20">
        <v>2</v>
      </c>
      <c r="BQ89" s="20">
        <v>2500</v>
      </c>
      <c r="BR89" s="20" t="s">
        <v>156</v>
      </c>
    </row>
    <row r="90" s="15" customFormat="1" ht="16.5" spans="1:70">
      <c r="A90" s="15">
        <f>60000000+INDEX(编号表!$B:$B,MATCH(I90,编号表!$A:$A,0))*10000+INDEX(编号表!$B:$B,MATCH(J90,编号表!$C:$C,0))*1000+K90</f>
        <v>60084000</v>
      </c>
      <c r="B90" s="15" t="s">
        <v>360</v>
      </c>
      <c r="C90" s="15" t="s">
        <v>356</v>
      </c>
      <c r="D90" s="15" t="s">
        <v>359</v>
      </c>
      <c r="E90" s="15">
        <v>23</v>
      </c>
      <c r="F90" s="15" t="str" cm="1">
        <f t="array" ref="F90">INDEX(编号表!$E:$E,MATCH(J90,编号表!$C:$C,0))</f>
        <v>橙色</v>
      </c>
      <c r="G90" s="15">
        <v>12</v>
      </c>
      <c r="H90" s="15" t="s">
        <v>348</v>
      </c>
      <c r="I90" s="15" t="s">
        <v>348</v>
      </c>
      <c r="J90" s="15" t="s">
        <v>233</v>
      </c>
      <c r="K90" s="15">
        <v>0</v>
      </c>
      <c r="L90" s="15">
        <f>COUNTIFS(I$11:I90,I90,J$11:J90,J90)-1</f>
        <v>0</v>
      </c>
      <c r="O90" s="7">
        <v>10</v>
      </c>
      <c r="P90" s="7">
        <v>300000</v>
      </c>
      <c r="Q90" s="15" t="s">
        <v>138</v>
      </c>
      <c r="R90" s="21">
        <v>40140003</v>
      </c>
      <c r="S90" s="15"/>
      <c r="T90" s="15"/>
      <c r="U90" s="15">
        <v>11010001</v>
      </c>
      <c r="V90" s="15">
        <v>11020001</v>
      </c>
      <c r="X90" s="15" t="s">
        <v>139</v>
      </c>
      <c r="Y90" s="15" t="s">
        <v>357</v>
      </c>
      <c r="Z90" s="7">
        <v>1.5</v>
      </c>
      <c r="AA90" s="7">
        <v>80</v>
      </c>
      <c r="AB90" s="7">
        <v>80</v>
      </c>
      <c r="AC90" s="7">
        <v>20</v>
      </c>
      <c r="AD90" s="7">
        <v>30</v>
      </c>
      <c r="AE90" s="15" t="s">
        <v>141</v>
      </c>
      <c r="AF90" s="15"/>
      <c r="AG90" s="22" t="s">
        <v>234</v>
      </c>
      <c r="AH90" s="15"/>
      <c r="AI90" s="23">
        <v>1900</v>
      </c>
      <c r="AJ90" s="15" t="s">
        <v>142</v>
      </c>
      <c r="AK90" s="24">
        <v>16000</v>
      </c>
      <c r="AL90" s="15" t="s">
        <v>143</v>
      </c>
      <c r="AM90" s="15">
        <v>17</v>
      </c>
      <c r="AN90" s="15" t="s">
        <v>144</v>
      </c>
      <c r="AO90" s="15">
        <v>25</v>
      </c>
      <c r="AP90" s="15" t="s">
        <v>145</v>
      </c>
      <c r="AQ90" s="15">
        <v>16</v>
      </c>
      <c r="AR90" s="15" t="s">
        <v>146</v>
      </c>
      <c r="AS90" s="15">
        <v>23</v>
      </c>
      <c r="AT90" s="15" t="s">
        <v>147</v>
      </c>
      <c r="AU90" s="15">
        <v>50</v>
      </c>
      <c r="AV90" s="15" t="s">
        <v>148</v>
      </c>
      <c r="AW90" s="15">
        <v>70</v>
      </c>
      <c r="AX90" s="15" t="s">
        <v>149</v>
      </c>
      <c r="AY90" s="15">
        <v>50</v>
      </c>
      <c r="AZ90" s="15" t="s">
        <v>150</v>
      </c>
      <c r="BA90" s="15">
        <v>70</v>
      </c>
      <c r="BB90" s="15" t="s">
        <v>151</v>
      </c>
      <c r="BC90" s="15">
        <v>1</v>
      </c>
      <c r="BD90" s="15" t="s">
        <v>152</v>
      </c>
      <c r="BE90" s="15">
        <v>2</v>
      </c>
      <c r="BF90" s="15" t="s">
        <v>153</v>
      </c>
      <c r="BG90" s="15">
        <v>100</v>
      </c>
      <c r="BH90" s="15" t="s">
        <v>154</v>
      </c>
      <c r="BI90" s="15">
        <v>10</v>
      </c>
      <c r="BJ90" s="15" t="s">
        <v>155</v>
      </c>
      <c r="BK90" s="7">
        <v>250</v>
      </c>
      <c r="BL90" s="25"/>
      <c r="BM90" s="25"/>
      <c r="BN90" s="20">
        <v>1</v>
      </c>
      <c r="BO90" s="20">
        <v>2500</v>
      </c>
      <c r="BP90" s="20">
        <v>2</v>
      </c>
      <c r="BQ90" s="20">
        <v>2500</v>
      </c>
      <c r="BR90" s="25" t="s">
        <v>156</v>
      </c>
    </row>
    <row r="91" s="15" customFormat="1" ht="16.5" spans="1:70">
      <c r="A91" s="15">
        <f>60000000+INDEX(编号表!$B:$B,MATCH(I91,编号表!$A:$A,0))*10000+INDEX(编号表!$B:$B,MATCH(J91,编号表!$C:$C,0))*1000+K91</f>
        <v>60084001</v>
      </c>
      <c r="B91" s="15" t="s">
        <v>361</v>
      </c>
      <c r="C91" s="15" t="s">
        <v>356</v>
      </c>
      <c r="D91" s="15" t="s">
        <v>359</v>
      </c>
      <c r="E91" s="15">
        <v>23</v>
      </c>
      <c r="F91" s="15" t="str" cm="1">
        <f t="array" ref="F91">INDEX(编号表!$E:$E,MATCH(J91,编号表!$C:$C,0))</f>
        <v>橙色</v>
      </c>
      <c r="G91" s="15">
        <v>12</v>
      </c>
      <c r="H91" s="15" t="s">
        <v>348</v>
      </c>
      <c r="I91" s="15" t="s">
        <v>348</v>
      </c>
      <c r="J91" s="15" t="s">
        <v>233</v>
      </c>
      <c r="K91" s="15">
        <v>1</v>
      </c>
      <c r="L91" s="15">
        <f>COUNTIFS(I$11:I91,I91,J$11:J91,J91)-1</f>
        <v>1</v>
      </c>
      <c r="O91" s="7">
        <v>10</v>
      </c>
      <c r="P91" s="7">
        <v>300000</v>
      </c>
      <c r="Q91" s="15" t="s">
        <v>138</v>
      </c>
      <c r="R91" s="21">
        <v>40140003</v>
      </c>
      <c r="S91" s="15"/>
      <c r="T91" s="15"/>
      <c r="U91" s="15">
        <v>11010001</v>
      </c>
      <c r="V91" s="15">
        <v>11020001</v>
      </c>
      <c r="X91" s="15" t="s">
        <v>139</v>
      </c>
      <c r="Y91" s="15" t="s">
        <v>357</v>
      </c>
      <c r="Z91" s="7">
        <v>1.5</v>
      </c>
      <c r="AA91" s="7">
        <v>80</v>
      </c>
      <c r="AB91" s="7">
        <v>80</v>
      </c>
      <c r="AC91" s="7">
        <v>20</v>
      </c>
      <c r="AD91" s="7">
        <v>30</v>
      </c>
      <c r="AE91" s="15" t="s">
        <v>141</v>
      </c>
      <c r="AF91" s="15"/>
      <c r="AG91" s="22" t="s">
        <v>234</v>
      </c>
      <c r="AH91" s="15"/>
      <c r="AI91" s="23">
        <v>1900</v>
      </c>
      <c r="AJ91" s="15" t="s">
        <v>142</v>
      </c>
      <c r="AK91" s="24">
        <v>16000</v>
      </c>
      <c r="AL91" s="15" t="s">
        <v>143</v>
      </c>
      <c r="AM91" s="15">
        <v>17</v>
      </c>
      <c r="AN91" s="15" t="s">
        <v>144</v>
      </c>
      <c r="AO91" s="15">
        <v>25</v>
      </c>
      <c r="AP91" s="15" t="s">
        <v>145</v>
      </c>
      <c r="AQ91" s="15">
        <v>16</v>
      </c>
      <c r="AR91" s="15" t="s">
        <v>146</v>
      </c>
      <c r="AS91" s="15">
        <v>23</v>
      </c>
      <c r="AT91" s="15" t="s">
        <v>147</v>
      </c>
      <c r="AU91" s="15">
        <v>50</v>
      </c>
      <c r="AV91" s="15" t="s">
        <v>148</v>
      </c>
      <c r="AW91" s="15">
        <v>70</v>
      </c>
      <c r="AX91" s="15" t="s">
        <v>149</v>
      </c>
      <c r="AY91" s="15">
        <v>50</v>
      </c>
      <c r="AZ91" s="15" t="s">
        <v>150</v>
      </c>
      <c r="BA91" s="15">
        <v>70</v>
      </c>
      <c r="BB91" s="15" t="s">
        <v>151</v>
      </c>
      <c r="BC91" s="15">
        <v>1</v>
      </c>
      <c r="BD91" s="15" t="s">
        <v>152</v>
      </c>
      <c r="BE91" s="15">
        <v>2</v>
      </c>
      <c r="BF91" s="15" t="s">
        <v>153</v>
      </c>
      <c r="BG91" s="15">
        <v>100</v>
      </c>
      <c r="BH91" s="15" t="s">
        <v>154</v>
      </c>
      <c r="BI91" s="15">
        <v>10</v>
      </c>
      <c r="BJ91" s="15" t="s">
        <v>155</v>
      </c>
      <c r="BK91" s="7">
        <v>250</v>
      </c>
      <c r="BL91" s="25"/>
      <c r="BM91" s="25"/>
      <c r="BN91" s="20">
        <v>1</v>
      </c>
      <c r="BO91" s="20">
        <v>2500</v>
      </c>
      <c r="BP91" s="20">
        <v>2</v>
      </c>
      <c r="BQ91" s="20">
        <v>2500</v>
      </c>
      <c r="BR91" s="25" t="s">
        <v>156</v>
      </c>
    </row>
    <row r="92" s="7" customFormat="1" ht="16.5" spans="1:70">
      <c r="A92" s="7">
        <f>60000000+INDEX(编号表!$B:$B,MATCH(I92,编号表!$A:$A,0))*10000+INDEX(编号表!$B:$B,MATCH(J92,编号表!$C:$C,0))*1000+K92</f>
        <v>60091000</v>
      </c>
      <c r="B92" s="7" t="s">
        <v>362</v>
      </c>
      <c r="C92" s="7" t="s">
        <v>330</v>
      </c>
      <c r="D92" s="7" t="s">
        <v>363</v>
      </c>
      <c r="E92" s="7">
        <v>23</v>
      </c>
      <c r="F92" s="7" t="str" cm="1">
        <f t="array" ref="F92">INDEX(编号表!$E:$E,MATCH(J92,编号表!$C:$C,0))</f>
        <v>白色</v>
      </c>
      <c r="G92" s="7">
        <v>13</v>
      </c>
      <c r="H92" s="7" t="s">
        <v>364</v>
      </c>
      <c r="I92" s="7" t="s">
        <v>364</v>
      </c>
      <c r="J92" s="7" t="s">
        <v>137</v>
      </c>
      <c r="K92" s="7">
        <v>0</v>
      </c>
      <c r="L92" s="7">
        <f>COUNTIFS(I$11:I92,I92,J$11:J92,J92)-1</f>
        <v>0</v>
      </c>
      <c r="O92" s="7">
        <v>10</v>
      </c>
      <c r="P92" s="7">
        <v>300000</v>
      </c>
      <c r="Q92" s="7" t="s">
        <v>138</v>
      </c>
      <c r="R92" s="21">
        <v>40140003</v>
      </c>
      <c r="S92" s="7"/>
      <c r="T92" s="7"/>
      <c r="U92" s="7">
        <v>11010001</v>
      </c>
      <c r="V92" s="7">
        <v>11020001</v>
      </c>
      <c r="X92" s="7" t="s">
        <v>139</v>
      </c>
      <c r="Y92" s="7" t="s">
        <v>332</v>
      </c>
      <c r="Z92" s="7">
        <v>0.5</v>
      </c>
      <c r="AA92" s="7">
        <v>50</v>
      </c>
      <c r="AB92" s="7">
        <v>50</v>
      </c>
      <c r="AC92" s="7">
        <v>20</v>
      </c>
      <c r="AD92" s="7">
        <v>30</v>
      </c>
      <c r="AE92" s="7" t="s">
        <v>141</v>
      </c>
      <c r="AF92" s="7"/>
      <c r="AG92" s="22"/>
      <c r="AI92" s="23">
        <v>97</v>
      </c>
      <c r="AJ92" s="7" t="s">
        <v>142</v>
      </c>
      <c r="AK92" s="24">
        <v>590</v>
      </c>
      <c r="AL92" s="7" t="s">
        <v>143</v>
      </c>
      <c r="AM92" s="7">
        <v>8</v>
      </c>
      <c r="AN92" s="7" t="s">
        <v>144</v>
      </c>
      <c r="AO92" s="7">
        <v>12</v>
      </c>
      <c r="AP92" s="7" t="s">
        <v>145</v>
      </c>
      <c r="AQ92" s="7">
        <v>8</v>
      </c>
      <c r="AR92" s="7" t="s">
        <v>146</v>
      </c>
      <c r="AS92" s="7">
        <v>11</v>
      </c>
      <c r="AT92" s="7" t="s">
        <v>147</v>
      </c>
      <c r="AU92" s="7">
        <v>19</v>
      </c>
      <c r="AV92" s="7" t="s">
        <v>148</v>
      </c>
      <c r="AW92" s="7">
        <v>25</v>
      </c>
      <c r="AX92" s="7" t="s">
        <v>149</v>
      </c>
      <c r="AY92" s="7">
        <v>19</v>
      </c>
      <c r="AZ92" s="7" t="s">
        <v>150</v>
      </c>
      <c r="BA92" s="7">
        <v>25</v>
      </c>
      <c r="BB92" s="7" t="s">
        <v>151</v>
      </c>
      <c r="BC92" s="7">
        <v>1</v>
      </c>
      <c r="BD92" s="7" t="s">
        <v>152</v>
      </c>
      <c r="BE92" s="7">
        <v>2</v>
      </c>
      <c r="BF92" s="7" t="s">
        <v>153</v>
      </c>
      <c r="BG92" s="7">
        <v>100</v>
      </c>
      <c r="BH92" s="7" t="s">
        <v>154</v>
      </c>
      <c r="BI92" s="7">
        <v>10</v>
      </c>
      <c r="BJ92" s="7" t="s">
        <v>155</v>
      </c>
      <c r="BK92" s="7">
        <v>250</v>
      </c>
      <c r="BL92" s="20"/>
      <c r="BM92" s="20"/>
      <c r="BN92" s="20">
        <v>1</v>
      </c>
      <c r="BO92" s="20">
        <v>2500</v>
      </c>
      <c r="BP92" s="20">
        <v>2</v>
      </c>
      <c r="BQ92" s="20">
        <v>2500</v>
      </c>
      <c r="BR92" s="20" t="s">
        <v>156</v>
      </c>
    </row>
    <row r="93" s="7" customFormat="1" ht="16.5" spans="1:70">
      <c r="A93" s="7">
        <f>60000000+INDEX(编号表!$B:$B,MATCH(I93,编号表!$A:$A,0))*10000+INDEX(编号表!$B:$B,MATCH(J93,编号表!$C:$C,0))*1000+K93</f>
        <v>60091001</v>
      </c>
      <c r="B93" s="7" t="s">
        <v>365</v>
      </c>
      <c r="C93" s="7" t="s">
        <v>334</v>
      </c>
      <c r="D93" s="7" t="s">
        <v>366</v>
      </c>
      <c r="E93" s="7">
        <v>23</v>
      </c>
      <c r="F93" s="7" t="str" cm="1">
        <f t="array" ref="F93">INDEX(编号表!$E:$E,MATCH(J93,编号表!$C:$C,0))</f>
        <v>白色</v>
      </c>
      <c r="G93" s="7">
        <v>13</v>
      </c>
      <c r="H93" s="7" t="s">
        <v>364</v>
      </c>
      <c r="I93" s="7" t="s">
        <v>364</v>
      </c>
      <c r="J93" s="7" t="s">
        <v>137</v>
      </c>
      <c r="K93" s="7">
        <v>1</v>
      </c>
      <c r="L93" s="7">
        <f>COUNTIFS(I$11:I93,I93,J$11:J93,J93)-1</f>
        <v>1</v>
      </c>
      <c r="O93" s="7">
        <v>10</v>
      </c>
      <c r="P93" s="7">
        <v>300000</v>
      </c>
      <c r="Q93" s="7" t="s">
        <v>138</v>
      </c>
      <c r="R93" s="21">
        <v>40140003</v>
      </c>
      <c r="S93" s="7"/>
      <c r="T93" s="7"/>
      <c r="U93" s="7">
        <v>11010001</v>
      </c>
      <c r="V93" s="7">
        <v>11020001</v>
      </c>
      <c r="X93" s="7" t="s">
        <v>139</v>
      </c>
      <c r="Y93" s="7" t="s">
        <v>335</v>
      </c>
      <c r="Z93" s="7">
        <v>0.5</v>
      </c>
      <c r="AA93" s="7">
        <v>50</v>
      </c>
      <c r="AB93" s="7">
        <v>50</v>
      </c>
      <c r="AC93" s="7">
        <v>20</v>
      </c>
      <c r="AD93" s="7">
        <v>30</v>
      </c>
      <c r="AE93" s="7" t="s">
        <v>141</v>
      </c>
      <c r="AF93" s="7"/>
      <c r="AG93" s="22"/>
      <c r="AI93" s="23">
        <v>97</v>
      </c>
      <c r="AJ93" s="7" t="s">
        <v>142</v>
      </c>
      <c r="AK93" s="24">
        <v>470</v>
      </c>
      <c r="AL93" s="7" t="s">
        <v>143</v>
      </c>
      <c r="AM93" s="7">
        <v>7</v>
      </c>
      <c r="AN93" s="7" t="s">
        <v>144</v>
      </c>
      <c r="AO93" s="7">
        <v>10</v>
      </c>
      <c r="AP93" s="7" t="s">
        <v>145</v>
      </c>
      <c r="AQ93" s="7">
        <v>6</v>
      </c>
      <c r="AR93" s="7" t="s">
        <v>146</v>
      </c>
      <c r="AS93" s="7">
        <v>9</v>
      </c>
      <c r="AT93" s="7" t="s">
        <v>147</v>
      </c>
      <c r="AU93" s="7">
        <v>21</v>
      </c>
      <c r="AV93" s="7" t="s">
        <v>148</v>
      </c>
      <c r="AW93" s="7">
        <v>28</v>
      </c>
      <c r="AX93" s="7" t="s">
        <v>149</v>
      </c>
      <c r="AY93" s="7">
        <v>21</v>
      </c>
      <c r="AZ93" s="7" t="s">
        <v>150</v>
      </c>
      <c r="BA93" s="7">
        <v>28</v>
      </c>
      <c r="BB93" s="7" t="s">
        <v>151</v>
      </c>
      <c r="BC93" s="7">
        <v>1</v>
      </c>
      <c r="BD93" s="7" t="s">
        <v>152</v>
      </c>
      <c r="BE93" s="7">
        <v>2</v>
      </c>
      <c r="BF93" s="7" t="s">
        <v>153</v>
      </c>
      <c r="BG93" s="7">
        <v>100</v>
      </c>
      <c r="BH93" s="7" t="s">
        <v>154</v>
      </c>
      <c r="BI93" s="7">
        <v>10</v>
      </c>
      <c r="BJ93" s="7" t="s">
        <v>155</v>
      </c>
      <c r="BK93" s="7">
        <v>250</v>
      </c>
      <c r="BL93" s="20"/>
      <c r="BM93" s="20"/>
      <c r="BN93" s="20">
        <v>1</v>
      </c>
      <c r="BO93" s="20">
        <v>2500</v>
      </c>
      <c r="BP93" s="20">
        <v>2</v>
      </c>
      <c r="BQ93" s="20">
        <v>2500</v>
      </c>
      <c r="BR93" s="20" t="s">
        <v>156</v>
      </c>
    </row>
    <row r="94" s="7" customFormat="1" ht="16.5" spans="1:70">
      <c r="A94" s="7">
        <f>60000000+INDEX(编号表!$B:$B,MATCH(I94,编号表!$A:$A,0))*10000+INDEX(编号表!$B:$B,MATCH(J94,编号表!$C:$C,0))*1000+K94</f>
        <v>60091002</v>
      </c>
      <c r="B94" s="7" t="s">
        <v>367</v>
      </c>
      <c r="C94" s="7" t="s">
        <v>337</v>
      </c>
      <c r="D94" s="7" t="s">
        <v>368</v>
      </c>
      <c r="E94" s="7">
        <v>23</v>
      </c>
      <c r="F94" s="7" t="str" cm="1">
        <f t="array" ref="F94">INDEX(编号表!$E:$E,MATCH(J94,编号表!$C:$C,0))</f>
        <v>白色</v>
      </c>
      <c r="G94" s="7">
        <v>13</v>
      </c>
      <c r="H94" s="7" t="s">
        <v>364</v>
      </c>
      <c r="I94" s="7" t="s">
        <v>364</v>
      </c>
      <c r="J94" s="7" t="s">
        <v>137</v>
      </c>
      <c r="K94" s="7">
        <v>2</v>
      </c>
      <c r="L94" s="7">
        <f>COUNTIFS(I$11:I94,I94,J$11:J94,J94)-1</f>
        <v>2</v>
      </c>
      <c r="O94" s="7">
        <v>10</v>
      </c>
      <c r="P94" s="7">
        <v>300000</v>
      </c>
      <c r="Q94" s="7" t="s">
        <v>138</v>
      </c>
      <c r="R94" s="21">
        <v>40140003</v>
      </c>
      <c r="S94" s="7"/>
      <c r="T94" s="7"/>
      <c r="U94" s="7">
        <v>11010001</v>
      </c>
      <c r="V94" s="7">
        <v>11020001</v>
      </c>
      <c r="X94" s="7" t="s">
        <v>139</v>
      </c>
      <c r="Y94" s="7" t="s">
        <v>338</v>
      </c>
      <c r="Z94" s="7">
        <v>0.5</v>
      </c>
      <c r="AA94" s="7">
        <v>50</v>
      </c>
      <c r="AB94" s="7">
        <v>50</v>
      </c>
      <c r="AC94" s="7">
        <v>20</v>
      </c>
      <c r="AD94" s="7">
        <v>30</v>
      </c>
      <c r="AE94" s="7" t="s">
        <v>141</v>
      </c>
      <c r="AF94" s="7"/>
      <c r="AG94" s="22"/>
      <c r="AI94" s="23">
        <v>97</v>
      </c>
      <c r="AJ94" s="7" t="s">
        <v>142</v>
      </c>
      <c r="AK94" s="24">
        <v>630</v>
      </c>
      <c r="AL94" s="7" t="s">
        <v>143</v>
      </c>
      <c r="AM94" s="7">
        <v>9</v>
      </c>
      <c r="AN94" s="7" t="s">
        <v>144</v>
      </c>
      <c r="AO94" s="7">
        <v>13</v>
      </c>
      <c r="AP94" s="7" t="s">
        <v>145</v>
      </c>
      <c r="AQ94" s="7">
        <v>9</v>
      </c>
      <c r="AR94" s="7" t="s">
        <v>146</v>
      </c>
      <c r="AS94" s="7">
        <v>12</v>
      </c>
      <c r="AT94" s="7" t="s">
        <v>147</v>
      </c>
      <c r="AU94" s="7">
        <v>20</v>
      </c>
      <c r="AV94" s="7" t="s">
        <v>148</v>
      </c>
      <c r="AW94" s="7">
        <v>27</v>
      </c>
      <c r="AX94" s="7" t="s">
        <v>149</v>
      </c>
      <c r="AY94" s="7">
        <v>20</v>
      </c>
      <c r="AZ94" s="7" t="s">
        <v>150</v>
      </c>
      <c r="BA94" s="7">
        <v>27</v>
      </c>
      <c r="BB94" s="7" t="s">
        <v>151</v>
      </c>
      <c r="BC94" s="7">
        <v>1</v>
      </c>
      <c r="BD94" s="7" t="s">
        <v>152</v>
      </c>
      <c r="BE94" s="7">
        <v>2</v>
      </c>
      <c r="BF94" s="7" t="s">
        <v>153</v>
      </c>
      <c r="BG94" s="7">
        <v>100</v>
      </c>
      <c r="BH94" s="7" t="s">
        <v>154</v>
      </c>
      <c r="BI94" s="7">
        <v>10</v>
      </c>
      <c r="BJ94" s="7" t="s">
        <v>155</v>
      </c>
      <c r="BK94" s="7">
        <v>250</v>
      </c>
      <c r="BL94" s="20"/>
      <c r="BM94" s="20"/>
      <c r="BN94" s="20">
        <v>1</v>
      </c>
      <c r="BO94" s="20">
        <v>2500</v>
      </c>
      <c r="BP94" s="20">
        <v>2</v>
      </c>
      <c r="BQ94" s="20">
        <v>2500</v>
      </c>
      <c r="BR94" s="20" t="s">
        <v>156</v>
      </c>
    </row>
    <row r="95" s="7" customFormat="1" ht="16.5" spans="1:70">
      <c r="A95" s="7">
        <f>60000000+INDEX(编号表!$B:$B,MATCH(I95,编号表!$A:$A,0))*10000+INDEX(编号表!$B:$B,MATCH(J95,编号表!$C:$C,0))*1000+K95</f>
        <v>60091003</v>
      </c>
      <c r="B95" s="7" t="s">
        <v>369</v>
      </c>
      <c r="C95" s="7" t="s">
        <v>340</v>
      </c>
      <c r="D95" s="7" t="s">
        <v>370</v>
      </c>
      <c r="E95" s="7">
        <v>23</v>
      </c>
      <c r="F95" s="7" t="str" cm="1">
        <f t="array" ref="F95">INDEX(编号表!$E:$E,MATCH(J95,编号表!$C:$C,0))</f>
        <v>白色</v>
      </c>
      <c r="G95" s="7">
        <v>13</v>
      </c>
      <c r="H95" s="7" t="s">
        <v>364</v>
      </c>
      <c r="I95" s="7" t="s">
        <v>364</v>
      </c>
      <c r="J95" s="7" t="s">
        <v>137</v>
      </c>
      <c r="K95" s="7">
        <v>3</v>
      </c>
      <c r="L95" s="7">
        <f>COUNTIFS(I$11:I95,I95,J$11:J95,J95)-1</f>
        <v>3</v>
      </c>
      <c r="O95" s="7">
        <v>10</v>
      </c>
      <c r="P95" s="7">
        <v>300000</v>
      </c>
      <c r="Q95" s="7" t="s">
        <v>138</v>
      </c>
      <c r="R95" s="21">
        <v>40140003</v>
      </c>
      <c r="S95" s="7"/>
      <c r="T95" s="7"/>
      <c r="U95" s="7">
        <v>11010001</v>
      </c>
      <c r="V95" s="7">
        <v>11020001</v>
      </c>
      <c r="X95" s="7" t="s">
        <v>139</v>
      </c>
      <c r="Y95" s="7" t="s">
        <v>341</v>
      </c>
      <c r="Z95" s="7">
        <v>0.5</v>
      </c>
      <c r="AA95" s="7">
        <v>50</v>
      </c>
      <c r="AB95" s="7">
        <v>50</v>
      </c>
      <c r="AC95" s="7">
        <v>20</v>
      </c>
      <c r="AD95" s="7">
        <v>30</v>
      </c>
      <c r="AE95" s="7" t="s">
        <v>141</v>
      </c>
      <c r="AF95" s="7"/>
      <c r="AG95" s="22"/>
      <c r="AI95" s="23">
        <v>97</v>
      </c>
      <c r="AJ95" s="7" t="s">
        <v>142</v>
      </c>
      <c r="AK95" s="24">
        <v>720</v>
      </c>
      <c r="AL95" s="7" t="s">
        <v>143</v>
      </c>
      <c r="AM95" s="7">
        <v>11</v>
      </c>
      <c r="AN95" s="7" t="s">
        <v>144</v>
      </c>
      <c r="AO95" s="7">
        <v>15</v>
      </c>
      <c r="AP95" s="7" t="s">
        <v>145</v>
      </c>
      <c r="AQ95" s="7">
        <v>10</v>
      </c>
      <c r="AR95" s="7" t="s">
        <v>146</v>
      </c>
      <c r="AS95" s="7">
        <v>14</v>
      </c>
      <c r="AT95" s="7" t="s">
        <v>147</v>
      </c>
      <c r="AU95" s="7">
        <v>21</v>
      </c>
      <c r="AV95" s="7" t="s">
        <v>148</v>
      </c>
      <c r="AW95" s="7">
        <v>28</v>
      </c>
      <c r="AX95" s="7" t="s">
        <v>149</v>
      </c>
      <c r="AY95" s="7">
        <v>21</v>
      </c>
      <c r="AZ95" s="7" t="s">
        <v>150</v>
      </c>
      <c r="BA95" s="7">
        <v>28</v>
      </c>
      <c r="BB95" s="7" t="s">
        <v>151</v>
      </c>
      <c r="BC95" s="7">
        <v>1</v>
      </c>
      <c r="BD95" s="7" t="s">
        <v>152</v>
      </c>
      <c r="BE95" s="7">
        <v>2</v>
      </c>
      <c r="BF95" s="7" t="s">
        <v>153</v>
      </c>
      <c r="BG95" s="7">
        <v>100</v>
      </c>
      <c r="BH95" s="7" t="s">
        <v>154</v>
      </c>
      <c r="BI95" s="7">
        <v>10</v>
      </c>
      <c r="BJ95" s="7" t="s">
        <v>155</v>
      </c>
      <c r="BK95" s="7">
        <v>250</v>
      </c>
      <c r="BL95" s="20"/>
      <c r="BM95" s="20"/>
      <c r="BN95" s="20">
        <v>1</v>
      </c>
      <c r="BO95" s="20">
        <v>2500</v>
      </c>
      <c r="BP95" s="20">
        <v>2</v>
      </c>
      <c r="BQ95" s="20">
        <v>2500</v>
      </c>
      <c r="BR95" s="20" t="s">
        <v>156</v>
      </c>
    </row>
    <row r="96" s="7" customFormat="1" ht="16.5" spans="1:70">
      <c r="A96" s="7">
        <f>60000000+INDEX(编号表!$B:$B,MATCH(I96,编号表!$A:$A,0))*10000+INDEX(编号表!$B:$B,MATCH(J96,编号表!$C:$C,0))*1000+K96</f>
        <v>60091004</v>
      </c>
      <c r="B96" s="7" t="s">
        <v>371</v>
      </c>
      <c r="C96" s="7" t="s">
        <v>356</v>
      </c>
      <c r="D96" s="7" t="s">
        <v>372</v>
      </c>
      <c r="E96" s="7">
        <v>23</v>
      </c>
      <c r="F96" s="7" t="str" cm="1">
        <f t="array" ref="F96">INDEX(编号表!$E:$E,MATCH(J96,编号表!$C:$C,0))</f>
        <v>白色</v>
      </c>
      <c r="G96" s="7">
        <v>13</v>
      </c>
      <c r="H96" s="7" t="s">
        <v>364</v>
      </c>
      <c r="I96" s="7" t="s">
        <v>364</v>
      </c>
      <c r="J96" s="7" t="s">
        <v>137</v>
      </c>
      <c r="K96" s="7">
        <v>4</v>
      </c>
      <c r="L96" s="7">
        <f>COUNTIFS(I$11:I96,I96,J$11:J96,J96)-1</f>
        <v>4</v>
      </c>
      <c r="O96" s="7">
        <v>10</v>
      </c>
      <c r="P96" s="7">
        <v>300000</v>
      </c>
      <c r="Q96" s="7" t="s">
        <v>138</v>
      </c>
      <c r="R96" s="21">
        <v>40140003</v>
      </c>
      <c r="S96" s="7"/>
      <c r="T96" s="7"/>
      <c r="U96" s="7">
        <v>11010001</v>
      </c>
      <c r="V96" s="7">
        <v>11020001</v>
      </c>
      <c r="X96" s="7" t="s">
        <v>139</v>
      </c>
      <c r="Y96" s="7" t="s">
        <v>357</v>
      </c>
      <c r="Z96" s="7">
        <v>0.5</v>
      </c>
      <c r="AA96" s="7">
        <v>50</v>
      </c>
      <c r="AB96" s="7">
        <v>50</v>
      </c>
      <c r="AC96" s="7">
        <v>20</v>
      </c>
      <c r="AD96" s="7">
        <v>30</v>
      </c>
      <c r="AE96" s="7" t="s">
        <v>141</v>
      </c>
      <c r="AF96" s="7"/>
      <c r="AG96" s="22"/>
      <c r="AI96" s="23">
        <v>97</v>
      </c>
      <c r="AJ96" s="7" t="s">
        <v>142</v>
      </c>
      <c r="AK96" s="24">
        <v>680</v>
      </c>
      <c r="AL96" s="7" t="s">
        <v>143</v>
      </c>
      <c r="AM96" s="7">
        <v>10</v>
      </c>
      <c r="AN96" s="7" t="s">
        <v>144</v>
      </c>
      <c r="AO96" s="7">
        <v>14</v>
      </c>
      <c r="AP96" s="7" t="s">
        <v>145</v>
      </c>
      <c r="AQ96" s="7">
        <v>9</v>
      </c>
      <c r="AR96" s="7" t="s">
        <v>146</v>
      </c>
      <c r="AS96" s="7">
        <v>13</v>
      </c>
      <c r="AT96" s="7" t="s">
        <v>147</v>
      </c>
      <c r="AU96" s="7">
        <v>20</v>
      </c>
      <c r="AV96" s="7" t="s">
        <v>148</v>
      </c>
      <c r="AW96" s="7">
        <v>27</v>
      </c>
      <c r="AX96" s="7" t="s">
        <v>149</v>
      </c>
      <c r="AY96" s="7">
        <v>20</v>
      </c>
      <c r="AZ96" s="7" t="s">
        <v>150</v>
      </c>
      <c r="BA96" s="7">
        <v>27</v>
      </c>
      <c r="BB96" s="7" t="s">
        <v>151</v>
      </c>
      <c r="BC96" s="7">
        <v>1</v>
      </c>
      <c r="BD96" s="7" t="s">
        <v>152</v>
      </c>
      <c r="BE96" s="7">
        <v>2</v>
      </c>
      <c r="BF96" s="7" t="s">
        <v>153</v>
      </c>
      <c r="BG96" s="7">
        <v>100</v>
      </c>
      <c r="BH96" s="7" t="s">
        <v>154</v>
      </c>
      <c r="BI96" s="7">
        <v>10</v>
      </c>
      <c r="BJ96" s="7" t="s">
        <v>155</v>
      </c>
      <c r="BK96" s="7">
        <v>250</v>
      </c>
      <c r="BL96" s="20"/>
      <c r="BM96" s="20"/>
      <c r="BN96" s="20">
        <v>1</v>
      </c>
      <c r="BO96" s="20">
        <v>2500</v>
      </c>
      <c r="BP96" s="20">
        <v>2</v>
      </c>
      <c r="BQ96" s="20">
        <v>2500</v>
      </c>
      <c r="BR96" s="20" t="s">
        <v>156</v>
      </c>
    </row>
    <row r="97" s="7" customFormat="1" ht="16.5" spans="1:70">
      <c r="A97" s="7">
        <f>60000000+INDEX(编号表!$B:$B,MATCH(I97,编号表!$A:$A,0))*10000+INDEX(编号表!$B:$B,MATCH(J97,编号表!$C:$C,0))*1000+K97</f>
        <v>60092000</v>
      </c>
      <c r="B97" s="7" t="s">
        <v>373</v>
      </c>
      <c r="C97" s="7" t="s">
        <v>340</v>
      </c>
      <c r="D97" s="7" t="s">
        <v>374</v>
      </c>
      <c r="E97" s="7">
        <v>24</v>
      </c>
      <c r="F97" s="7" t="str" cm="1">
        <f t="array" ref="F97">INDEX(编号表!$E:$E,MATCH(J97,编号表!$C:$C,0))</f>
        <v>绿色</v>
      </c>
      <c r="G97" s="7">
        <v>13</v>
      </c>
      <c r="H97" s="7" t="s">
        <v>364</v>
      </c>
      <c r="I97" s="7" t="s">
        <v>364</v>
      </c>
      <c r="J97" s="7" t="s">
        <v>221</v>
      </c>
      <c r="K97" s="7">
        <v>0</v>
      </c>
      <c r="L97" s="7">
        <f>COUNTIFS(I$11:I97,I97,J$11:J97,J97)-1</f>
        <v>0</v>
      </c>
      <c r="O97" s="7">
        <v>10</v>
      </c>
      <c r="P97" s="7">
        <v>300000</v>
      </c>
      <c r="Q97" s="7" t="s">
        <v>138</v>
      </c>
      <c r="R97" s="21">
        <v>40140003</v>
      </c>
      <c r="S97" s="7"/>
      <c r="T97" s="7"/>
      <c r="U97" s="7">
        <v>11010001</v>
      </c>
      <c r="V97" s="7">
        <v>11020001</v>
      </c>
      <c r="X97" s="7" t="s">
        <v>139</v>
      </c>
      <c r="Y97" s="7" t="s">
        <v>341</v>
      </c>
      <c r="Z97" s="7">
        <v>0.5</v>
      </c>
      <c r="AA97" s="7">
        <v>50</v>
      </c>
      <c r="AB97" s="7">
        <v>50</v>
      </c>
      <c r="AC97" s="7">
        <v>20</v>
      </c>
      <c r="AD97" s="7">
        <v>30</v>
      </c>
      <c r="AE97" s="7" t="s">
        <v>141</v>
      </c>
      <c r="AF97" s="7"/>
      <c r="AG97" s="22" t="s">
        <v>222</v>
      </c>
      <c r="AI97" s="23">
        <v>410</v>
      </c>
      <c r="AJ97" s="7" t="s">
        <v>142</v>
      </c>
      <c r="AK97" s="24">
        <v>3800</v>
      </c>
      <c r="AL97" s="7" t="s">
        <v>143</v>
      </c>
      <c r="AM97" s="7">
        <v>16</v>
      </c>
      <c r="AN97" s="7" t="s">
        <v>144</v>
      </c>
      <c r="AO97" s="7">
        <v>22</v>
      </c>
      <c r="AP97" s="7" t="s">
        <v>145</v>
      </c>
      <c r="AQ97" s="7">
        <v>15</v>
      </c>
      <c r="AR97" s="7" t="s">
        <v>146</v>
      </c>
      <c r="AS97" s="7">
        <v>21</v>
      </c>
      <c r="AT97" s="7" t="s">
        <v>147</v>
      </c>
      <c r="AU97" s="7">
        <v>39</v>
      </c>
      <c r="AV97" s="7" t="s">
        <v>148</v>
      </c>
      <c r="AW97" s="7">
        <v>55</v>
      </c>
      <c r="AX97" s="7" t="s">
        <v>149</v>
      </c>
      <c r="AY97" s="7">
        <v>39</v>
      </c>
      <c r="AZ97" s="7" t="s">
        <v>150</v>
      </c>
      <c r="BA97" s="7">
        <v>55</v>
      </c>
      <c r="BB97" s="7" t="s">
        <v>151</v>
      </c>
      <c r="BC97" s="7">
        <v>1</v>
      </c>
      <c r="BD97" s="7" t="s">
        <v>152</v>
      </c>
      <c r="BE97" s="7">
        <v>2</v>
      </c>
      <c r="BF97" s="7" t="s">
        <v>153</v>
      </c>
      <c r="BG97" s="7">
        <v>100</v>
      </c>
      <c r="BH97" s="7" t="s">
        <v>154</v>
      </c>
      <c r="BI97" s="7">
        <v>10</v>
      </c>
      <c r="BJ97" s="7" t="s">
        <v>155</v>
      </c>
      <c r="BK97" s="7">
        <v>250</v>
      </c>
      <c r="BL97" s="20"/>
      <c r="BM97" s="20"/>
      <c r="BN97" s="20">
        <v>1</v>
      </c>
      <c r="BO97" s="20">
        <v>2500</v>
      </c>
      <c r="BP97" s="20">
        <v>2</v>
      </c>
      <c r="BQ97" s="20">
        <v>2500</v>
      </c>
      <c r="BR97" s="20" t="s">
        <v>156</v>
      </c>
    </row>
    <row r="98" s="7" customFormat="1" ht="16.5" spans="1:70">
      <c r="A98" s="7">
        <f>60000000+INDEX(编号表!$B:$B,MATCH(I98,编号表!$A:$A,0))*10000+INDEX(编号表!$B:$B,MATCH(J98,编号表!$C:$C,0))*1000+K98</f>
        <v>60092001</v>
      </c>
      <c r="B98" s="7" t="s">
        <v>375</v>
      </c>
      <c r="C98" s="7" t="s">
        <v>356</v>
      </c>
      <c r="D98" s="7" t="s">
        <v>376</v>
      </c>
      <c r="E98" s="7">
        <v>24</v>
      </c>
      <c r="F98" s="7" t="str" cm="1">
        <f t="array" ref="F98">INDEX(编号表!$E:$E,MATCH(J98,编号表!$C:$C,0))</f>
        <v>绿色</v>
      </c>
      <c r="G98" s="7">
        <v>13</v>
      </c>
      <c r="H98" s="7" t="s">
        <v>364</v>
      </c>
      <c r="I98" s="7" t="s">
        <v>364</v>
      </c>
      <c r="J98" s="7" t="s">
        <v>221</v>
      </c>
      <c r="K98" s="7">
        <v>1</v>
      </c>
      <c r="L98" s="7">
        <f>COUNTIFS(I$11:I98,I98,J$11:J98,J98)-1</f>
        <v>1</v>
      </c>
      <c r="O98" s="7">
        <v>10</v>
      </c>
      <c r="P98" s="7">
        <v>300000</v>
      </c>
      <c r="Q98" s="7" t="s">
        <v>138</v>
      </c>
      <c r="R98" s="21">
        <v>40140003</v>
      </c>
      <c r="S98" s="7"/>
      <c r="T98" s="7"/>
      <c r="U98" s="7">
        <v>11010001</v>
      </c>
      <c r="V98" s="7">
        <v>11020001</v>
      </c>
      <c r="X98" s="7" t="s">
        <v>139</v>
      </c>
      <c r="Y98" s="7" t="s">
        <v>357</v>
      </c>
      <c r="Z98" s="7">
        <v>0.5</v>
      </c>
      <c r="AA98" s="7">
        <v>50</v>
      </c>
      <c r="AB98" s="7">
        <v>50</v>
      </c>
      <c r="AC98" s="7">
        <v>20</v>
      </c>
      <c r="AD98" s="7">
        <v>30</v>
      </c>
      <c r="AE98" s="7" t="s">
        <v>141</v>
      </c>
      <c r="AF98" s="7"/>
      <c r="AG98" s="22" t="s">
        <v>222</v>
      </c>
      <c r="AI98" s="23">
        <v>410</v>
      </c>
      <c r="AJ98" s="7" t="s">
        <v>142</v>
      </c>
      <c r="AK98" s="24">
        <v>3600</v>
      </c>
      <c r="AL98" s="7" t="s">
        <v>143</v>
      </c>
      <c r="AM98" s="7">
        <v>14</v>
      </c>
      <c r="AN98" s="7" t="s">
        <v>144</v>
      </c>
      <c r="AO98" s="7">
        <v>20</v>
      </c>
      <c r="AP98" s="7" t="s">
        <v>145</v>
      </c>
      <c r="AQ98" s="7">
        <v>13</v>
      </c>
      <c r="AR98" s="7" t="s">
        <v>146</v>
      </c>
      <c r="AS98" s="7">
        <v>19</v>
      </c>
      <c r="AT98" s="7" t="s">
        <v>147</v>
      </c>
      <c r="AU98" s="7">
        <v>37</v>
      </c>
      <c r="AV98" s="7" t="s">
        <v>148</v>
      </c>
      <c r="AW98" s="7">
        <v>50</v>
      </c>
      <c r="AX98" s="7" t="s">
        <v>149</v>
      </c>
      <c r="AY98" s="7">
        <v>37</v>
      </c>
      <c r="AZ98" s="7" t="s">
        <v>150</v>
      </c>
      <c r="BA98" s="7">
        <v>50</v>
      </c>
      <c r="BB98" s="7" t="s">
        <v>151</v>
      </c>
      <c r="BC98" s="7">
        <v>1</v>
      </c>
      <c r="BD98" s="7" t="s">
        <v>152</v>
      </c>
      <c r="BE98" s="7">
        <v>2</v>
      </c>
      <c r="BF98" s="7" t="s">
        <v>153</v>
      </c>
      <c r="BG98" s="7">
        <v>100</v>
      </c>
      <c r="BH98" s="7" t="s">
        <v>154</v>
      </c>
      <c r="BI98" s="7">
        <v>10</v>
      </c>
      <c r="BJ98" s="7" t="s">
        <v>155</v>
      </c>
      <c r="BK98" s="7">
        <v>250</v>
      </c>
      <c r="BL98" s="20"/>
      <c r="BM98" s="20"/>
      <c r="BN98" s="20">
        <v>1</v>
      </c>
      <c r="BO98" s="20">
        <v>2500</v>
      </c>
      <c r="BP98" s="20">
        <v>2</v>
      </c>
      <c r="BQ98" s="20">
        <v>2500</v>
      </c>
      <c r="BR98" s="20" t="s">
        <v>156</v>
      </c>
    </row>
    <row r="99" s="17" customFormat="1" ht="16.5" spans="1:70">
      <c r="A99" s="17">
        <f>60000000+INDEX(编号表!$B:$B,MATCH(I99,编号表!$A:$A,0))*10000+INDEX(编号表!$B:$B,MATCH(J99,编号表!$C:$C,0))*1000+K99</f>
        <v>60094000</v>
      </c>
      <c r="B99" s="17" t="s">
        <v>377</v>
      </c>
      <c r="C99" s="17" t="s">
        <v>378</v>
      </c>
      <c r="D99" s="17" t="s">
        <v>378</v>
      </c>
      <c r="E99" s="17">
        <v>25</v>
      </c>
      <c r="F99" s="17" t="str" cm="1">
        <f t="array" ref="F99">INDEX(编号表!$E:$E,MATCH(J99,编号表!$C:$C,0))</f>
        <v>橙色</v>
      </c>
      <c r="G99" s="17">
        <v>13</v>
      </c>
      <c r="H99" s="17" t="s">
        <v>364</v>
      </c>
      <c r="I99" s="17" t="s">
        <v>364</v>
      </c>
      <c r="J99" s="17" t="s">
        <v>233</v>
      </c>
      <c r="K99" s="17">
        <v>0</v>
      </c>
      <c r="L99" s="17">
        <f>COUNTIFS(I$11:I99,I99,J$11:J99,J99)-1</f>
        <v>0</v>
      </c>
      <c r="O99" s="7">
        <v>10</v>
      </c>
      <c r="P99" s="7">
        <v>300000</v>
      </c>
      <c r="Q99" s="17" t="s">
        <v>138</v>
      </c>
      <c r="R99" s="21">
        <v>40140003</v>
      </c>
      <c r="S99" s="17"/>
      <c r="T99" s="17"/>
      <c r="U99" s="17">
        <v>11010001</v>
      </c>
      <c r="V99" s="17">
        <v>11020001</v>
      </c>
      <c r="X99" s="17" t="s">
        <v>139</v>
      </c>
      <c r="Y99" s="17" t="s">
        <v>379</v>
      </c>
      <c r="Z99" s="7">
        <v>1.5</v>
      </c>
      <c r="AA99" s="7">
        <v>50</v>
      </c>
      <c r="AB99" s="7">
        <v>50</v>
      </c>
      <c r="AC99" s="7">
        <v>20</v>
      </c>
      <c r="AD99" s="7">
        <v>30</v>
      </c>
      <c r="AE99" s="17" t="s">
        <v>141</v>
      </c>
      <c r="AF99" s="17"/>
      <c r="AG99" s="22" t="s">
        <v>234</v>
      </c>
      <c r="AH99" s="17"/>
      <c r="AI99" s="23">
        <v>2200</v>
      </c>
      <c r="AJ99" s="17" t="s">
        <v>142</v>
      </c>
      <c r="AK99" s="24">
        <v>28000</v>
      </c>
      <c r="AL99" s="17" t="s">
        <v>143</v>
      </c>
      <c r="AM99" s="17">
        <v>23</v>
      </c>
      <c r="AN99" s="17" t="s">
        <v>144</v>
      </c>
      <c r="AO99" s="17">
        <v>32</v>
      </c>
      <c r="AP99" s="17" t="s">
        <v>145</v>
      </c>
      <c r="AQ99" s="17">
        <v>21</v>
      </c>
      <c r="AR99" s="17" t="s">
        <v>146</v>
      </c>
      <c r="AS99" s="17">
        <v>31</v>
      </c>
      <c r="AT99" s="17" t="s">
        <v>147</v>
      </c>
      <c r="AU99" s="17">
        <v>75</v>
      </c>
      <c r="AV99" s="17" t="s">
        <v>148</v>
      </c>
      <c r="AW99" s="17">
        <v>105</v>
      </c>
      <c r="AX99" s="17" t="s">
        <v>149</v>
      </c>
      <c r="AY99" s="17">
        <v>75</v>
      </c>
      <c r="AZ99" s="17" t="s">
        <v>150</v>
      </c>
      <c r="BA99" s="17">
        <v>105</v>
      </c>
      <c r="BB99" s="17" t="s">
        <v>151</v>
      </c>
      <c r="BC99" s="17">
        <v>1</v>
      </c>
      <c r="BD99" s="17" t="s">
        <v>152</v>
      </c>
      <c r="BE99" s="17">
        <v>2</v>
      </c>
      <c r="BF99" s="17" t="s">
        <v>153</v>
      </c>
      <c r="BG99" s="17">
        <v>100</v>
      </c>
      <c r="BH99" s="17" t="s">
        <v>154</v>
      </c>
      <c r="BI99" s="17">
        <v>10</v>
      </c>
      <c r="BJ99" s="17" t="s">
        <v>155</v>
      </c>
      <c r="BK99" s="7">
        <v>250</v>
      </c>
      <c r="BL99" s="10"/>
      <c r="BM99" s="10"/>
      <c r="BN99" s="20">
        <v>1</v>
      </c>
      <c r="BO99" s="20">
        <v>2500</v>
      </c>
      <c r="BP99" s="20">
        <v>2</v>
      </c>
      <c r="BQ99" s="20">
        <v>2500</v>
      </c>
      <c r="BR99" s="10" t="s">
        <v>156</v>
      </c>
    </row>
    <row r="100" s="7" customFormat="1" ht="16.5" spans="1:70">
      <c r="A100" s="7">
        <f>60000000+INDEX(编号表!$B:$B,MATCH(I100,编号表!$A:$A,0))*10000+INDEX(编号表!$B:$B,MATCH(J100,编号表!$C:$C,0))*1000+K100</f>
        <v>60101000</v>
      </c>
      <c r="B100" s="7" t="s">
        <v>380</v>
      </c>
      <c r="C100" s="7" t="s">
        <v>381</v>
      </c>
      <c r="D100" s="7" t="s">
        <v>382</v>
      </c>
      <c r="E100" s="7">
        <v>25</v>
      </c>
      <c r="F100" s="7" t="str" cm="1">
        <f t="array" ref="F100">INDEX(编号表!$E:$E,MATCH(J100,编号表!$C:$C,0))</f>
        <v>白色</v>
      </c>
      <c r="G100" s="7">
        <v>14</v>
      </c>
      <c r="H100" s="7" t="s">
        <v>383</v>
      </c>
      <c r="I100" s="7" t="s">
        <v>383</v>
      </c>
      <c r="J100" s="7" t="s">
        <v>137</v>
      </c>
      <c r="K100" s="7">
        <v>0</v>
      </c>
      <c r="L100" s="7">
        <f>COUNTIFS(I$11:I100,I100,J$11:J100,J100)-1</f>
        <v>0</v>
      </c>
      <c r="O100" s="7">
        <v>10</v>
      </c>
      <c r="P100" s="7">
        <v>300000</v>
      </c>
      <c r="Q100" s="7" t="s">
        <v>138</v>
      </c>
      <c r="R100" s="21">
        <v>40140003</v>
      </c>
      <c r="S100" s="7"/>
      <c r="T100" s="7"/>
      <c r="U100" s="7">
        <v>11010001</v>
      </c>
      <c r="V100" s="7">
        <v>11020001</v>
      </c>
      <c r="X100" s="7" t="s">
        <v>139</v>
      </c>
      <c r="Y100" s="7" t="s">
        <v>384</v>
      </c>
      <c r="Z100" s="7"/>
      <c r="AA100" s="7">
        <v>80</v>
      </c>
      <c r="AB100" s="7">
        <v>80</v>
      </c>
      <c r="AC100" s="7">
        <v>20</v>
      </c>
      <c r="AD100" s="7">
        <v>30</v>
      </c>
      <c r="AE100" s="7" t="s">
        <v>141</v>
      </c>
      <c r="AF100" s="7"/>
      <c r="AG100" s="22"/>
      <c r="AI100" s="23">
        <v>110</v>
      </c>
      <c r="AJ100" s="7" t="s">
        <v>142</v>
      </c>
      <c r="AK100" s="24">
        <v>850</v>
      </c>
      <c r="AL100" s="7" t="s">
        <v>143</v>
      </c>
      <c r="AM100" s="7">
        <v>12</v>
      </c>
      <c r="AN100" s="7" t="s">
        <v>144</v>
      </c>
      <c r="AO100" s="7">
        <v>17</v>
      </c>
      <c r="AP100" s="7" t="s">
        <v>145</v>
      </c>
      <c r="AQ100" s="7">
        <v>11</v>
      </c>
      <c r="AR100" s="7" t="s">
        <v>146</v>
      </c>
      <c r="AS100" s="7">
        <v>16</v>
      </c>
      <c r="AT100" s="7" t="s">
        <v>147</v>
      </c>
      <c r="AU100" s="7">
        <v>24</v>
      </c>
      <c r="AV100" s="7" t="s">
        <v>148</v>
      </c>
      <c r="AW100" s="7">
        <v>32</v>
      </c>
      <c r="AX100" s="7" t="s">
        <v>149</v>
      </c>
      <c r="AY100" s="7">
        <v>24</v>
      </c>
      <c r="AZ100" s="7" t="s">
        <v>150</v>
      </c>
      <c r="BA100" s="7">
        <v>32</v>
      </c>
      <c r="BB100" s="7" t="s">
        <v>151</v>
      </c>
      <c r="BC100" s="7">
        <v>1</v>
      </c>
      <c r="BD100" s="7" t="s">
        <v>152</v>
      </c>
      <c r="BE100" s="7">
        <v>2</v>
      </c>
      <c r="BF100" s="7" t="s">
        <v>153</v>
      </c>
      <c r="BG100" s="7">
        <v>100</v>
      </c>
      <c r="BH100" s="7" t="s">
        <v>154</v>
      </c>
      <c r="BI100" s="7">
        <v>10</v>
      </c>
      <c r="BJ100" s="7" t="s">
        <v>155</v>
      </c>
      <c r="BK100" s="7">
        <v>250</v>
      </c>
      <c r="BL100" s="20"/>
      <c r="BM100" s="20"/>
      <c r="BN100" s="20">
        <v>1</v>
      </c>
      <c r="BO100" s="20">
        <v>2500</v>
      </c>
      <c r="BP100" s="20">
        <v>2</v>
      </c>
      <c r="BQ100" s="20">
        <v>2500</v>
      </c>
      <c r="BR100" s="20" t="s">
        <v>156</v>
      </c>
    </row>
    <row r="101" s="7" customFormat="1" ht="16.5" spans="1:70">
      <c r="A101" s="7">
        <f>60000000+INDEX(编号表!$B:$B,MATCH(I101,编号表!$A:$A,0))*10000+INDEX(编号表!$B:$B,MATCH(J101,编号表!$C:$C,0))*1000+K101</f>
        <v>60101001</v>
      </c>
      <c r="B101" s="7" t="s">
        <v>385</v>
      </c>
      <c r="C101" s="7" t="s">
        <v>386</v>
      </c>
      <c r="D101" s="7" t="s">
        <v>386</v>
      </c>
      <c r="E101" s="7">
        <v>25</v>
      </c>
      <c r="F101" s="7" t="str" cm="1">
        <f t="array" ref="F101">INDEX(编号表!$E:$E,MATCH(J101,编号表!$C:$C,0))</f>
        <v>白色</v>
      </c>
      <c r="G101" s="7">
        <v>14</v>
      </c>
      <c r="H101" s="7" t="s">
        <v>383</v>
      </c>
      <c r="I101" s="7" t="s">
        <v>383</v>
      </c>
      <c r="J101" s="7" t="s">
        <v>137</v>
      </c>
      <c r="K101" s="7">
        <v>1</v>
      </c>
      <c r="L101" s="7">
        <f>COUNTIFS(I$11:I101,I101,J$11:J101,J101)-1</f>
        <v>1</v>
      </c>
      <c r="O101" s="7">
        <v>10</v>
      </c>
      <c r="P101" s="7">
        <v>300000</v>
      </c>
      <c r="Q101" s="7" t="s">
        <v>138</v>
      </c>
      <c r="R101" s="21">
        <v>40140003</v>
      </c>
      <c r="S101" s="7"/>
      <c r="T101" s="7"/>
      <c r="U101" s="7">
        <v>11010001</v>
      </c>
      <c r="V101" s="7">
        <v>11020001</v>
      </c>
      <c r="X101" s="7" t="s">
        <v>139</v>
      </c>
      <c r="Y101" s="7" t="s">
        <v>387</v>
      </c>
      <c r="Z101" s="7">
        <v>0.5</v>
      </c>
      <c r="AA101" s="7">
        <v>50</v>
      </c>
      <c r="AB101" s="7">
        <v>50</v>
      </c>
      <c r="AC101" s="7">
        <v>20</v>
      </c>
      <c r="AD101" s="7">
        <v>30</v>
      </c>
      <c r="AE101" s="7" t="s">
        <v>141</v>
      </c>
      <c r="AF101" s="7"/>
      <c r="AG101" s="22"/>
      <c r="AI101" s="23">
        <v>110</v>
      </c>
      <c r="AJ101" s="7" t="s">
        <v>142</v>
      </c>
      <c r="AK101" s="24">
        <v>850</v>
      </c>
      <c r="AL101" s="7" t="s">
        <v>143</v>
      </c>
      <c r="AM101" s="7">
        <v>12</v>
      </c>
      <c r="AN101" s="7" t="s">
        <v>144</v>
      </c>
      <c r="AO101" s="7">
        <v>17</v>
      </c>
      <c r="AP101" s="7" t="s">
        <v>145</v>
      </c>
      <c r="AQ101" s="7">
        <v>11</v>
      </c>
      <c r="AR101" s="7" t="s">
        <v>146</v>
      </c>
      <c r="AS101" s="7">
        <v>16</v>
      </c>
      <c r="AT101" s="7" t="s">
        <v>147</v>
      </c>
      <c r="AU101" s="7">
        <v>24</v>
      </c>
      <c r="AV101" s="7" t="s">
        <v>148</v>
      </c>
      <c r="AW101" s="7">
        <v>32</v>
      </c>
      <c r="AX101" s="7" t="s">
        <v>149</v>
      </c>
      <c r="AY101" s="7">
        <v>24</v>
      </c>
      <c r="AZ101" s="7" t="s">
        <v>150</v>
      </c>
      <c r="BA101" s="7">
        <v>32</v>
      </c>
      <c r="BB101" s="7" t="s">
        <v>151</v>
      </c>
      <c r="BC101" s="7">
        <v>1</v>
      </c>
      <c r="BD101" s="7" t="s">
        <v>152</v>
      </c>
      <c r="BE101" s="7">
        <v>2</v>
      </c>
      <c r="BF101" s="7" t="s">
        <v>153</v>
      </c>
      <c r="BG101" s="7">
        <v>100</v>
      </c>
      <c r="BH101" s="7" t="s">
        <v>154</v>
      </c>
      <c r="BI101" s="7">
        <v>10</v>
      </c>
      <c r="BJ101" s="7" t="s">
        <v>155</v>
      </c>
      <c r="BK101" s="7">
        <v>250</v>
      </c>
      <c r="BL101" s="20"/>
      <c r="BM101" s="20"/>
      <c r="BN101" s="20">
        <v>1</v>
      </c>
      <c r="BO101" s="20">
        <v>2500</v>
      </c>
      <c r="BP101" s="20">
        <v>2</v>
      </c>
      <c r="BQ101" s="20">
        <v>2500</v>
      </c>
      <c r="BR101" s="20" t="s">
        <v>156</v>
      </c>
    </row>
    <row r="102" s="7" customFormat="1" ht="16.5" spans="1:70">
      <c r="A102" s="7">
        <f>60000000+INDEX(编号表!$B:$B,MATCH(I102,编号表!$A:$A,0))*10000+INDEX(编号表!$B:$B,MATCH(J102,编号表!$C:$C,0))*1000+K102</f>
        <v>60101002</v>
      </c>
      <c r="B102" s="7" t="s">
        <v>388</v>
      </c>
      <c r="C102" s="7" t="s">
        <v>389</v>
      </c>
      <c r="D102" s="7" t="s">
        <v>390</v>
      </c>
      <c r="E102" s="7">
        <v>25</v>
      </c>
      <c r="F102" s="7" t="str" cm="1">
        <f t="array" ref="F102">INDEX(编号表!$E:$E,MATCH(J102,编号表!$C:$C,0))</f>
        <v>白色</v>
      </c>
      <c r="G102" s="7">
        <v>14</v>
      </c>
      <c r="H102" s="7" t="s">
        <v>383</v>
      </c>
      <c r="I102" s="7" t="s">
        <v>383</v>
      </c>
      <c r="J102" s="7" t="s">
        <v>137</v>
      </c>
      <c r="K102" s="7">
        <v>2</v>
      </c>
      <c r="L102" s="7">
        <f>COUNTIFS(I$11:I102,I102,J$11:J102,J102)-1</f>
        <v>2</v>
      </c>
      <c r="O102" s="7">
        <v>10</v>
      </c>
      <c r="P102" s="7">
        <v>300000</v>
      </c>
      <c r="Q102" s="7" t="s">
        <v>138</v>
      </c>
      <c r="R102" s="21">
        <v>40140003</v>
      </c>
      <c r="S102" s="7"/>
      <c r="T102" s="7"/>
      <c r="U102" s="7">
        <v>11010001</v>
      </c>
      <c r="V102" s="7">
        <v>11020001</v>
      </c>
      <c r="X102" s="7" t="s">
        <v>139</v>
      </c>
      <c r="Y102" s="7" t="s">
        <v>391</v>
      </c>
      <c r="Z102" s="7"/>
      <c r="AA102" s="7">
        <v>80</v>
      </c>
      <c r="AB102" s="7">
        <v>80</v>
      </c>
      <c r="AC102" s="7">
        <v>20</v>
      </c>
      <c r="AD102" s="7">
        <v>30</v>
      </c>
      <c r="AE102" s="7" t="s">
        <v>141</v>
      </c>
      <c r="AF102" s="7"/>
      <c r="AG102" s="22"/>
      <c r="AI102" s="23">
        <v>110</v>
      </c>
      <c r="AJ102" s="7" t="s">
        <v>142</v>
      </c>
      <c r="AK102" s="24">
        <v>850</v>
      </c>
      <c r="AL102" s="7" t="s">
        <v>143</v>
      </c>
      <c r="AM102" s="7">
        <v>12</v>
      </c>
      <c r="AN102" s="7" t="s">
        <v>144</v>
      </c>
      <c r="AO102" s="7">
        <v>17</v>
      </c>
      <c r="AP102" s="7" t="s">
        <v>145</v>
      </c>
      <c r="AQ102" s="7">
        <v>11</v>
      </c>
      <c r="AR102" s="7" t="s">
        <v>146</v>
      </c>
      <c r="AS102" s="7">
        <v>16</v>
      </c>
      <c r="AT102" s="7" t="s">
        <v>147</v>
      </c>
      <c r="AU102" s="7">
        <v>24</v>
      </c>
      <c r="AV102" s="7" t="s">
        <v>148</v>
      </c>
      <c r="AW102" s="7">
        <v>32</v>
      </c>
      <c r="AX102" s="7" t="s">
        <v>149</v>
      </c>
      <c r="AY102" s="7">
        <v>24</v>
      </c>
      <c r="AZ102" s="7" t="s">
        <v>150</v>
      </c>
      <c r="BA102" s="7">
        <v>32</v>
      </c>
      <c r="BB102" s="7" t="s">
        <v>151</v>
      </c>
      <c r="BC102" s="7">
        <v>1</v>
      </c>
      <c r="BD102" s="7" t="s">
        <v>152</v>
      </c>
      <c r="BE102" s="7">
        <v>2</v>
      </c>
      <c r="BF102" s="7" t="s">
        <v>153</v>
      </c>
      <c r="BG102" s="7">
        <v>100</v>
      </c>
      <c r="BH102" s="7" t="s">
        <v>154</v>
      </c>
      <c r="BI102" s="7">
        <v>10</v>
      </c>
      <c r="BJ102" s="7" t="s">
        <v>155</v>
      </c>
      <c r="BK102" s="7">
        <v>250</v>
      </c>
      <c r="BL102" s="20"/>
      <c r="BM102" s="20"/>
      <c r="BN102" s="20">
        <v>1</v>
      </c>
      <c r="BO102" s="20">
        <v>2500</v>
      </c>
      <c r="BP102" s="20">
        <v>2</v>
      </c>
      <c r="BQ102" s="20">
        <v>2500</v>
      </c>
      <c r="BR102" s="20" t="s">
        <v>156</v>
      </c>
    </row>
    <row r="103" s="7" customFormat="1" ht="16.5" spans="1:70">
      <c r="A103" s="7">
        <f>60000000+INDEX(编号表!$B:$B,MATCH(I103,编号表!$A:$A,0))*10000+INDEX(编号表!$B:$B,MATCH(J103,编号表!$C:$C,0))*1000+K103</f>
        <v>60101003</v>
      </c>
      <c r="B103" s="7" t="s">
        <v>392</v>
      </c>
      <c r="C103" s="7" t="s">
        <v>393</v>
      </c>
      <c r="D103" s="7" t="s">
        <v>393</v>
      </c>
      <c r="E103" s="7">
        <v>25</v>
      </c>
      <c r="F103" s="7" t="str" cm="1">
        <f t="array" ref="F103">INDEX(编号表!$E:$E,MATCH(J103,编号表!$C:$C,0))</f>
        <v>白色</v>
      </c>
      <c r="G103" s="7">
        <v>14</v>
      </c>
      <c r="H103" s="7" t="s">
        <v>383</v>
      </c>
      <c r="I103" s="7" t="s">
        <v>383</v>
      </c>
      <c r="J103" s="7" t="s">
        <v>137</v>
      </c>
      <c r="K103" s="7">
        <v>3</v>
      </c>
      <c r="L103" s="7">
        <f>COUNTIFS(I$11:I103,I103,J$11:J103,J103)-1</f>
        <v>3</v>
      </c>
      <c r="O103" s="7">
        <v>10</v>
      </c>
      <c r="P103" s="7">
        <v>300000</v>
      </c>
      <c r="Q103" s="7" t="s">
        <v>138</v>
      </c>
      <c r="R103" s="21">
        <v>40140003</v>
      </c>
      <c r="S103" s="7"/>
      <c r="T103" s="7"/>
      <c r="U103" s="7">
        <v>11010001</v>
      </c>
      <c r="V103" s="7">
        <v>11020001</v>
      </c>
      <c r="X103" s="7" t="s">
        <v>139</v>
      </c>
      <c r="Y103" s="7" t="s">
        <v>394</v>
      </c>
      <c r="Z103" s="7">
        <v>0.5</v>
      </c>
      <c r="AA103" s="7">
        <v>50</v>
      </c>
      <c r="AB103" s="7">
        <v>50</v>
      </c>
      <c r="AC103" s="7">
        <v>20</v>
      </c>
      <c r="AD103" s="7">
        <v>30</v>
      </c>
      <c r="AE103" s="7" t="s">
        <v>141</v>
      </c>
      <c r="AF103" s="7"/>
      <c r="AG103" s="22"/>
      <c r="AI103" s="23">
        <v>110</v>
      </c>
      <c r="AJ103" s="7" t="s">
        <v>142</v>
      </c>
      <c r="AK103" s="24">
        <v>740</v>
      </c>
      <c r="AL103" s="7" t="s">
        <v>143</v>
      </c>
      <c r="AM103" s="7">
        <v>10</v>
      </c>
      <c r="AN103" s="7" t="s">
        <v>144</v>
      </c>
      <c r="AO103" s="7">
        <v>15</v>
      </c>
      <c r="AP103" s="7" t="s">
        <v>145</v>
      </c>
      <c r="AQ103" s="7">
        <v>10</v>
      </c>
      <c r="AR103" s="7" t="s">
        <v>146</v>
      </c>
      <c r="AS103" s="7">
        <v>14</v>
      </c>
      <c r="AT103" s="7" t="s">
        <v>147</v>
      </c>
      <c r="AU103" s="7">
        <v>24</v>
      </c>
      <c r="AV103" s="7" t="s">
        <v>148</v>
      </c>
      <c r="AW103" s="7">
        <v>33</v>
      </c>
      <c r="AX103" s="7" t="s">
        <v>149</v>
      </c>
      <c r="AY103" s="7">
        <v>24</v>
      </c>
      <c r="AZ103" s="7" t="s">
        <v>150</v>
      </c>
      <c r="BA103" s="7">
        <v>33</v>
      </c>
      <c r="BB103" s="7" t="s">
        <v>151</v>
      </c>
      <c r="BC103" s="7">
        <v>1</v>
      </c>
      <c r="BD103" s="7" t="s">
        <v>152</v>
      </c>
      <c r="BE103" s="7">
        <v>2</v>
      </c>
      <c r="BF103" s="7" t="s">
        <v>153</v>
      </c>
      <c r="BG103" s="7">
        <v>100</v>
      </c>
      <c r="BH103" s="7" t="s">
        <v>154</v>
      </c>
      <c r="BI103" s="7">
        <v>10</v>
      </c>
      <c r="BJ103" s="7" t="s">
        <v>155</v>
      </c>
      <c r="BK103" s="7">
        <v>250</v>
      </c>
      <c r="BL103" s="20"/>
      <c r="BM103" s="20"/>
      <c r="BN103" s="20">
        <v>1</v>
      </c>
      <c r="BO103" s="20">
        <v>2500</v>
      </c>
      <c r="BP103" s="20">
        <v>2</v>
      </c>
      <c r="BQ103" s="20">
        <v>2500</v>
      </c>
      <c r="BR103" s="20" t="s">
        <v>156</v>
      </c>
    </row>
    <row r="104" s="7" customFormat="1" ht="16.5" spans="1:70">
      <c r="A104" s="7">
        <f>60000000+INDEX(编号表!$B:$B,MATCH(I104,编号表!$A:$A,0))*10000+INDEX(编号表!$B:$B,MATCH(J104,编号表!$C:$C,0))*1000+K104</f>
        <v>60101004</v>
      </c>
      <c r="B104" s="7" t="s">
        <v>395</v>
      </c>
      <c r="C104" s="7" t="s">
        <v>396</v>
      </c>
      <c r="D104" s="7" t="s">
        <v>397</v>
      </c>
      <c r="E104" s="7">
        <v>25</v>
      </c>
      <c r="F104" s="7" t="str" cm="1">
        <f t="array" ref="F104">INDEX(编号表!$E:$E,MATCH(J104,编号表!$C:$C,0))</f>
        <v>白色</v>
      </c>
      <c r="G104" s="7">
        <v>14</v>
      </c>
      <c r="H104" s="7" t="s">
        <v>383</v>
      </c>
      <c r="I104" s="7" t="s">
        <v>383</v>
      </c>
      <c r="J104" s="7" t="s">
        <v>137</v>
      </c>
      <c r="K104" s="7">
        <v>4</v>
      </c>
      <c r="L104" s="7">
        <f>COUNTIFS(I$11:I104,I104,J$11:J104,J104)-1</f>
        <v>4</v>
      </c>
      <c r="O104" s="7">
        <v>10</v>
      </c>
      <c r="P104" s="7">
        <v>300000</v>
      </c>
      <c r="Q104" s="7" t="s">
        <v>138</v>
      </c>
      <c r="R104" s="21">
        <v>40140003</v>
      </c>
      <c r="S104" s="7"/>
      <c r="T104" s="7"/>
      <c r="U104" s="7">
        <v>11010001</v>
      </c>
      <c r="V104" s="7">
        <v>11020001</v>
      </c>
      <c r="X104" s="7" t="s">
        <v>139</v>
      </c>
      <c r="Y104" s="7" t="s">
        <v>398</v>
      </c>
      <c r="Z104" s="7"/>
      <c r="AA104" s="7">
        <v>80</v>
      </c>
      <c r="AB104" s="7">
        <v>80</v>
      </c>
      <c r="AC104" s="7">
        <v>20</v>
      </c>
      <c r="AD104" s="7">
        <v>30</v>
      </c>
      <c r="AE104" s="7" t="s">
        <v>141</v>
      </c>
      <c r="AF104" s="7"/>
      <c r="AG104" s="22"/>
      <c r="AI104" s="23">
        <v>110</v>
      </c>
      <c r="AJ104" s="7" t="s">
        <v>142</v>
      </c>
      <c r="AK104" s="24">
        <v>920</v>
      </c>
      <c r="AL104" s="7" t="s">
        <v>143</v>
      </c>
      <c r="AM104" s="7">
        <v>11</v>
      </c>
      <c r="AN104" s="7" t="s">
        <v>144</v>
      </c>
      <c r="AO104" s="7">
        <v>16</v>
      </c>
      <c r="AP104" s="7" t="s">
        <v>145</v>
      </c>
      <c r="AQ104" s="7">
        <v>11</v>
      </c>
      <c r="AR104" s="7" t="s">
        <v>146</v>
      </c>
      <c r="AS104" s="7">
        <v>15</v>
      </c>
      <c r="AT104" s="7" t="s">
        <v>147</v>
      </c>
      <c r="AU104" s="7">
        <v>26</v>
      </c>
      <c r="AV104" s="7" t="s">
        <v>148</v>
      </c>
      <c r="AW104" s="7">
        <v>35</v>
      </c>
      <c r="AX104" s="7" t="s">
        <v>149</v>
      </c>
      <c r="AY104" s="7">
        <v>26</v>
      </c>
      <c r="AZ104" s="7" t="s">
        <v>150</v>
      </c>
      <c r="BA104" s="7">
        <v>35</v>
      </c>
      <c r="BB104" s="7" t="s">
        <v>151</v>
      </c>
      <c r="BC104" s="7">
        <v>1</v>
      </c>
      <c r="BD104" s="7" t="s">
        <v>152</v>
      </c>
      <c r="BE104" s="7">
        <v>2</v>
      </c>
      <c r="BF104" s="7" t="s">
        <v>153</v>
      </c>
      <c r="BG104" s="7">
        <v>100</v>
      </c>
      <c r="BH104" s="7" t="s">
        <v>154</v>
      </c>
      <c r="BI104" s="7">
        <v>10</v>
      </c>
      <c r="BJ104" s="7" t="s">
        <v>155</v>
      </c>
      <c r="BK104" s="7">
        <v>250</v>
      </c>
      <c r="BL104" s="20"/>
      <c r="BM104" s="20"/>
      <c r="BN104" s="20">
        <v>1</v>
      </c>
      <c r="BO104" s="20">
        <v>2500</v>
      </c>
      <c r="BP104" s="20">
        <v>2</v>
      </c>
      <c r="BQ104" s="20">
        <v>2500</v>
      </c>
      <c r="BR104" s="20" t="s">
        <v>156</v>
      </c>
    </row>
    <row r="105" s="7" customFormat="1" ht="16.5" spans="1:70">
      <c r="A105" s="7">
        <f>60000000+INDEX(编号表!$B:$B,MATCH(I105,编号表!$A:$A,0))*10000+INDEX(编号表!$B:$B,MATCH(J105,编号表!$C:$C,0))*1000+K105</f>
        <v>60101005</v>
      </c>
      <c r="B105" s="7" t="s">
        <v>399</v>
      </c>
      <c r="C105" s="7" t="s">
        <v>270</v>
      </c>
      <c r="D105" s="7" t="s">
        <v>400</v>
      </c>
      <c r="E105" s="7">
        <v>25</v>
      </c>
      <c r="F105" s="7" t="str" cm="1">
        <f t="array" ref="F105">INDEX(编号表!$E:$E,MATCH(J105,编号表!$C:$C,0))</f>
        <v>白色</v>
      </c>
      <c r="G105" s="7">
        <v>14</v>
      </c>
      <c r="H105" s="7" t="s">
        <v>383</v>
      </c>
      <c r="I105" s="7" t="s">
        <v>383</v>
      </c>
      <c r="J105" s="7" t="s">
        <v>137</v>
      </c>
      <c r="K105" s="7">
        <v>5</v>
      </c>
      <c r="L105" s="7">
        <f>COUNTIFS(I$11:I105,I105,J$11:J105,J105)-1</f>
        <v>5</v>
      </c>
      <c r="O105" s="7">
        <v>10</v>
      </c>
      <c r="P105" s="7">
        <v>150000</v>
      </c>
      <c r="Q105" s="7" t="s">
        <v>138</v>
      </c>
      <c r="R105" s="21">
        <v>40140003</v>
      </c>
      <c r="S105" s="7"/>
      <c r="T105" s="7"/>
      <c r="U105" s="7">
        <v>11010001</v>
      </c>
      <c r="V105" s="7">
        <v>11020001</v>
      </c>
      <c r="X105" s="7" t="s">
        <v>139</v>
      </c>
      <c r="Y105" s="7" t="s">
        <v>271</v>
      </c>
      <c r="Z105" s="7"/>
      <c r="AA105" s="7">
        <v>80</v>
      </c>
      <c r="AB105" s="7">
        <v>80</v>
      </c>
      <c r="AC105" s="7">
        <v>20</v>
      </c>
      <c r="AD105" s="7">
        <v>30</v>
      </c>
      <c r="AE105" s="7" t="s">
        <v>141</v>
      </c>
      <c r="AF105" s="7"/>
      <c r="AG105" s="22"/>
      <c r="AI105" s="23">
        <v>110</v>
      </c>
      <c r="AJ105" s="7" t="s">
        <v>142</v>
      </c>
      <c r="AK105" s="24">
        <v>740</v>
      </c>
      <c r="AL105" s="7" t="s">
        <v>143</v>
      </c>
      <c r="AM105" s="7">
        <v>10</v>
      </c>
      <c r="AN105" s="7" t="s">
        <v>144</v>
      </c>
      <c r="AO105" s="7">
        <v>15</v>
      </c>
      <c r="AP105" s="7" t="s">
        <v>145</v>
      </c>
      <c r="AQ105" s="7">
        <v>10</v>
      </c>
      <c r="AR105" s="7" t="s">
        <v>146</v>
      </c>
      <c r="AS105" s="7">
        <v>14</v>
      </c>
      <c r="AT105" s="7" t="s">
        <v>147</v>
      </c>
      <c r="AU105" s="7">
        <v>22</v>
      </c>
      <c r="AV105" s="7" t="s">
        <v>148</v>
      </c>
      <c r="AW105" s="7">
        <v>30</v>
      </c>
      <c r="AX105" s="7" t="s">
        <v>149</v>
      </c>
      <c r="AY105" s="7">
        <v>22</v>
      </c>
      <c r="AZ105" s="7" t="s">
        <v>150</v>
      </c>
      <c r="BA105" s="7">
        <v>30</v>
      </c>
      <c r="BB105" s="7" t="s">
        <v>151</v>
      </c>
      <c r="BC105" s="7">
        <v>0</v>
      </c>
      <c r="BD105" s="7" t="s">
        <v>152</v>
      </c>
      <c r="BE105" s="7">
        <v>0</v>
      </c>
      <c r="BF105" s="7" t="s">
        <v>153</v>
      </c>
      <c r="BG105" s="7">
        <v>100</v>
      </c>
      <c r="BH105" s="7" t="s">
        <v>154</v>
      </c>
      <c r="BI105" s="7">
        <v>10</v>
      </c>
      <c r="BJ105" s="7" t="s">
        <v>155</v>
      </c>
      <c r="BK105" s="7">
        <v>250</v>
      </c>
      <c r="BL105" s="20"/>
      <c r="BM105" s="20"/>
      <c r="BN105" s="20">
        <v>1</v>
      </c>
      <c r="BO105" s="20">
        <v>2500</v>
      </c>
      <c r="BP105" s="20">
        <v>2</v>
      </c>
      <c r="BQ105" s="20">
        <v>2500</v>
      </c>
      <c r="BR105" s="20" t="s">
        <v>156</v>
      </c>
    </row>
    <row r="106" s="7" customFormat="1" ht="16.5" spans="1:70">
      <c r="A106" s="7">
        <f>60000000+INDEX(编号表!$B:$B,MATCH(I106,编号表!$A:$A,0))*10000+INDEX(编号表!$B:$B,MATCH(J106,编号表!$C:$C,0))*1000+K106</f>
        <v>60102000</v>
      </c>
      <c r="B106" s="7" t="s">
        <v>401</v>
      </c>
      <c r="C106" s="7" t="s">
        <v>402</v>
      </c>
      <c r="D106" s="7" t="s">
        <v>402</v>
      </c>
      <c r="E106" s="7">
        <v>26</v>
      </c>
      <c r="F106" s="7" t="str" cm="1">
        <f t="array" ref="F106">INDEX(编号表!$E:$E,MATCH(J106,编号表!$C:$C,0))</f>
        <v>绿色</v>
      </c>
      <c r="G106" s="7">
        <v>14</v>
      </c>
      <c r="H106" s="7" t="s">
        <v>383</v>
      </c>
      <c r="I106" s="7" t="s">
        <v>383</v>
      </c>
      <c r="J106" s="7" t="s">
        <v>221</v>
      </c>
      <c r="K106" s="7">
        <v>0</v>
      </c>
      <c r="L106" s="7">
        <f>COUNTIFS(I$11:I106,I106,J$11:J106,J106)-1</f>
        <v>0</v>
      </c>
      <c r="O106" s="7">
        <v>10</v>
      </c>
      <c r="P106" s="7">
        <v>300000</v>
      </c>
      <c r="Q106" s="7" t="s">
        <v>138</v>
      </c>
      <c r="R106" s="21">
        <v>40140003</v>
      </c>
      <c r="S106" s="7"/>
      <c r="T106" s="7"/>
      <c r="U106" s="7">
        <v>11010001</v>
      </c>
      <c r="V106" s="7">
        <v>11020001</v>
      </c>
      <c r="X106" s="7" t="s">
        <v>139</v>
      </c>
      <c r="Y106" s="7" t="s">
        <v>403</v>
      </c>
      <c r="Z106" s="7"/>
      <c r="AA106" s="7">
        <v>80</v>
      </c>
      <c r="AB106" s="7">
        <v>80</v>
      </c>
      <c r="AC106" s="7">
        <v>20</v>
      </c>
      <c r="AD106" s="7">
        <v>30</v>
      </c>
      <c r="AE106" s="7" t="s">
        <v>141</v>
      </c>
      <c r="AF106" s="7"/>
      <c r="AG106" s="22" t="s">
        <v>222</v>
      </c>
      <c r="AI106" s="23">
        <v>480</v>
      </c>
      <c r="AJ106" s="7" t="s">
        <v>142</v>
      </c>
      <c r="AK106" s="24">
        <v>4500</v>
      </c>
      <c r="AL106" s="7" t="s">
        <v>143</v>
      </c>
      <c r="AM106" s="7">
        <v>18</v>
      </c>
      <c r="AN106" s="7" t="s">
        <v>144</v>
      </c>
      <c r="AO106" s="7">
        <v>25</v>
      </c>
      <c r="AP106" s="7" t="s">
        <v>145</v>
      </c>
      <c r="AQ106" s="7">
        <v>16</v>
      </c>
      <c r="AR106" s="7" t="s">
        <v>146</v>
      </c>
      <c r="AS106" s="7">
        <v>24</v>
      </c>
      <c r="AT106" s="7" t="s">
        <v>147</v>
      </c>
      <c r="AU106" s="7">
        <v>44</v>
      </c>
      <c r="AV106" s="7" t="s">
        <v>148</v>
      </c>
      <c r="AW106" s="7">
        <v>60</v>
      </c>
      <c r="AX106" s="7" t="s">
        <v>149</v>
      </c>
      <c r="AY106" s="7">
        <v>44</v>
      </c>
      <c r="AZ106" s="7" t="s">
        <v>150</v>
      </c>
      <c r="BA106" s="7">
        <v>60</v>
      </c>
      <c r="BB106" s="7" t="s">
        <v>151</v>
      </c>
      <c r="BC106" s="7">
        <v>1</v>
      </c>
      <c r="BD106" s="7" t="s">
        <v>152</v>
      </c>
      <c r="BE106" s="7">
        <v>2</v>
      </c>
      <c r="BF106" s="7" t="s">
        <v>153</v>
      </c>
      <c r="BG106" s="7">
        <v>100</v>
      </c>
      <c r="BH106" s="7" t="s">
        <v>154</v>
      </c>
      <c r="BI106" s="7">
        <v>10</v>
      </c>
      <c r="BJ106" s="7" t="s">
        <v>155</v>
      </c>
      <c r="BK106" s="7">
        <v>250</v>
      </c>
      <c r="BL106" s="20"/>
      <c r="BM106" s="20"/>
      <c r="BN106" s="20">
        <v>1</v>
      </c>
      <c r="BO106" s="20">
        <v>2500</v>
      </c>
      <c r="BP106" s="20">
        <v>2</v>
      </c>
      <c r="BQ106" s="20">
        <v>2500</v>
      </c>
      <c r="BR106" s="20" t="s">
        <v>156</v>
      </c>
    </row>
    <row r="107" s="7" customFormat="1" ht="16.5" spans="1:70">
      <c r="A107" s="7">
        <f>60000000+INDEX(编号表!$B:$B,MATCH(I107,编号表!$A:$A,0))*10000+INDEX(编号表!$B:$B,MATCH(J107,编号表!$C:$C,0))*1000+K107</f>
        <v>60102001</v>
      </c>
      <c r="B107" s="7" t="s">
        <v>404</v>
      </c>
      <c r="C107" s="7" t="s">
        <v>324</v>
      </c>
      <c r="D107" s="7" t="s">
        <v>405</v>
      </c>
      <c r="E107" s="7">
        <v>26</v>
      </c>
      <c r="F107" s="7" t="str" cm="1">
        <f t="array" ref="F107">INDEX(编号表!$E:$E,MATCH(J107,编号表!$C:$C,0))</f>
        <v>绿色</v>
      </c>
      <c r="G107" s="7">
        <v>14</v>
      </c>
      <c r="H107" s="7" t="s">
        <v>383</v>
      </c>
      <c r="I107" s="7" t="s">
        <v>383</v>
      </c>
      <c r="J107" s="7" t="s">
        <v>221</v>
      </c>
      <c r="K107" s="7">
        <v>1</v>
      </c>
      <c r="L107" s="7">
        <f>COUNTIFS(I$11:I107,I107,J$11:J107,J107)-1</f>
        <v>1</v>
      </c>
      <c r="O107" s="7">
        <v>10</v>
      </c>
      <c r="P107" s="7">
        <v>300000</v>
      </c>
      <c r="Q107" s="7" t="s">
        <v>138</v>
      </c>
      <c r="R107" s="21">
        <v>40140003</v>
      </c>
      <c r="S107" s="7"/>
      <c r="T107" s="7"/>
      <c r="U107" s="7">
        <v>11010001</v>
      </c>
      <c r="V107" s="7">
        <v>11020001</v>
      </c>
      <c r="X107" s="7" t="s">
        <v>139</v>
      </c>
      <c r="Y107" s="7" t="s">
        <v>325</v>
      </c>
      <c r="Z107" s="7"/>
      <c r="AA107" s="7">
        <v>80</v>
      </c>
      <c r="AB107" s="7">
        <v>80</v>
      </c>
      <c r="AC107" s="7">
        <v>20</v>
      </c>
      <c r="AD107" s="7">
        <v>30</v>
      </c>
      <c r="AE107" s="7" t="s">
        <v>141</v>
      </c>
      <c r="AF107" s="7"/>
      <c r="AG107" s="22" t="s">
        <v>222</v>
      </c>
      <c r="AI107" s="23">
        <v>480</v>
      </c>
      <c r="AJ107" s="7" t="s">
        <v>142</v>
      </c>
      <c r="AK107" s="24">
        <v>4500</v>
      </c>
      <c r="AL107" s="7" t="s">
        <v>143</v>
      </c>
      <c r="AM107" s="7">
        <v>18</v>
      </c>
      <c r="AN107" s="7" t="s">
        <v>144</v>
      </c>
      <c r="AO107" s="7">
        <v>25</v>
      </c>
      <c r="AP107" s="7" t="s">
        <v>145</v>
      </c>
      <c r="AQ107" s="7">
        <v>16</v>
      </c>
      <c r="AR107" s="7" t="s">
        <v>146</v>
      </c>
      <c r="AS107" s="7">
        <v>24</v>
      </c>
      <c r="AT107" s="7" t="s">
        <v>147</v>
      </c>
      <c r="AU107" s="7">
        <v>44</v>
      </c>
      <c r="AV107" s="7" t="s">
        <v>148</v>
      </c>
      <c r="AW107" s="7">
        <v>60</v>
      </c>
      <c r="AX107" s="7" t="s">
        <v>149</v>
      </c>
      <c r="AY107" s="7">
        <v>44</v>
      </c>
      <c r="AZ107" s="7" t="s">
        <v>150</v>
      </c>
      <c r="BA107" s="7">
        <v>60</v>
      </c>
      <c r="BB107" s="7" t="s">
        <v>151</v>
      </c>
      <c r="BC107" s="7">
        <v>1</v>
      </c>
      <c r="BD107" s="7" t="s">
        <v>152</v>
      </c>
      <c r="BE107" s="7">
        <v>2</v>
      </c>
      <c r="BF107" s="7" t="s">
        <v>153</v>
      </c>
      <c r="BG107" s="7">
        <v>100</v>
      </c>
      <c r="BH107" s="7" t="s">
        <v>154</v>
      </c>
      <c r="BI107" s="7">
        <v>10</v>
      </c>
      <c r="BJ107" s="7" t="s">
        <v>155</v>
      </c>
      <c r="BK107" s="7">
        <v>250</v>
      </c>
      <c r="BL107" s="20"/>
      <c r="BM107" s="20"/>
      <c r="BN107" s="20">
        <v>1</v>
      </c>
      <c r="BO107" s="20">
        <v>2500</v>
      </c>
      <c r="BP107" s="20">
        <v>2</v>
      </c>
      <c r="BQ107" s="20">
        <v>2500</v>
      </c>
      <c r="BR107" s="20" t="s">
        <v>156</v>
      </c>
    </row>
    <row r="108" s="7" customFormat="1" ht="16.5" spans="1:70">
      <c r="A108" s="7">
        <f>60000000+INDEX(编号表!$B:$B,MATCH(I108,编号表!$A:$A,0))*10000+INDEX(编号表!$B:$B,MATCH(J108,编号表!$C:$C,0))*1000+K108</f>
        <v>60102002</v>
      </c>
      <c r="B108" s="7" t="s">
        <v>406</v>
      </c>
      <c r="C108" s="7" t="s">
        <v>407</v>
      </c>
      <c r="D108" s="7" t="s">
        <v>407</v>
      </c>
      <c r="E108" s="7">
        <v>26</v>
      </c>
      <c r="F108" s="7" t="str" cm="1">
        <f t="array" ref="F108">INDEX(编号表!$E:$E,MATCH(J108,编号表!$C:$C,0))</f>
        <v>绿色</v>
      </c>
      <c r="G108" s="7">
        <v>14</v>
      </c>
      <c r="H108" s="7" t="s">
        <v>383</v>
      </c>
      <c r="I108" s="7" t="s">
        <v>383</v>
      </c>
      <c r="J108" s="7" t="s">
        <v>221</v>
      </c>
      <c r="K108" s="7">
        <v>2</v>
      </c>
      <c r="L108" s="7">
        <f>COUNTIFS(I$11:I108,I108,J$11:J108,J108)-1</f>
        <v>2</v>
      </c>
      <c r="O108" s="7">
        <v>10</v>
      </c>
      <c r="P108" s="7">
        <v>300000</v>
      </c>
      <c r="Q108" s="7" t="s">
        <v>138</v>
      </c>
      <c r="R108" s="21">
        <v>40140003</v>
      </c>
      <c r="S108" s="7"/>
      <c r="T108" s="7"/>
      <c r="U108" s="7">
        <v>11010001</v>
      </c>
      <c r="V108" s="7">
        <v>11020001</v>
      </c>
      <c r="X108" s="7" t="s">
        <v>139</v>
      </c>
      <c r="Y108" s="7" t="s">
        <v>408</v>
      </c>
      <c r="Z108" s="7"/>
      <c r="AA108" s="7">
        <v>80</v>
      </c>
      <c r="AB108" s="7">
        <v>80</v>
      </c>
      <c r="AC108" s="7">
        <v>20</v>
      </c>
      <c r="AD108" s="7">
        <v>30</v>
      </c>
      <c r="AE108" s="7" t="s">
        <v>141</v>
      </c>
      <c r="AF108" s="7"/>
      <c r="AG108" s="22" t="s">
        <v>222</v>
      </c>
      <c r="AI108" s="23">
        <v>480</v>
      </c>
      <c r="AJ108" s="7" t="s">
        <v>142</v>
      </c>
      <c r="AK108" s="24">
        <v>4500</v>
      </c>
      <c r="AL108" s="7" t="s">
        <v>143</v>
      </c>
      <c r="AM108" s="7">
        <v>18</v>
      </c>
      <c r="AN108" s="7" t="s">
        <v>144</v>
      </c>
      <c r="AO108" s="7">
        <v>25</v>
      </c>
      <c r="AP108" s="7" t="s">
        <v>145</v>
      </c>
      <c r="AQ108" s="7">
        <v>16</v>
      </c>
      <c r="AR108" s="7" t="s">
        <v>146</v>
      </c>
      <c r="AS108" s="7">
        <v>24</v>
      </c>
      <c r="AT108" s="7" t="s">
        <v>147</v>
      </c>
      <c r="AU108" s="7">
        <v>44</v>
      </c>
      <c r="AV108" s="7" t="s">
        <v>148</v>
      </c>
      <c r="AW108" s="7">
        <v>60</v>
      </c>
      <c r="AX108" s="7" t="s">
        <v>149</v>
      </c>
      <c r="AY108" s="7">
        <v>44</v>
      </c>
      <c r="AZ108" s="7" t="s">
        <v>150</v>
      </c>
      <c r="BA108" s="7">
        <v>60</v>
      </c>
      <c r="BB108" s="7" t="s">
        <v>151</v>
      </c>
      <c r="BC108" s="7">
        <v>1</v>
      </c>
      <c r="BD108" s="7" t="s">
        <v>152</v>
      </c>
      <c r="BE108" s="7">
        <v>2</v>
      </c>
      <c r="BF108" s="7" t="s">
        <v>153</v>
      </c>
      <c r="BG108" s="7">
        <v>100</v>
      </c>
      <c r="BH108" s="7" t="s">
        <v>154</v>
      </c>
      <c r="BI108" s="7">
        <v>10</v>
      </c>
      <c r="BJ108" s="7" t="s">
        <v>155</v>
      </c>
      <c r="BK108" s="7">
        <v>250</v>
      </c>
      <c r="BL108" s="20"/>
      <c r="BM108" s="20"/>
      <c r="BN108" s="20">
        <v>1</v>
      </c>
      <c r="BO108" s="20">
        <v>2500</v>
      </c>
      <c r="BP108" s="20">
        <v>2</v>
      </c>
      <c r="BQ108" s="20">
        <v>2500</v>
      </c>
      <c r="BR108" s="20" t="s">
        <v>156</v>
      </c>
    </row>
    <row r="109" s="17" customFormat="1" ht="16.5" spans="1:70">
      <c r="A109" s="17">
        <f>60000000+INDEX(编号表!$B:$B,MATCH(I109,编号表!$A:$A,0))*10000+INDEX(编号表!$B:$B,MATCH(J109,编号表!$C:$C,0))*1000+K109</f>
        <v>60104000</v>
      </c>
      <c r="B109" s="17" t="s">
        <v>409</v>
      </c>
      <c r="C109" s="17" t="s">
        <v>158</v>
      </c>
      <c r="D109" s="17" t="s">
        <v>410</v>
      </c>
      <c r="E109" s="17">
        <v>27</v>
      </c>
      <c r="F109" s="17" t="str" cm="1">
        <f t="array" ref="F109">INDEX(编号表!$E:$E,MATCH(J109,编号表!$C:$C,0))</f>
        <v>橙色</v>
      </c>
      <c r="G109" s="17">
        <v>14</v>
      </c>
      <c r="H109" s="17" t="s">
        <v>383</v>
      </c>
      <c r="I109" s="17" t="s">
        <v>383</v>
      </c>
      <c r="J109" s="17" t="s">
        <v>233</v>
      </c>
      <c r="K109" s="17">
        <v>0</v>
      </c>
      <c r="L109" s="17">
        <f>COUNTIFS(I$11:I109,I109,J$11:J109,J109)-1</f>
        <v>0</v>
      </c>
      <c r="O109" s="7">
        <v>10</v>
      </c>
      <c r="P109" s="7">
        <v>150000</v>
      </c>
      <c r="Q109" s="17" t="s">
        <v>138</v>
      </c>
      <c r="R109" s="21">
        <v>40140003</v>
      </c>
      <c r="S109" s="17"/>
      <c r="T109" s="17"/>
      <c r="U109" s="17">
        <v>11010001</v>
      </c>
      <c r="V109" s="17">
        <v>11020001</v>
      </c>
      <c r="X109" s="17" t="s">
        <v>139</v>
      </c>
      <c r="Y109" s="17" t="s">
        <v>160</v>
      </c>
      <c r="Z109" s="7">
        <v>1.5</v>
      </c>
      <c r="AA109" s="7">
        <v>80</v>
      </c>
      <c r="AB109" s="7">
        <v>80</v>
      </c>
      <c r="AC109" s="7">
        <v>20</v>
      </c>
      <c r="AD109" s="7">
        <v>30</v>
      </c>
      <c r="AE109" s="17" t="s">
        <v>141</v>
      </c>
      <c r="AF109" s="17"/>
      <c r="AG109" s="22" t="s">
        <v>234</v>
      </c>
      <c r="AH109" s="17"/>
      <c r="AI109" s="23">
        <v>2550</v>
      </c>
      <c r="AJ109" s="17" t="s">
        <v>142</v>
      </c>
      <c r="AK109" s="24">
        <v>21500</v>
      </c>
      <c r="AL109" s="17" t="s">
        <v>143</v>
      </c>
      <c r="AM109" s="17">
        <v>22</v>
      </c>
      <c r="AN109" s="17" t="s">
        <v>144</v>
      </c>
      <c r="AO109" s="17">
        <v>31</v>
      </c>
      <c r="AP109" s="17" t="s">
        <v>145</v>
      </c>
      <c r="AQ109" s="17">
        <v>20</v>
      </c>
      <c r="AR109" s="17" t="s">
        <v>146</v>
      </c>
      <c r="AS109" s="17">
        <v>29</v>
      </c>
      <c r="AT109" s="17" t="s">
        <v>147</v>
      </c>
      <c r="AU109" s="17">
        <v>65</v>
      </c>
      <c r="AV109" s="17" t="s">
        <v>148</v>
      </c>
      <c r="AW109" s="17">
        <v>90</v>
      </c>
      <c r="AX109" s="17" t="s">
        <v>149</v>
      </c>
      <c r="AY109" s="17">
        <v>65</v>
      </c>
      <c r="AZ109" s="17" t="s">
        <v>150</v>
      </c>
      <c r="BA109" s="17">
        <v>90</v>
      </c>
      <c r="BB109" s="17" t="s">
        <v>151</v>
      </c>
      <c r="BC109" s="17">
        <v>0</v>
      </c>
      <c r="BD109" s="17" t="s">
        <v>152</v>
      </c>
      <c r="BE109" s="17">
        <v>0</v>
      </c>
      <c r="BF109" s="17" t="s">
        <v>153</v>
      </c>
      <c r="BG109" s="17">
        <v>100</v>
      </c>
      <c r="BH109" s="17" t="s">
        <v>154</v>
      </c>
      <c r="BI109" s="17">
        <v>10</v>
      </c>
      <c r="BJ109" s="17" t="s">
        <v>155</v>
      </c>
      <c r="BK109" s="7">
        <v>250</v>
      </c>
      <c r="BL109" s="10"/>
      <c r="BM109" s="10"/>
      <c r="BN109" s="20">
        <v>1</v>
      </c>
      <c r="BO109" s="20">
        <v>2500</v>
      </c>
      <c r="BP109" s="20">
        <v>2</v>
      </c>
      <c r="BQ109" s="20">
        <v>2500</v>
      </c>
      <c r="BR109" s="10" t="s">
        <v>156</v>
      </c>
    </row>
    <row r="110" s="17" customFormat="1" ht="16.5" spans="1:70">
      <c r="A110" s="17">
        <f>60000000+INDEX(编号表!$B:$B,MATCH(I110,编号表!$A:$A,0))*10000+INDEX(编号表!$B:$B,MATCH(J110,编号表!$C:$C,0))*1000+K110</f>
        <v>60104001</v>
      </c>
      <c r="B110" s="17" t="s">
        <v>411</v>
      </c>
      <c r="C110" s="17" t="s">
        <v>165</v>
      </c>
      <c r="D110" s="17" t="s">
        <v>412</v>
      </c>
      <c r="E110" s="17">
        <v>27</v>
      </c>
      <c r="F110" s="17" t="str" cm="1">
        <f t="array" ref="F110">INDEX(编号表!$E:$E,MATCH(J110,编号表!$C:$C,0))</f>
        <v>橙色</v>
      </c>
      <c r="G110" s="17">
        <v>14</v>
      </c>
      <c r="H110" s="17" t="s">
        <v>383</v>
      </c>
      <c r="I110" s="17" t="s">
        <v>383</v>
      </c>
      <c r="J110" s="17" t="s">
        <v>233</v>
      </c>
      <c r="K110" s="17">
        <v>1</v>
      </c>
      <c r="L110" s="17">
        <f>COUNTIFS(I$11:I110,I110,J$11:J110,J110)-1</f>
        <v>1</v>
      </c>
      <c r="O110" s="7">
        <v>10</v>
      </c>
      <c r="P110" s="7">
        <v>150000</v>
      </c>
      <c r="Q110" s="17" t="s">
        <v>138</v>
      </c>
      <c r="R110" s="21">
        <v>40140003</v>
      </c>
      <c r="S110" s="17"/>
      <c r="T110" s="17"/>
      <c r="U110" s="17">
        <v>11010001</v>
      </c>
      <c r="V110" s="17">
        <v>11020001</v>
      </c>
      <c r="X110" s="17" t="s">
        <v>139</v>
      </c>
      <c r="Y110" s="17" t="s">
        <v>166</v>
      </c>
      <c r="Z110" s="7">
        <v>1.5</v>
      </c>
      <c r="AA110" s="7">
        <v>80</v>
      </c>
      <c r="AB110" s="7">
        <v>80</v>
      </c>
      <c r="AC110" s="7">
        <v>20</v>
      </c>
      <c r="AD110" s="7">
        <v>30</v>
      </c>
      <c r="AE110" s="17" t="s">
        <v>141</v>
      </c>
      <c r="AF110" s="17"/>
      <c r="AG110" s="22" t="s">
        <v>234</v>
      </c>
      <c r="AH110" s="17"/>
      <c r="AI110" s="23">
        <v>2550</v>
      </c>
      <c r="AJ110" s="17" t="s">
        <v>142</v>
      </c>
      <c r="AK110" s="24">
        <v>21500</v>
      </c>
      <c r="AL110" s="17" t="s">
        <v>143</v>
      </c>
      <c r="AM110" s="17">
        <v>22</v>
      </c>
      <c r="AN110" s="17" t="s">
        <v>144</v>
      </c>
      <c r="AO110" s="17">
        <v>31</v>
      </c>
      <c r="AP110" s="17" t="s">
        <v>145</v>
      </c>
      <c r="AQ110" s="17">
        <v>20</v>
      </c>
      <c r="AR110" s="17" t="s">
        <v>146</v>
      </c>
      <c r="AS110" s="17">
        <v>29</v>
      </c>
      <c r="AT110" s="17" t="s">
        <v>147</v>
      </c>
      <c r="AU110" s="17">
        <v>65</v>
      </c>
      <c r="AV110" s="17" t="s">
        <v>148</v>
      </c>
      <c r="AW110" s="17">
        <v>90</v>
      </c>
      <c r="AX110" s="17" t="s">
        <v>149</v>
      </c>
      <c r="AY110" s="17">
        <v>65</v>
      </c>
      <c r="AZ110" s="17" t="s">
        <v>150</v>
      </c>
      <c r="BA110" s="17">
        <v>90</v>
      </c>
      <c r="BB110" s="17" t="s">
        <v>151</v>
      </c>
      <c r="BC110" s="17">
        <v>0</v>
      </c>
      <c r="BD110" s="17" t="s">
        <v>152</v>
      </c>
      <c r="BE110" s="17">
        <v>0</v>
      </c>
      <c r="BF110" s="17" t="s">
        <v>153</v>
      </c>
      <c r="BG110" s="17">
        <v>100</v>
      </c>
      <c r="BH110" s="17" t="s">
        <v>154</v>
      </c>
      <c r="BI110" s="17">
        <v>10</v>
      </c>
      <c r="BJ110" s="17" t="s">
        <v>155</v>
      </c>
      <c r="BK110" s="7">
        <v>250</v>
      </c>
      <c r="BL110" s="10"/>
      <c r="BM110" s="10"/>
      <c r="BN110" s="20">
        <v>1</v>
      </c>
      <c r="BO110" s="20">
        <v>2500</v>
      </c>
      <c r="BP110" s="20">
        <v>2</v>
      </c>
      <c r="BQ110" s="20">
        <v>2500</v>
      </c>
      <c r="BR110" s="10" t="s">
        <v>156</v>
      </c>
    </row>
    <row r="111" s="7" customFormat="1" ht="16.5" spans="1:70">
      <c r="A111" s="7">
        <f>60000000+INDEX(编号表!$B:$B,MATCH(I111,编号表!$A:$A,0))*10000+INDEX(编号表!$B:$B,MATCH(J111,编号表!$C:$C,0))*1000+K111</f>
        <v>60111000</v>
      </c>
      <c r="B111" s="7" t="s">
        <v>413</v>
      </c>
      <c r="C111" s="7" t="s">
        <v>414</v>
      </c>
      <c r="D111" s="7" t="s">
        <v>414</v>
      </c>
      <c r="E111" s="7">
        <v>27</v>
      </c>
      <c r="F111" s="7" t="str" cm="1">
        <f t="array" ref="F111">INDEX(编号表!$E:$E,MATCH(J111,编号表!$C:$C,0))</f>
        <v>白色</v>
      </c>
      <c r="G111" s="7">
        <v>15</v>
      </c>
      <c r="H111" s="7" t="s">
        <v>415</v>
      </c>
      <c r="I111" s="7" t="s">
        <v>415</v>
      </c>
      <c r="J111" s="7" t="s">
        <v>137</v>
      </c>
      <c r="K111" s="7">
        <v>0</v>
      </c>
      <c r="L111" s="7">
        <f>COUNTIFS(I$11:I111,I111,J$11:J111,J111)-1</f>
        <v>0</v>
      </c>
      <c r="O111" s="7">
        <v>10</v>
      </c>
      <c r="P111" s="7">
        <v>150000</v>
      </c>
      <c r="Q111" s="7" t="s">
        <v>138</v>
      </c>
      <c r="R111" s="21">
        <v>40140003</v>
      </c>
      <c r="S111" s="7"/>
      <c r="T111" s="7"/>
      <c r="U111" s="7">
        <v>11010001</v>
      </c>
      <c r="V111" s="7">
        <v>11020001</v>
      </c>
      <c r="X111" s="7" t="s">
        <v>139</v>
      </c>
      <c r="Y111" s="7" t="s">
        <v>416</v>
      </c>
      <c r="Z111" s="7"/>
      <c r="AA111" s="7">
        <v>80</v>
      </c>
      <c r="AB111" s="7">
        <v>80</v>
      </c>
      <c r="AC111" s="7">
        <v>20</v>
      </c>
      <c r="AD111" s="7">
        <v>30</v>
      </c>
      <c r="AE111" s="7" t="s">
        <v>141</v>
      </c>
      <c r="AF111" s="7"/>
      <c r="AG111" s="22"/>
      <c r="AI111" s="23">
        <v>130</v>
      </c>
      <c r="AJ111" s="7" t="s">
        <v>142</v>
      </c>
      <c r="AK111" s="24">
        <v>930</v>
      </c>
      <c r="AL111" s="7" t="s">
        <v>143</v>
      </c>
      <c r="AM111" s="7">
        <v>12</v>
      </c>
      <c r="AN111" s="7" t="s">
        <v>144</v>
      </c>
      <c r="AO111" s="7">
        <v>17</v>
      </c>
      <c r="AP111" s="7" t="s">
        <v>145</v>
      </c>
      <c r="AQ111" s="7">
        <v>11</v>
      </c>
      <c r="AR111" s="7" t="s">
        <v>146</v>
      </c>
      <c r="AS111" s="7">
        <v>16</v>
      </c>
      <c r="AT111" s="7" t="s">
        <v>147</v>
      </c>
      <c r="AU111" s="7">
        <v>25</v>
      </c>
      <c r="AV111" s="7" t="s">
        <v>148</v>
      </c>
      <c r="AW111" s="7">
        <v>34</v>
      </c>
      <c r="AX111" s="7" t="s">
        <v>149</v>
      </c>
      <c r="AY111" s="7">
        <v>25</v>
      </c>
      <c r="AZ111" s="7" t="s">
        <v>150</v>
      </c>
      <c r="BA111" s="7">
        <v>34</v>
      </c>
      <c r="BB111" s="7" t="s">
        <v>151</v>
      </c>
      <c r="BC111" s="7">
        <v>0</v>
      </c>
      <c r="BD111" s="7" t="s">
        <v>152</v>
      </c>
      <c r="BE111" s="7">
        <v>0</v>
      </c>
      <c r="BF111" s="7" t="s">
        <v>153</v>
      </c>
      <c r="BG111" s="7">
        <v>100</v>
      </c>
      <c r="BH111" s="7" t="s">
        <v>154</v>
      </c>
      <c r="BI111" s="7">
        <v>10</v>
      </c>
      <c r="BJ111" s="7" t="s">
        <v>155</v>
      </c>
      <c r="BK111" s="7">
        <v>250</v>
      </c>
      <c r="BL111" s="20"/>
      <c r="BM111" s="20"/>
      <c r="BN111" s="20">
        <v>1</v>
      </c>
      <c r="BO111" s="20">
        <v>2500</v>
      </c>
      <c r="BP111" s="20">
        <v>2</v>
      </c>
      <c r="BQ111" s="20">
        <v>2500</v>
      </c>
      <c r="BR111" s="20" t="s">
        <v>156</v>
      </c>
    </row>
    <row r="112" s="7" customFormat="1" ht="16.5" spans="1:70">
      <c r="A112" s="7">
        <f>60000000+INDEX(编号表!$B:$B,MATCH(I112,编号表!$A:$A,0))*10000+INDEX(编号表!$B:$B,MATCH(J112,编号表!$C:$C,0))*1000+K112</f>
        <v>60111001</v>
      </c>
      <c r="B112" s="7" t="s">
        <v>417</v>
      </c>
      <c r="C112" s="7" t="s">
        <v>389</v>
      </c>
      <c r="D112" s="7" t="s">
        <v>389</v>
      </c>
      <c r="E112" s="7">
        <v>27</v>
      </c>
      <c r="F112" s="7" t="str" cm="1">
        <f t="array" ref="F112">INDEX(编号表!$E:$E,MATCH(J112,编号表!$C:$C,0))</f>
        <v>白色</v>
      </c>
      <c r="G112" s="7">
        <v>15</v>
      </c>
      <c r="H112" s="7" t="s">
        <v>415</v>
      </c>
      <c r="I112" s="7" t="s">
        <v>415</v>
      </c>
      <c r="J112" s="7" t="s">
        <v>137</v>
      </c>
      <c r="K112" s="7">
        <v>1</v>
      </c>
      <c r="L112" s="7">
        <f>COUNTIFS(I$11:I112,I112,J$11:J112,J112)-1</f>
        <v>1</v>
      </c>
      <c r="O112" s="7">
        <v>10</v>
      </c>
      <c r="P112" s="7">
        <v>300000</v>
      </c>
      <c r="Q112" s="7" t="s">
        <v>138</v>
      </c>
      <c r="R112" s="21">
        <v>40140003</v>
      </c>
      <c r="S112" s="7"/>
      <c r="T112" s="7"/>
      <c r="U112" s="7">
        <v>11010001</v>
      </c>
      <c r="V112" s="7">
        <v>11020001</v>
      </c>
      <c r="X112" s="7" t="s">
        <v>139</v>
      </c>
      <c r="Y112" s="7" t="s">
        <v>391</v>
      </c>
      <c r="Z112" s="7"/>
      <c r="AA112" s="7">
        <v>80</v>
      </c>
      <c r="AB112" s="7">
        <v>80</v>
      </c>
      <c r="AC112" s="7">
        <v>20</v>
      </c>
      <c r="AD112" s="7">
        <v>30</v>
      </c>
      <c r="AE112" s="7" t="s">
        <v>141</v>
      </c>
      <c r="AF112" s="7"/>
      <c r="AG112" s="22"/>
      <c r="AI112" s="23">
        <v>130</v>
      </c>
      <c r="AJ112" s="7" t="s">
        <v>142</v>
      </c>
      <c r="AK112" s="24">
        <v>980</v>
      </c>
      <c r="AL112" s="7" t="s">
        <v>143</v>
      </c>
      <c r="AM112" s="7">
        <v>13</v>
      </c>
      <c r="AN112" s="7" t="s">
        <v>144</v>
      </c>
      <c r="AO112" s="7">
        <v>19</v>
      </c>
      <c r="AP112" s="7" t="s">
        <v>145</v>
      </c>
      <c r="AQ112" s="7">
        <v>12</v>
      </c>
      <c r="AR112" s="7" t="s">
        <v>146</v>
      </c>
      <c r="AS112" s="7">
        <v>18</v>
      </c>
      <c r="AT112" s="7" t="s">
        <v>147</v>
      </c>
      <c r="AU112" s="7">
        <v>26</v>
      </c>
      <c r="AV112" s="7" t="s">
        <v>148</v>
      </c>
      <c r="AW112" s="7">
        <v>36</v>
      </c>
      <c r="AX112" s="7" t="s">
        <v>149</v>
      </c>
      <c r="AY112" s="7">
        <v>26</v>
      </c>
      <c r="AZ112" s="7" t="s">
        <v>150</v>
      </c>
      <c r="BA112" s="7">
        <v>36</v>
      </c>
      <c r="BB112" s="7" t="s">
        <v>151</v>
      </c>
      <c r="BC112" s="7">
        <v>1</v>
      </c>
      <c r="BD112" s="7" t="s">
        <v>152</v>
      </c>
      <c r="BE112" s="7">
        <v>2</v>
      </c>
      <c r="BF112" s="7" t="s">
        <v>153</v>
      </c>
      <c r="BG112" s="7">
        <v>100</v>
      </c>
      <c r="BH112" s="7" t="s">
        <v>154</v>
      </c>
      <c r="BI112" s="7">
        <v>10</v>
      </c>
      <c r="BJ112" s="7" t="s">
        <v>155</v>
      </c>
      <c r="BK112" s="7">
        <v>300</v>
      </c>
      <c r="BL112" s="20"/>
      <c r="BM112" s="20"/>
      <c r="BN112" s="20">
        <v>1</v>
      </c>
      <c r="BO112" s="20">
        <v>2500</v>
      </c>
      <c r="BP112" s="20">
        <v>2</v>
      </c>
      <c r="BQ112" s="20">
        <v>2500</v>
      </c>
      <c r="BR112" s="20" t="s">
        <v>156</v>
      </c>
    </row>
    <row r="113" s="7" customFormat="1" ht="16.5" spans="1:70">
      <c r="A113" s="7">
        <f>60000000+INDEX(编号表!$B:$B,MATCH(I113,编号表!$A:$A,0))*10000+INDEX(编号表!$B:$B,MATCH(J113,编号表!$C:$C,0))*1000+K113</f>
        <v>60111002</v>
      </c>
      <c r="B113" s="7" t="s">
        <v>418</v>
      </c>
      <c r="C113" s="7" t="s">
        <v>419</v>
      </c>
      <c r="D113" s="7" t="s">
        <v>419</v>
      </c>
      <c r="E113" s="7">
        <v>27</v>
      </c>
      <c r="F113" s="7" t="str" cm="1">
        <f t="array" ref="F113">INDEX(编号表!$E:$E,MATCH(J113,编号表!$C:$C,0))</f>
        <v>白色</v>
      </c>
      <c r="G113" s="7">
        <v>15</v>
      </c>
      <c r="H113" s="7" t="s">
        <v>415</v>
      </c>
      <c r="I113" s="7" t="s">
        <v>415</v>
      </c>
      <c r="J113" s="7" t="s">
        <v>137</v>
      </c>
      <c r="K113" s="7">
        <v>2</v>
      </c>
      <c r="L113" s="7">
        <f>COUNTIFS(I$11:I113,I113,J$11:J113,J113)-1</f>
        <v>2</v>
      </c>
      <c r="O113" s="7">
        <v>10</v>
      </c>
      <c r="P113" s="7">
        <v>300000</v>
      </c>
      <c r="Q113" s="7" t="s">
        <v>138</v>
      </c>
      <c r="R113" s="21">
        <v>40140003</v>
      </c>
      <c r="S113" s="7"/>
      <c r="T113" s="7"/>
      <c r="U113" s="7">
        <v>11010001</v>
      </c>
      <c r="V113" s="7">
        <v>11020001</v>
      </c>
      <c r="X113" s="7" t="s">
        <v>139</v>
      </c>
      <c r="Y113" s="7" t="s">
        <v>420</v>
      </c>
      <c r="Z113" s="7"/>
      <c r="AA113" s="7">
        <v>80</v>
      </c>
      <c r="AB113" s="7">
        <v>80</v>
      </c>
      <c r="AC113" s="7">
        <v>20</v>
      </c>
      <c r="AD113" s="7">
        <v>30</v>
      </c>
      <c r="AE113" s="7" t="s">
        <v>141</v>
      </c>
      <c r="AF113" s="7"/>
      <c r="AG113" s="22"/>
      <c r="AI113" s="23">
        <v>130</v>
      </c>
      <c r="AJ113" s="7" t="s">
        <v>142</v>
      </c>
      <c r="AK113" s="24">
        <v>980</v>
      </c>
      <c r="AL113" s="7" t="s">
        <v>143</v>
      </c>
      <c r="AM113" s="7">
        <v>13</v>
      </c>
      <c r="AN113" s="7" t="s">
        <v>144</v>
      </c>
      <c r="AO113" s="7">
        <v>19</v>
      </c>
      <c r="AP113" s="7" t="s">
        <v>145</v>
      </c>
      <c r="AQ113" s="7">
        <v>12</v>
      </c>
      <c r="AR113" s="7" t="s">
        <v>146</v>
      </c>
      <c r="AS113" s="7">
        <v>18</v>
      </c>
      <c r="AT113" s="7" t="s">
        <v>147</v>
      </c>
      <c r="AU113" s="7">
        <v>26</v>
      </c>
      <c r="AV113" s="7" t="s">
        <v>148</v>
      </c>
      <c r="AW113" s="7">
        <v>36</v>
      </c>
      <c r="AX113" s="7" t="s">
        <v>149</v>
      </c>
      <c r="AY113" s="7">
        <v>26</v>
      </c>
      <c r="AZ113" s="7" t="s">
        <v>150</v>
      </c>
      <c r="BA113" s="7">
        <v>36</v>
      </c>
      <c r="BB113" s="7" t="s">
        <v>151</v>
      </c>
      <c r="BC113" s="7">
        <v>1</v>
      </c>
      <c r="BD113" s="7" t="s">
        <v>152</v>
      </c>
      <c r="BE113" s="7">
        <v>2</v>
      </c>
      <c r="BF113" s="7" t="s">
        <v>153</v>
      </c>
      <c r="BG113" s="7">
        <v>100</v>
      </c>
      <c r="BH113" s="7" t="s">
        <v>154</v>
      </c>
      <c r="BI113" s="7">
        <v>10</v>
      </c>
      <c r="BJ113" s="7" t="s">
        <v>155</v>
      </c>
      <c r="BK113" s="7">
        <v>300</v>
      </c>
      <c r="BL113" s="20"/>
      <c r="BM113" s="20"/>
      <c r="BN113" s="20">
        <v>1</v>
      </c>
      <c r="BO113" s="20">
        <v>2500</v>
      </c>
      <c r="BP113" s="20">
        <v>2</v>
      </c>
      <c r="BQ113" s="20">
        <v>2500</v>
      </c>
      <c r="BR113" s="20" t="s">
        <v>156</v>
      </c>
    </row>
    <row r="114" s="7" customFormat="1" ht="16.5" spans="1:70">
      <c r="A114" s="7">
        <f>60000000+INDEX(编号表!$B:$B,MATCH(I114,编号表!$A:$A,0))*10000+INDEX(编号表!$B:$B,MATCH(J114,编号表!$C:$C,0))*1000+K114</f>
        <v>60111003</v>
      </c>
      <c r="B114" s="7" t="s">
        <v>421</v>
      </c>
      <c r="C114" s="7" t="s">
        <v>422</v>
      </c>
      <c r="D114" s="7" t="s">
        <v>422</v>
      </c>
      <c r="E114" s="7">
        <v>27</v>
      </c>
      <c r="F114" s="7" t="str" cm="1">
        <f t="array" ref="F114">INDEX(编号表!$E:$E,MATCH(J114,编号表!$C:$C,0))</f>
        <v>白色</v>
      </c>
      <c r="G114" s="7">
        <v>15</v>
      </c>
      <c r="H114" s="7" t="s">
        <v>415</v>
      </c>
      <c r="I114" s="7" t="s">
        <v>415</v>
      </c>
      <c r="J114" s="7" t="s">
        <v>137</v>
      </c>
      <c r="K114" s="7">
        <v>3</v>
      </c>
      <c r="L114" s="7">
        <f>COUNTIFS(I$11:I114,I114,J$11:J114,J114)-1</f>
        <v>3</v>
      </c>
      <c r="O114" s="7">
        <v>10</v>
      </c>
      <c r="P114" s="7">
        <v>300000</v>
      </c>
      <c r="Q114" s="7" t="s">
        <v>138</v>
      </c>
      <c r="R114" s="21">
        <v>40140003</v>
      </c>
      <c r="S114" s="7"/>
      <c r="T114" s="7"/>
      <c r="U114" s="7">
        <v>11010001</v>
      </c>
      <c r="V114" s="7">
        <v>11020001</v>
      </c>
      <c r="X114" s="7" t="s">
        <v>139</v>
      </c>
      <c r="Y114" s="7" t="s">
        <v>423</v>
      </c>
      <c r="Z114" s="7"/>
      <c r="AA114" s="7">
        <v>80</v>
      </c>
      <c r="AB114" s="7">
        <v>80</v>
      </c>
      <c r="AC114" s="7">
        <v>20</v>
      </c>
      <c r="AD114" s="7">
        <v>30</v>
      </c>
      <c r="AE114" s="7" t="s">
        <v>141</v>
      </c>
      <c r="AF114" s="7"/>
      <c r="AG114" s="22"/>
      <c r="AI114" s="23">
        <v>130</v>
      </c>
      <c r="AJ114" s="7" t="s">
        <v>142</v>
      </c>
      <c r="AK114" s="24">
        <v>980</v>
      </c>
      <c r="AL114" s="7" t="s">
        <v>143</v>
      </c>
      <c r="AM114" s="7">
        <v>13</v>
      </c>
      <c r="AN114" s="7" t="s">
        <v>144</v>
      </c>
      <c r="AO114" s="7">
        <v>19</v>
      </c>
      <c r="AP114" s="7" t="s">
        <v>145</v>
      </c>
      <c r="AQ114" s="7">
        <v>12</v>
      </c>
      <c r="AR114" s="7" t="s">
        <v>146</v>
      </c>
      <c r="AS114" s="7">
        <v>18</v>
      </c>
      <c r="AT114" s="7" t="s">
        <v>147</v>
      </c>
      <c r="AU114" s="7">
        <v>26</v>
      </c>
      <c r="AV114" s="7" t="s">
        <v>148</v>
      </c>
      <c r="AW114" s="7">
        <v>36</v>
      </c>
      <c r="AX114" s="7" t="s">
        <v>149</v>
      </c>
      <c r="AY114" s="7">
        <v>26</v>
      </c>
      <c r="AZ114" s="7" t="s">
        <v>150</v>
      </c>
      <c r="BA114" s="7">
        <v>36</v>
      </c>
      <c r="BB114" s="7" t="s">
        <v>151</v>
      </c>
      <c r="BC114" s="7">
        <v>1</v>
      </c>
      <c r="BD114" s="7" t="s">
        <v>152</v>
      </c>
      <c r="BE114" s="7">
        <v>2</v>
      </c>
      <c r="BF114" s="7" t="s">
        <v>153</v>
      </c>
      <c r="BG114" s="7">
        <v>100</v>
      </c>
      <c r="BH114" s="7" t="s">
        <v>154</v>
      </c>
      <c r="BI114" s="7">
        <v>10</v>
      </c>
      <c r="BJ114" s="7" t="s">
        <v>155</v>
      </c>
      <c r="BK114" s="7">
        <v>300</v>
      </c>
      <c r="BL114" s="20"/>
      <c r="BM114" s="20"/>
      <c r="BN114" s="20">
        <v>1</v>
      </c>
      <c r="BO114" s="20">
        <v>2500</v>
      </c>
      <c r="BP114" s="20">
        <v>2</v>
      </c>
      <c r="BQ114" s="20">
        <v>2500</v>
      </c>
      <c r="BR114" s="20" t="s">
        <v>156</v>
      </c>
    </row>
    <row r="115" s="7" customFormat="1" ht="16.5" spans="1:70">
      <c r="A115" s="7">
        <f>60000000+INDEX(编号表!$B:$B,MATCH(I115,编号表!$A:$A,0))*10000+INDEX(编号表!$B:$B,MATCH(J115,编号表!$C:$C,0))*1000+K115</f>
        <v>60111004</v>
      </c>
      <c r="B115" s="7" t="s">
        <v>424</v>
      </c>
      <c r="C115" s="7" t="s">
        <v>425</v>
      </c>
      <c r="D115" s="7" t="s">
        <v>425</v>
      </c>
      <c r="E115" s="7">
        <v>27</v>
      </c>
      <c r="F115" s="7" t="str" cm="1">
        <f t="array" ref="F115">INDEX(编号表!$E:$E,MATCH(J115,编号表!$C:$C,0))</f>
        <v>白色</v>
      </c>
      <c r="G115" s="7">
        <v>15</v>
      </c>
      <c r="H115" s="7" t="s">
        <v>415</v>
      </c>
      <c r="I115" s="7" t="s">
        <v>415</v>
      </c>
      <c r="J115" s="7" t="s">
        <v>137</v>
      </c>
      <c r="K115" s="7">
        <v>4</v>
      </c>
      <c r="L115" s="7">
        <f>COUNTIFS(I$11:I115,I115,J$11:J115,J115)-1</f>
        <v>4</v>
      </c>
      <c r="O115" s="7">
        <v>10</v>
      </c>
      <c r="P115" s="7">
        <v>300000</v>
      </c>
      <c r="Q115" s="7" t="s">
        <v>138</v>
      </c>
      <c r="R115" s="21">
        <v>40140003</v>
      </c>
      <c r="S115" s="7"/>
      <c r="T115" s="7"/>
      <c r="U115" s="7">
        <v>11010001</v>
      </c>
      <c r="V115" s="7">
        <v>11020001</v>
      </c>
      <c r="X115" s="7" t="s">
        <v>139</v>
      </c>
      <c r="Y115" s="7" t="s">
        <v>426</v>
      </c>
      <c r="Z115" s="7"/>
      <c r="AA115" s="7">
        <v>80</v>
      </c>
      <c r="AB115" s="7">
        <v>80</v>
      </c>
      <c r="AC115" s="7">
        <v>20</v>
      </c>
      <c r="AD115" s="7">
        <v>30</v>
      </c>
      <c r="AE115" s="7" t="s">
        <v>206</v>
      </c>
      <c r="AF115" s="7" t="s">
        <v>427</v>
      </c>
      <c r="AG115" s="22"/>
      <c r="AI115" s="23">
        <v>130</v>
      </c>
      <c r="AJ115" s="7" t="s">
        <v>142</v>
      </c>
      <c r="AK115" s="24">
        <v>790</v>
      </c>
      <c r="AL115" s="7" t="s">
        <v>143</v>
      </c>
      <c r="AM115" s="7">
        <v>10</v>
      </c>
      <c r="AN115" s="7" t="s">
        <v>144</v>
      </c>
      <c r="AO115" s="7">
        <v>15</v>
      </c>
      <c r="AP115" s="7" t="s">
        <v>145</v>
      </c>
      <c r="AQ115" s="7">
        <v>10</v>
      </c>
      <c r="AR115" s="7" t="s">
        <v>146</v>
      </c>
      <c r="AS115" s="7">
        <v>14</v>
      </c>
      <c r="AT115" s="7" t="s">
        <v>147</v>
      </c>
      <c r="AU115" s="7">
        <v>28</v>
      </c>
      <c r="AV115" s="7" t="s">
        <v>148</v>
      </c>
      <c r="AW115" s="7">
        <v>38</v>
      </c>
      <c r="AX115" s="7" t="s">
        <v>149</v>
      </c>
      <c r="AY115" s="7">
        <v>28</v>
      </c>
      <c r="AZ115" s="7" t="s">
        <v>150</v>
      </c>
      <c r="BA115" s="7">
        <v>38</v>
      </c>
      <c r="BB115" s="7" t="s">
        <v>151</v>
      </c>
      <c r="BC115" s="7">
        <v>1</v>
      </c>
      <c r="BD115" s="7" t="s">
        <v>152</v>
      </c>
      <c r="BE115" s="7">
        <v>2</v>
      </c>
      <c r="BF115" s="7" t="s">
        <v>153</v>
      </c>
      <c r="BG115" s="7">
        <v>100</v>
      </c>
      <c r="BH115" s="7" t="s">
        <v>154</v>
      </c>
      <c r="BI115" s="7">
        <v>300</v>
      </c>
      <c r="BJ115" s="7" t="s">
        <v>155</v>
      </c>
      <c r="BK115" s="7">
        <v>300</v>
      </c>
      <c r="BL115" s="20"/>
      <c r="BM115" s="20"/>
      <c r="BN115" s="20">
        <v>1</v>
      </c>
      <c r="BO115" s="20">
        <v>2500</v>
      </c>
      <c r="BP115" s="20">
        <v>2</v>
      </c>
      <c r="BQ115" s="20">
        <v>2500</v>
      </c>
      <c r="BR115" s="20" t="s">
        <v>156</v>
      </c>
    </row>
    <row r="116" s="7" customFormat="1" ht="16.5" spans="1:70">
      <c r="A116" s="7">
        <f>60000000+INDEX(编号表!$B:$B,MATCH(I116,编号表!$A:$A,0))*10000+INDEX(编号表!$B:$B,MATCH(J116,编号表!$C:$C,0))*1000+K116</f>
        <v>60112000</v>
      </c>
      <c r="B116" s="7" t="s">
        <v>428</v>
      </c>
      <c r="C116" s="7" t="s">
        <v>389</v>
      </c>
      <c r="D116" s="7" t="s">
        <v>429</v>
      </c>
      <c r="E116" s="7">
        <v>28</v>
      </c>
      <c r="F116" s="7" t="str" cm="1">
        <f t="array" ref="F116">INDEX(编号表!$E:$E,MATCH(J116,编号表!$C:$C,0))</f>
        <v>绿色</v>
      </c>
      <c r="G116" s="7">
        <v>15</v>
      </c>
      <c r="H116" s="7" t="s">
        <v>415</v>
      </c>
      <c r="I116" s="7" t="s">
        <v>415</v>
      </c>
      <c r="J116" s="7" t="s">
        <v>221</v>
      </c>
      <c r="K116" s="7">
        <v>0</v>
      </c>
      <c r="L116" s="7">
        <f>COUNTIFS(I$11:I116,I116,J$11:J116,J116)-1</f>
        <v>0</v>
      </c>
      <c r="O116" s="7">
        <v>10</v>
      </c>
      <c r="P116" s="7">
        <v>300000</v>
      </c>
      <c r="Q116" s="7" t="s">
        <v>138</v>
      </c>
      <c r="R116" s="21">
        <v>40140003</v>
      </c>
      <c r="S116" s="7"/>
      <c r="T116" s="7"/>
      <c r="U116" s="7">
        <v>11010001</v>
      </c>
      <c r="V116" s="7">
        <v>11020001</v>
      </c>
      <c r="X116" s="7" t="s">
        <v>139</v>
      </c>
      <c r="Y116" s="7" t="s">
        <v>391</v>
      </c>
      <c r="Z116" s="7"/>
      <c r="AA116" s="7">
        <v>80</v>
      </c>
      <c r="AB116" s="7">
        <v>80</v>
      </c>
      <c r="AC116" s="7">
        <v>20</v>
      </c>
      <c r="AD116" s="7">
        <v>30</v>
      </c>
      <c r="AE116" s="7" t="s">
        <v>141</v>
      </c>
      <c r="AF116" s="7"/>
      <c r="AG116" s="22" t="s">
        <v>222</v>
      </c>
      <c r="AI116" s="23">
        <v>550</v>
      </c>
      <c r="AJ116" s="7" t="s">
        <v>142</v>
      </c>
      <c r="AK116" s="24">
        <v>5200</v>
      </c>
      <c r="AL116" s="7" t="s">
        <v>143</v>
      </c>
      <c r="AM116" s="7">
        <v>20</v>
      </c>
      <c r="AN116" s="7" t="s">
        <v>144</v>
      </c>
      <c r="AO116" s="7">
        <v>28</v>
      </c>
      <c r="AP116" s="7" t="s">
        <v>145</v>
      </c>
      <c r="AQ116" s="7">
        <v>18</v>
      </c>
      <c r="AR116" s="7" t="s">
        <v>146</v>
      </c>
      <c r="AS116" s="7">
        <v>27</v>
      </c>
      <c r="AT116" s="7" t="s">
        <v>147</v>
      </c>
      <c r="AU116" s="7">
        <v>50</v>
      </c>
      <c r="AV116" s="7" t="s">
        <v>148</v>
      </c>
      <c r="AW116" s="7">
        <v>65</v>
      </c>
      <c r="AX116" s="7" t="s">
        <v>149</v>
      </c>
      <c r="AY116" s="7">
        <v>50</v>
      </c>
      <c r="AZ116" s="7" t="s">
        <v>150</v>
      </c>
      <c r="BA116" s="7">
        <v>65</v>
      </c>
      <c r="BB116" s="7" t="s">
        <v>151</v>
      </c>
      <c r="BC116" s="7">
        <v>1</v>
      </c>
      <c r="BD116" s="7" t="s">
        <v>152</v>
      </c>
      <c r="BE116" s="7">
        <v>2</v>
      </c>
      <c r="BF116" s="7" t="s">
        <v>153</v>
      </c>
      <c r="BG116" s="7">
        <v>100</v>
      </c>
      <c r="BH116" s="7" t="s">
        <v>154</v>
      </c>
      <c r="BI116" s="7">
        <v>10</v>
      </c>
      <c r="BJ116" s="7" t="s">
        <v>155</v>
      </c>
      <c r="BK116" s="7">
        <v>300</v>
      </c>
      <c r="BL116" s="20"/>
      <c r="BM116" s="20"/>
      <c r="BN116" s="20">
        <v>1</v>
      </c>
      <c r="BO116" s="20">
        <v>2500</v>
      </c>
      <c r="BP116" s="20">
        <v>2</v>
      </c>
      <c r="BQ116" s="20">
        <v>2500</v>
      </c>
      <c r="BR116" s="20" t="s">
        <v>156</v>
      </c>
    </row>
    <row r="117" s="15" customFormat="1" ht="16.5" spans="1:70">
      <c r="A117" s="15">
        <f>60000000+INDEX(编号表!$B:$B,MATCH(I117,编号表!$A:$A,0))*10000+INDEX(编号表!$B:$B,MATCH(J117,编号表!$C:$C,0))*1000+K117</f>
        <v>60114000</v>
      </c>
      <c r="B117" s="15" t="s">
        <v>430</v>
      </c>
      <c r="C117" s="15" t="s">
        <v>389</v>
      </c>
      <c r="D117" s="15" t="s">
        <v>429</v>
      </c>
      <c r="E117" s="15">
        <v>28</v>
      </c>
      <c r="F117" s="15" t="str" cm="1">
        <f t="array" ref="F117">INDEX(编号表!$E:$E,MATCH(J117,编号表!$C:$C,0))</f>
        <v>橙色</v>
      </c>
      <c r="G117" s="15">
        <v>15</v>
      </c>
      <c r="H117" s="15" t="s">
        <v>415</v>
      </c>
      <c r="I117" s="15" t="s">
        <v>415</v>
      </c>
      <c r="J117" s="15" t="s">
        <v>233</v>
      </c>
      <c r="K117" s="15">
        <v>0</v>
      </c>
      <c r="L117" s="15">
        <f>COUNTIFS(I$11:I117,I117,J$11:J117,J117)-1</f>
        <v>0</v>
      </c>
      <c r="O117" s="7">
        <v>10</v>
      </c>
      <c r="P117" s="7">
        <v>300000</v>
      </c>
      <c r="Q117" s="15" t="s">
        <v>138</v>
      </c>
      <c r="R117" s="21">
        <v>40140003</v>
      </c>
      <c r="S117" s="15"/>
      <c r="T117" s="15"/>
      <c r="U117" s="15">
        <v>11010001</v>
      </c>
      <c r="V117" s="15">
        <v>11020001</v>
      </c>
      <c r="X117" s="15" t="s">
        <v>139</v>
      </c>
      <c r="Y117" s="15" t="s">
        <v>391</v>
      </c>
      <c r="Z117" s="7">
        <v>1.5</v>
      </c>
      <c r="AA117" s="7">
        <v>80</v>
      </c>
      <c r="AB117" s="7">
        <v>80</v>
      </c>
      <c r="AC117" s="7">
        <v>20</v>
      </c>
      <c r="AD117" s="7">
        <v>30</v>
      </c>
      <c r="AE117" s="15" t="s">
        <v>141</v>
      </c>
      <c r="AF117" s="15"/>
      <c r="AG117" s="22" t="s">
        <v>234</v>
      </c>
      <c r="AH117" s="15"/>
      <c r="AI117" s="23">
        <v>2750</v>
      </c>
      <c r="AJ117" s="15" t="s">
        <v>142</v>
      </c>
      <c r="AK117" s="24">
        <v>28000</v>
      </c>
      <c r="AL117" s="15" t="s">
        <v>143</v>
      </c>
      <c r="AM117" s="15">
        <v>27</v>
      </c>
      <c r="AN117" s="15" t="s">
        <v>144</v>
      </c>
      <c r="AO117" s="15">
        <v>38</v>
      </c>
      <c r="AP117" s="15" t="s">
        <v>145</v>
      </c>
      <c r="AQ117" s="15">
        <v>25</v>
      </c>
      <c r="AR117" s="15" t="s">
        <v>146</v>
      </c>
      <c r="AS117" s="15">
        <v>36</v>
      </c>
      <c r="AT117" s="15" t="s">
        <v>147</v>
      </c>
      <c r="AU117" s="15">
        <v>75</v>
      </c>
      <c r="AV117" s="15" t="s">
        <v>148</v>
      </c>
      <c r="AW117" s="15">
        <v>105</v>
      </c>
      <c r="AX117" s="15" t="s">
        <v>149</v>
      </c>
      <c r="AY117" s="15">
        <v>75</v>
      </c>
      <c r="AZ117" s="15" t="s">
        <v>150</v>
      </c>
      <c r="BA117" s="15">
        <v>105</v>
      </c>
      <c r="BB117" s="15" t="s">
        <v>151</v>
      </c>
      <c r="BC117" s="15">
        <v>1</v>
      </c>
      <c r="BD117" s="15" t="s">
        <v>152</v>
      </c>
      <c r="BE117" s="15">
        <v>2</v>
      </c>
      <c r="BF117" s="15" t="s">
        <v>153</v>
      </c>
      <c r="BG117" s="15">
        <v>100</v>
      </c>
      <c r="BH117" s="15" t="s">
        <v>154</v>
      </c>
      <c r="BI117" s="15">
        <v>10</v>
      </c>
      <c r="BJ117" s="15" t="s">
        <v>155</v>
      </c>
      <c r="BK117" s="7">
        <v>300</v>
      </c>
      <c r="BL117" s="25"/>
      <c r="BM117" s="25"/>
      <c r="BN117" s="20">
        <v>1</v>
      </c>
      <c r="BO117" s="20">
        <v>2500</v>
      </c>
      <c r="BP117" s="20">
        <v>2</v>
      </c>
      <c r="BQ117" s="20">
        <v>2500</v>
      </c>
      <c r="BR117" s="25" t="s">
        <v>156</v>
      </c>
    </row>
    <row r="118" s="7" customFormat="1" ht="16.5" spans="1:70">
      <c r="A118" s="7">
        <f>60000000+INDEX(编号表!$B:$B,MATCH(I118,编号表!$A:$A,0))*10000+INDEX(编号表!$B:$B,MATCH(J118,编号表!$C:$C,0))*1000+K118</f>
        <v>60121000</v>
      </c>
      <c r="B118" s="7" t="s">
        <v>431</v>
      </c>
      <c r="C118" s="7" t="s">
        <v>389</v>
      </c>
      <c r="D118" s="7" t="s">
        <v>432</v>
      </c>
      <c r="E118" s="7">
        <v>28</v>
      </c>
      <c r="F118" s="7" t="str" cm="1">
        <f t="array" ref="F118">INDEX(编号表!$E:$E,MATCH(J118,编号表!$C:$C,0))</f>
        <v>白色</v>
      </c>
      <c r="G118" s="7">
        <v>16</v>
      </c>
      <c r="H118" s="7" t="s">
        <v>433</v>
      </c>
      <c r="I118" s="7" t="s">
        <v>433</v>
      </c>
      <c r="J118" s="7" t="s">
        <v>137</v>
      </c>
      <c r="K118" s="7">
        <v>0</v>
      </c>
      <c r="L118" s="7">
        <f>COUNTIFS(I$11:I118,I118,J$11:J118,J118)-1</f>
        <v>0</v>
      </c>
      <c r="O118" s="7">
        <v>10</v>
      </c>
      <c r="P118" s="7">
        <v>300000</v>
      </c>
      <c r="Q118" s="7" t="s">
        <v>138</v>
      </c>
      <c r="R118" s="21">
        <v>40140003</v>
      </c>
      <c r="S118" s="7"/>
      <c r="T118" s="7"/>
      <c r="U118" s="7">
        <v>11010001</v>
      </c>
      <c r="V118" s="7">
        <v>11020001</v>
      </c>
      <c r="X118" s="7" t="s">
        <v>139</v>
      </c>
      <c r="Y118" s="7" t="s">
        <v>391</v>
      </c>
      <c r="Z118" s="7"/>
      <c r="AA118" s="7">
        <v>80</v>
      </c>
      <c r="AB118" s="7">
        <v>80</v>
      </c>
      <c r="AC118" s="7">
        <v>20</v>
      </c>
      <c r="AD118" s="7">
        <v>30</v>
      </c>
      <c r="AE118" s="7" t="s">
        <v>141</v>
      </c>
      <c r="AF118" s="7"/>
      <c r="AG118" s="22"/>
      <c r="AI118" s="23">
        <v>140</v>
      </c>
      <c r="AJ118" s="7" t="s">
        <v>142</v>
      </c>
      <c r="AK118" s="24">
        <v>1100</v>
      </c>
      <c r="AL118" s="7" t="s">
        <v>143</v>
      </c>
      <c r="AM118" s="7">
        <v>14</v>
      </c>
      <c r="AN118" s="7" t="s">
        <v>144</v>
      </c>
      <c r="AO118" s="7">
        <v>20</v>
      </c>
      <c r="AP118" s="7" t="s">
        <v>145</v>
      </c>
      <c r="AQ118" s="7">
        <v>13</v>
      </c>
      <c r="AR118" s="7" t="s">
        <v>146</v>
      </c>
      <c r="AS118" s="7">
        <v>19</v>
      </c>
      <c r="AT118" s="7" t="s">
        <v>147</v>
      </c>
      <c r="AU118" s="7">
        <v>28</v>
      </c>
      <c r="AV118" s="7" t="s">
        <v>148</v>
      </c>
      <c r="AW118" s="7">
        <v>38</v>
      </c>
      <c r="AX118" s="7" t="s">
        <v>149</v>
      </c>
      <c r="AY118" s="7">
        <v>28</v>
      </c>
      <c r="AZ118" s="7" t="s">
        <v>150</v>
      </c>
      <c r="BA118" s="7">
        <v>38</v>
      </c>
      <c r="BB118" s="7" t="s">
        <v>151</v>
      </c>
      <c r="BC118" s="7">
        <v>1</v>
      </c>
      <c r="BD118" s="7" t="s">
        <v>152</v>
      </c>
      <c r="BE118" s="7">
        <v>2</v>
      </c>
      <c r="BF118" s="7" t="s">
        <v>153</v>
      </c>
      <c r="BG118" s="7">
        <v>100</v>
      </c>
      <c r="BH118" s="7" t="s">
        <v>154</v>
      </c>
      <c r="BI118" s="7">
        <v>10</v>
      </c>
      <c r="BJ118" s="7" t="s">
        <v>155</v>
      </c>
      <c r="BK118" s="7">
        <v>300</v>
      </c>
      <c r="BL118" s="20"/>
      <c r="BM118" s="20"/>
      <c r="BN118" s="20">
        <v>1</v>
      </c>
      <c r="BO118" s="20">
        <v>2500</v>
      </c>
      <c r="BP118" s="20">
        <v>2</v>
      </c>
      <c r="BQ118" s="20">
        <v>2500</v>
      </c>
      <c r="BR118" s="20" t="s">
        <v>156</v>
      </c>
    </row>
    <row r="119" s="7" customFormat="1" ht="16.5" spans="1:70">
      <c r="A119" s="7">
        <f>60000000+INDEX(编号表!$B:$B,MATCH(I119,编号表!$A:$A,0))*10000+INDEX(编号表!$B:$B,MATCH(J119,编号表!$C:$C,0))*1000+K119</f>
        <v>60121001</v>
      </c>
      <c r="B119" s="7" t="s">
        <v>434</v>
      </c>
      <c r="C119" s="7" t="s">
        <v>419</v>
      </c>
      <c r="D119" s="7" t="s">
        <v>435</v>
      </c>
      <c r="E119" s="7">
        <v>28</v>
      </c>
      <c r="F119" s="7" t="str" cm="1">
        <f t="array" ref="F119">INDEX(编号表!$E:$E,MATCH(J119,编号表!$C:$C,0))</f>
        <v>白色</v>
      </c>
      <c r="G119" s="7">
        <v>16</v>
      </c>
      <c r="H119" s="7" t="s">
        <v>433</v>
      </c>
      <c r="I119" s="7" t="s">
        <v>433</v>
      </c>
      <c r="J119" s="7" t="s">
        <v>137</v>
      </c>
      <c r="K119" s="7">
        <v>1</v>
      </c>
      <c r="L119" s="7">
        <f>COUNTIFS(I$11:I119,I119,J$11:J119,J119)-1</f>
        <v>1</v>
      </c>
      <c r="O119" s="7">
        <v>10</v>
      </c>
      <c r="P119" s="7">
        <v>300000</v>
      </c>
      <c r="Q119" s="7" t="s">
        <v>138</v>
      </c>
      <c r="R119" s="21">
        <v>40140003</v>
      </c>
      <c r="S119" s="7"/>
      <c r="T119" s="7"/>
      <c r="U119" s="7">
        <v>11010001</v>
      </c>
      <c r="V119" s="7">
        <v>11020001</v>
      </c>
      <c r="X119" s="7" t="s">
        <v>139</v>
      </c>
      <c r="Y119" s="7" t="s">
        <v>420</v>
      </c>
      <c r="Z119" s="7"/>
      <c r="AA119" s="7">
        <v>80</v>
      </c>
      <c r="AB119" s="7">
        <v>80</v>
      </c>
      <c r="AC119" s="7">
        <v>20</v>
      </c>
      <c r="AD119" s="7">
        <v>30</v>
      </c>
      <c r="AE119" s="7" t="s">
        <v>141</v>
      </c>
      <c r="AF119" s="7"/>
      <c r="AG119" s="22"/>
      <c r="AI119" s="23">
        <v>140</v>
      </c>
      <c r="AJ119" s="7" t="s">
        <v>142</v>
      </c>
      <c r="AK119" s="24">
        <v>1100</v>
      </c>
      <c r="AL119" s="7" t="s">
        <v>143</v>
      </c>
      <c r="AM119" s="7">
        <v>14</v>
      </c>
      <c r="AN119" s="7" t="s">
        <v>144</v>
      </c>
      <c r="AO119" s="7">
        <v>20</v>
      </c>
      <c r="AP119" s="7" t="s">
        <v>145</v>
      </c>
      <c r="AQ119" s="7">
        <v>13</v>
      </c>
      <c r="AR119" s="7" t="s">
        <v>146</v>
      </c>
      <c r="AS119" s="7">
        <v>19</v>
      </c>
      <c r="AT119" s="7" t="s">
        <v>147</v>
      </c>
      <c r="AU119" s="7">
        <v>28</v>
      </c>
      <c r="AV119" s="7" t="s">
        <v>148</v>
      </c>
      <c r="AW119" s="7">
        <v>38</v>
      </c>
      <c r="AX119" s="7" t="s">
        <v>149</v>
      </c>
      <c r="AY119" s="7">
        <v>28</v>
      </c>
      <c r="AZ119" s="7" t="s">
        <v>150</v>
      </c>
      <c r="BA119" s="7">
        <v>38</v>
      </c>
      <c r="BB119" s="7" t="s">
        <v>151</v>
      </c>
      <c r="BC119" s="7">
        <v>1</v>
      </c>
      <c r="BD119" s="7" t="s">
        <v>152</v>
      </c>
      <c r="BE119" s="7">
        <v>2</v>
      </c>
      <c r="BF119" s="7" t="s">
        <v>153</v>
      </c>
      <c r="BG119" s="7">
        <v>100</v>
      </c>
      <c r="BH119" s="7" t="s">
        <v>154</v>
      </c>
      <c r="BI119" s="7">
        <v>10</v>
      </c>
      <c r="BJ119" s="7" t="s">
        <v>155</v>
      </c>
      <c r="BK119" s="7">
        <v>300</v>
      </c>
      <c r="BL119" s="20"/>
      <c r="BM119" s="20"/>
      <c r="BN119" s="20">
        <v>1</v>
      </c>
      <c r="BO119" s="20">
        <v>2500</v>
      </c>
      <c r="BP119" s="20">
        <v>2</v>
      </c>
      <c r="BQ119" s="20">
        <v>2500</v>
      </c>
      <c r="BR119" s="20" t="s">
        <v>156</v>
      </c>
    </row>
    <row r="120" s="7" customFormat="1" ht="16.5" spans="1:70">
      <c r="A120" s="7">
        <f>60000000+INDEX(编号表!$B:$B,MATCH(I120,编号表!$A:$A,0))*10000+INDEX(编号表!$B:$B,MATCH(J120,编号表!$C:$C,0))*1000+K120</f>
        <v>60121002</v>
      </c>
      <c r="B120" s="7" t="s">
        <v>436</v>
      </c>
      <c r="C120" s="7" t="s">
        <v>422</v>
      </c>
      <c r="D120" s="7" t="s">
        <v>437</v>
      </c>
      <c r="E120" s="7">
        <v>28</v>
      </c>
      <c r="F120" s="7" t="str" cm="1">
        <f t="array" ref="F120">INDEX(编号表!$E:$E,MATCH(J120,编号表!$C:$C,0))</f>
        <v>白色</v>
      </c>
      <c r="G120" s="7">
        <v>16</v>
      </c>
      <c r="H120" s="7" t="s">
        <v>433</v>
      </c>
      <c r="I120" s="7" t="s">
        <v>433</v>
      </c>
      <c r="J120" s="7" t="s">
        <v>137</v>
      </c>
      <c r="K120" s="7">
        <v>2</v>
      </c>
      <c r="L120" s="7">
        <f>COUNTIFS(I$11:I120,I120,J$11:J120,J120)-1</f>
        <v>2</v>
      </c>
      <c r="O120" s="7">
        <v>10</v>
      </c>
      <c r="P120" s="7">
        <v>300000</v>
      </c>
      <c r="Q120" s="7" t="s">
        <v>138</v>
      </c>
      <c r="R120" s="21">
        <v>40140003</v>
      </c>
      <c r="S120" s="7"/>
      <c r="T120" s="7"/>
      <c r="U120" s="7">
        <v>11010001</v>
      </c>
      <c r="V120" s="7">
        <v>11020001</v>
      </c>
      <c r="X120" s="7" t="s">
        <v>139</v>
      </c>
      <c r="Y120" s="7" t="s">
        <v>423</v>
      </c>
      <c r="Z120" s="7"/>
      <c r="AA120" s="7">
        <v>80</v>
      </c>
      <c r="AB120" s="7">
        <v>80</v>
      </c>
      <c r="AC120" s="7">
        <v>20</v>
      </c>
      <c r="AD120" s="7">
        <v>30</v>
      </c>
      <c r="AE120" s="7" t="s">
        <v>141</v>
      </c>
      <c r="AF120" s="7"/>
      <c r="AG120" s="22"/>
      <c r="AI120" s="23">
        <v>140</v>
      </c>
      <c r="AJ120" s="7" t="s">
        <v>142</v>
      </c>
      <c r="AK120" s="24">
        <v>1100</v>
      </c>
      <c r="AL120" s="7" t="s">
        <v>143</v>
      </c>
      <c r="AM120" s="7">
        <v>14</v>
      </c>
      <c r="AN120" s="7" t="s">
        <v>144</v>
      </c>
      <c r="AO120" s="7">
        <v>20</v>
      </c>
      <c r="AP120" s="7" t="s">
        <v>145</v>
      </c>
      <c r="AQ120" s="7">
        <v>13</v>
      </c>
      <c r="AR120" s="7" t="s">
        <v>146</v>
      </c>
      <c r="AS120" s="7">
        <v>19</v>
      </c>
      <c r="AT120" s="7" t="s">
        <v>147</v>
      </c>
      <c r="AU120" s="7">
        <v>28</v>
      </c>
      <c r="AV120" s="7" t="s">
        <v>148</v>
      </c>
      <c r="AW120" s="7">
        <v>38</v>
      </c>
      <c r="AX120" s="7" t="s">
        <v>149</v>
      </c>
      <c r="AY120" s="7">
        <v>28</v>
      </c>
      <c r="AZ120" s="7" t="s">
        <v>150</v>
      </c>
      <c r="BA120" s="7">
        <v>38</v>
      </c>
      <c r="BB120" s="7" t="s">
        <v>151</v>
      </c>
      <c r="BC120" s="7">
        <v>1</v>
      </c>
      <c r="BD120" s="7" t="s">
        <v>152</v>
      </c>
      <c r="BE120" s="7">
        <v>2</v>
      </c>
      <c r="BF120" s="7" t="s">
        <v>153</v>
      </c>
      <c r="BG120" s="7">
        <v>100</v>
      </c>
      <c r="BH120" s="7" t="s">
        <v>154</v>
      </c>
      <c r="BI120" s="7">
        <v>10</v>
      </c>
      <c r="BJ120" s="7" t="s">
        <v>155</v>
      </c>
      <c r="BK120" s="7">
        <v>300</v>
      </c>
      <c r="BL120" s="20"/>
      <c r="BM120" s="20"/>
      <c r="BN120" s="20">
        <v>1</v>
      </c>
      <c r="BO120" s="20">
        <v>2500</v>
      </c>
      <c r="BP120" s="20">
        <v>2</v>
      </c>
      <c r="BQ120" s="20">
        <v>2500</v>
      </c>
      <c r="BR120" s="20" t="s">
        <v>156</v>
      </c>
    </row>
    <row r="121" s="7" customFormat="1" ht="16.5" spans="1:70">
      <c r="A121" s="7">
        <f>60000000+INDEX(编号表!$B:$B,MATCH(I121,编号表!$A:$A,0))*10000+INDEX(编号表!$B:$B,MATCH(J121,编号表!$C:$C,0))*1000+K121</f>
        <v>60121003</v>
      </c>
      <c r="B121" s="7" t="s">
        <v>438</v>
      </c>
      <c r="C121" s="7" t="s">
        <v>425</v>
      </c>
      <c r="D121" s="7" t="s">
        <v>439</v>
      </c>
      <c r="E121" s="7">
        <v>28</v>
      </c>
      <c r="F121" s="7" t="str" cm="1">
        <f t="array" ref="F121">INDEX(编号表!$E:$E,MATCH(J121,编号表!$C:$C,0))</f>
        <v>白色</v>
      </c>
      <c r="G121" s="7">
        <v>16</v>
      </c>
      <c r="H121" s="7" t="s">
        <v>433</v>
      </c>
      <c r="I121" s="7" t="s">
        <v>433</v>
      </c>
      <c r="J121" s="7" t="s">
        <v>137</v>
      </c>
      <c r="K121" s="7">
        <v>3</v>
      </c>
      <c r="L121" s="7">
        <f>COUNTIFS(I$11:I121,I121,J$11:J121,J121)-1</f>
        <v>3</v>
      </c>
      <c r="O121" s="7">
        <v>10</v>
      </c>
      <c r="P121" s="7">
        <v>300000</v>
      </c>
      <c r="Q121" s="7" t="s">
        <v>138</v>
      </c>
      <c r="R121" s="21">
        <v>40140003</v>
      </c>
      <c r="S121" s="7"/>
      <c r="T121" s="7"/>
      <c r="U121" s="7">
        <v>11010001</v>
      </c>
      <c r="V121" s="7">
        <v>11020001</v>
      </c>
      <c r="X121" s="7" t="s">
        <v>139</v>
      </c>
      <c r="Y121" s="7" t="s">
        <v>426</v>
      </c>
      <c r="Z121" s="7"/>
      <c r="AA121" s="7">
        <v>80</v>
      </c>
      <c r="AB121" s="7">
        <v>80</v>
      </c>
      <c r="AC121" s="7">
        <v>20</v>
      </c>
      <c r="AD121" s="7">
        <v>30</v>
      </c>
      <c r="AE121" s="7" t="s">
        <v>206</v>
      </c>
      <c r="AF121" s="7" t="s">
        <v>427</v>
      </c>
      <c r="AG121" s="22"/>
      <c r="AI121" s="23">
        <v>140</v>
      </c>
      <c r="AJ121" s="7" t="s">
        <v>142</v>
      </c>
      <c r="AK121" s="24">
        <v>870</v>
      </c>
      <c r="AL121" s="7" t="s">
        <v>143</v>
      </c>
      <c r="AM121" s="7">
        <v>11</v>
      </c>
      <c r="AN121" s="7" t="s">
        <v>144</v>
      </c>
      <c r="AO121" s="7">
        <v>16</v>
      </c>
      <c r="AP121" s="7" t="s">
        <v>145</v>
      </c>
      <c r="AQ121" s="7">
        <v>10</v>
      </c>
      <c r="AR121" s="7" t="s">
        <v>146</v>
      </c>
      <c r="AS121" s="7">
        <v>15</v>
      </c>
      <c r="AT121" s="7" t="s">
        <v>147</v>
      </c>
      <c r="AU121" s="7">
        <v>30</v>
      </c>
      <c r="AV121" s="7" t="s">
        <v>148</v>
      </c>
      <c r="AW121" s="7">
        <v>41</v>
      </c>
      <c r="AX121" s="7" t="s">
        <v>149</v>
      </c>
      <c r="AY121" s="7">
        <v>30</v>
      </c>
      <c r="AZ121" s="7" t="s">
        <v>150</v>
      </c>
      <c r="BA121" s="7">
        <v>41</v>
      </c>
      <c r="BB121" s="7" t="s">
        <v>151</v>
      </c>
      <c r="BC121" s="7">
        <v>1</v>
      </c>
      <c r="BD121" s="7" t="s">
        <v>152</v>
      </c>
      <c r="BE121" s="7">
        <v>2</v>
      </c>
      <c r="BF121" s="7" t="s">
        <v>153</v>
      </c>
      <c r="BG121" s="7">
        <v>100</v>
      </c>
      <c r="BH121" s="7" t="s">
        <v>154</v>
      </c>
      <c r="BI121" s="7">
        <v>300</v>
      </c>
      <c r="BJ121" s="7" t="s">
        <v>155</v>
      </c>
      <c r="BK121" s="7">
        <v>300</v>
      </c>
      <c r="BL121" s="20"/>
      <c r="BM121" s="20"/>
      <c r="BN121" s="20">
        <v>1</v>
      </c>
      <c r="BO121" s="20">
        <v>2500</v>
      </c>
      <c r="BP121" s="20">
        <v>2</v>
      </c>
      <c r="BQ121" s="20">
        <v>2500</v>
      </c>
      <c r="BR121" s="20" t="s">
        <v>156</v>
      </c>
    </row>
    <row r="122" s="7" customFormat="1" ht="16.5" spans="1:70">
      <c r="A122" s="7">
        <f>60000000+INDEX(编号表!$B:$B,MATCH(I122,编号表!$A:$A,0))*10000+INDEX(编号表!$B:$B,MATCH(J122,编号表!$C:$C,0))*1000+K122</f>
        <v>60121004</v>
      </c>
      <c r="B122" s="7" t="s">
        <v>440</v>
      </c>
      <c r="C122" s="7" t="s">
        <v>441</v>
      </c>
      <c r="D122" s="7" t="s">
        <v>441</v>
      </c>
      <c r="E122" s="7">
        <v>28</v>
      </c>
      <c r="F122" s="7" t="str" cm="1">
        <f t="array" ref="F122">INDEX(编号表!$E:$E,MATCH(J122,编号表!$C:$C,0))</f>
        <v>白色</v>
      </c>
      <c r="G122" s="7">
        <v>16</v>
      </c>
      <c r="H122" s="7" t="s">
        <v>433</v>
      </c>
      <c r="I122" s="7" t="s">
        <v>433</v>
      </c>
      <c r="J122" s="7" t="s">
        <v>137</v>
      </c>
      <c r="K122" s="7">
        <v>4</v>
      </c>
      <c r="L122" s="7">
        <f>COUNTIFS(I$11:I122,I122,J$11:J122,J122)-1</f>
        <v>4</v>
      </c>
      <c r="O122" s="7">
        <v>10</v>
      </c>
      <c r="P122" s="7">
        <v>150000</v>
      </c>
      <c r="Q122" s="7" t="s">
        <v>138</v>
      </c>
      <c r="R122" s="21">
        <v>40140003</v>
      </c>
      <c r="S122" s="7"/>
      <c r="T122" s="7"/>
      <c r="U122" s="7">
        <v>11010001</v>
      </c>
      <c r="V122" s="7">
        <v>11020001</v>
      </c>
      <c r="X122" s="7" t="s">
        <v>139</v>
      </c>
      <c r="Y122" s="7" t="s">
        <v>442</v>
      </c>
      <c r="Z122" s="7"/>
      <c r="AA122" s="7">
        <v>80</v>
      </c>
      <c r="AB122" s="7">
        <v>80</v>
      </c>
      <c r="AC122" s="7">
        <v>20</v>
      </c>
      <c r="AD122" s="7">
        <v>30</v>
      </c>
      <c r="AE122" s="7" t="s">
        <v>141</v>
      </c>
      <c r="AF122" s="7"/>
      <c r="AG122" s="22"/>
      <c r="AI122" s="23">
        <v>140</v>
      </c>
      <c r="AJ122" s="7" t="s">
        <v>142</v>
      </c>
      <c r="AK122" s="24">
        <v>1100</v>
      </c>
      <c r="AL122" s="7" t="s">
        <v>143</v>
      </c>
      <c r="AM122" s="7">
        <v>14</v>
      </c>
      <c r="AN122" s="7" t="s">
        <v>144</v>
      </c>
      <c r="AO122" s="7">
        <v>20</v>
      </c>
      <c r="AP122" s="7" t="s">
        <v>145</v>
      </c>
      <c r="AQ122" s="7">
        <v>13</v>
      </c>
      <c r="AR122" s="7" t="s">
        <v>146</v>
      </c>
      <c r="AS122" s="7">
        <v>19</v>
      </c>
      <c r="AT122" s="7" t="s">
        <v>147</v>
      </c>
      <c r="AU122" s="7">
        <v>28</v>
      </c>
      <c r="AV122" s="7" t="s">
        <v>148</v>
      </c>
      <c r="AW122" s="7">
        <v>38</v>
      </c>
      <c r="AX122" s="7" t="s">
        <v>149</v>
      </c>
      <c r="AY122" s="7">
        <v>28</v>
      </c>
      <c r="AZ122" s="7" t="s">
        <v>150</v>
      </c>
      <c r="BA122" s="7">
        <v>38</v>
      </c>
      <c r="BB122" s="7" t="s">
        <v>151</v>
      </c>
      <c r="BC122" s="7">
        <v>0</v>
      </c>
      <c r="BD122" s="7" t="s">
        <v>152</v>
      </c>
      <c r="BE122" s="7">
        <v>0</v>
      </c>
      <c r="BF122" s="7" t="s">
        <v>153</v>
      </c>
      <c r="BG122" s="7">
        <v>100</v>
      </c>
      <c r="BH122" s="7" t="s">
        <v>154</v>
      </c>
      <c r="BI122" s="7">
        <v>10</v>
      </c>
      <c r="BJ122" s="7" t="s">
        <v>155</v>
      </c>
      <c r="BK122" s="7">
        <v>300</v>
      </c>
      <c r="BL122" s="20"/>
      <c r="BM122" s="20"/>
      <c r="BN122" s="20">
        <v>1</v>
      </c>
      <c r="BO122" s="20">
        <v>2500</v>
      </c>
      <c r="BP122" s="20">
        <v>2</v>
      </c>
      <c r="BQ122" s="20">
        <v>2500</v>
      </c>
      <c r="BR122" s="20" t="s">
        <v>156</v>
      </c>
    </row>
    <row r="123" s="7" customFormat="1" ht="16.5" spans="1:70">
      <c r="A123" s="7">
        <f>60000000+INDEX(编号表!$B:$B,MATCH(I123,编号表!$A:$A,0))*10000+INDEX(编号表!$B:$B,MATCH(J123,编号表!$C:$C,0))*1000+K123</f>
        <v>60122000</v>
      </c>
      <c r="B123" s="7" t="s">
        <v>443</v>
      </c>
      <c r="C123" s="7" t="s">
        <v>425</v>
      </c>
      <c r="D123" s="7" t="s">
        <v>444</v>
      </c>
      <c r="E123" s="7">
        <v>29</v>
      </c>
      <c r="F123" s="7" t="str" cm="1">
        <f t="array" ref="F123">INDEX(编号表!$E:$E,MATCH(J123,编号表!$C:$C,0))</f>
        <v>绿色</v>
      </c>
      <c r="G123" s="7">
        <v>16</v>
      </c>
      <c r="H123" s="7" t="s">
        <v>433</v>
      </c>
      <c r="I123" s="7" t="s">
        <v>433</v>
      </c>
      <c r="J123" s="7" t="s">
        <v>221</v>
      </c>
      <c r="K123" s="7">
        <v>0</v>
      </c>
      <c r="L123" s="7">
        <f>COUNTIFS(I$11:I123,I123,J$11:J123,J123)-1</f>
        <v>0</v>
      </c>
      <c r="O123" s="7">
        <v>10</v>
      </c>
      <c r="P123" s="7">
        <v>300000</v>
      </c>
      <c r="Q123" s="7" t="s">
        <v>138</v>
      </c>
      <c r="R123" s="21">
        <v>40140003</v>
      </c>
      <c r="S123" s="7"/>
      <c r="T123" s="7"/>
      <c r="U123" s="7">
        <v>11010001</v>
      </c>
      <c r="V123" s="7">
        <v>11020001</v>
      </c>
      <c r="X123" s="7" t="s">
        <v>139</v>
      </c>
      <c r="Y123" s="7" t="s">
        <v>426</v>
      </c>
      <c r="Z123" s="7"/>
      <c r="AA123" s="7">
        <v>80</v>
      </c>
      <c r="AB123" s="7">
        <v>80</v>
      </c>
      <c r="AC123" s="7">
        <v>20</v>
      </c>
      <c r="AD123" s="7">
        <v>30</v>
      </c>
      <c r="AE123" s="7" t="s">
        <v>206</v>
      </c>
      <c r="AF123" s="7" t="s">
        <v>427</v>
      </c>
      <c r="AG123" s="22" t="s">
        <v>222</v>
      </c>
      <c r="AI123" s="23">
        <v>590</v>
      </c>
      <c r="AJ123" s="7" t="s">
        <v>142</v>
      </c>
      <c r="AK123" s="24">
        <v>4650</v>
      </c>
      <c r="AL123" s="7" t="s">
        <v>143</v>
      </c>
      <c r="AM123" s="7">
        <v>17</v>
      </c>
      <c r="AN123" s="7" t="s">
        <v>144</v>
      </c>
      <c r="AO123" s="7">
        <v>24</v>
      </c>
      <c r="AP123" s="7" t="s">
        <v>145</v>
      </c>
      <c r="AQ123" s="7">
        <v>15</v>
      </c>
      <c r="AR123" s="7" t="s">
        <v>146</v>
      </c>
      <c r="AS123" s="7">
        <v>23</v>
      </c>
      <c r="AT123" s="7" t="s">
        <v>147</v>
      </c>
      <c r="AU123" s="7">
        <v>55</v>
      </c>
      <c r="AV123" s="7" t="s">
        <v>148</v>
      </c>
      <c r="AW123" s="7">
        <v>75</v>
      </c>
      <c r="AX123" s="7" t="s">
        <v>149</v>
      </c>
      <c r="AY123" s="7">
        <v>55</v>
      </c>
      <c r="AZ123" s="7" t="s">
        <v>150</v>
      </c>
      <c r="BA123" s="7">
        <v>75</v>
      </c>
      <c r="BB123" s="7" t="s">
        <v>151</v>
      </c>
      <c r="BC123" s="7">
        <v>1</v>
      </c>
      <c r="BD123" s="7" t="s">
        <v>152</v>
      </c>
      <c r="BE123" s="7">
        <v>2</v>
      </c>
      <c r="BF123" s="7" t="s">
        <v>153</v>
      </c>
      <c r="BG123" s="7">
        <v>100</v>
      </c>
      <c r="BH123" s="7" t="s">
        <v>154</v>
      </c>
      <c r="BI123" s="7">
        <v>300</v>
      </c>
      <c r="BJ123" s="7" t="s">
        <v>155</v>
      </c>
      <c r="BK123" s="7">
        <v>300</v>
      </c>
      <c r="BL123" s="20"/>
      <c r="BM123" s="20"/>
      <c r="BN123" s="20">
        <v>1</v>
      </c>
      <c r="BO123" s="20">
        <v>2500</v>
      </c>
      <c r="BP123" s="20">
        <v>2</v>
      </c>
      <c r="BQ123" s="20">
        <v>2500</v>
      </c>
      <c r="BR123" s="20" t="s">
        <v>156</v>
      </c>
    </row>
    <row r="124" s="15" customFormat="1" ht="16.5" spans="1:70">
      <c r="A124" s="15">
        <f>60000000+INDEX(编号表!$B:$B,MATCH(I124,编号表!$A:$A,0))*10000+INDEX(编号表!$B:$B,MATCH(J124,编号表!$C:$C,0))*1000+K124</f>
        <v>60124000</v>
      </c>
      <c r="B124" s="15" t="s">
        <v>445</v>
      </c>
      <c r="C124" s="15" t="s">
        <v>425</v>
      </c>
      <c r="D124" s="15" t="s">
        <v>444</v>
      </c>
      <c r="E124" s="15">
        <v>29</v>
      </c>
      <c r="F124" s="15" t="str" cm="1">
        <f t="array" ref="F124">INDEX(编号表!$E:$E,MATCH(J124,编号表!$C:$C,0))</f>
        <v>橙色</v>
      </c>
      <c r="G124" s="15">
        <v>16</v>
      </c>
      <c r="H124" s="15" t="s">
        <v>433</v>
      </c>
      <c r="I124" s="15" t="s">
        <v>433</v>
      </c>
      <c r="J124" s="15" t="s">
        <v>233</v>
      </c>
      <c r="K124" s="15">
        <v>0</v>
      </c>
      <c r="L124" s="15">
        <f>COUNTIFS(I$11:I124,I124,J$11:J124,J124)-1</f>
        <v>0</v>
      </c>
      <c r="O124" s="7">
        <v>10</v>
      </c>
      <c r="P124" s="7">
        <v>300000</v>
      </c>
      <c r="Q124" s="15" t="s">
        <v>138</v>
      </c>
      <c r="R124" s="21">
        <v>40140003</v>
      </c>
      <c r="S124" s="15"/>
      <c r="T124" s="15"/>
      <c r="U124" s="15">
        <v>11010001</v>
      </c>
      <c r="V124" s="15">
        <v>11020001</v>
      </c>
      <c r="X124" s="15" t="s">
        <v>139</v>
      </c>
      <c r="Y124" s="15" t="s">
        <v>426</v>
      </c>
      <c r="Z124" s="7">
        <v>1.5</v>
      </c>
      <c r="AA124" s="7">
        <v>80</v>
      </c>
      <c r="AB124" s="7">
        <v>80</v>
      </c>
      <c r="AC124" s="7">
        <v>20</v>
      </c>
      <c r="AD124" s="7">
        <v>30</v>
      </c>
      <c r="AE124" s="7" t="s">
        <v>206</v>
      </c>
      <c r="AF124" s="15" t="s">
        <v>427</v>
      </c>
      <c r="AG124" s="22" t="s">
        <v>234</v>
      </c>
      <c r="AH124" s="15"/>
      <c r="AI124" s="23">
        <v>2950</v>
      </c>
      <c r="AJ124" s="15" t="s">
        <v>142</v>
      </c>
      <c r="AK124" s="24">
        <v>25500</v>
      </c>
      <c r="AL124" s="15" t="s">
        <v>143</v>
      </c>
      <c r="AM124" s="15">
        <v>23</v>
      </c>
      <c r="AN124" s="15" t="s">
        <v>144</v>
      </c>
      <c r="AO124" s="15">
        <v>32</v>
      </c>
      <c r="AP124" s="15" t="s">
        <v>145</v>
      </c>
      <c r="AQ124" s="15">
        <v>21</v>
      </c>
      <c r="AR124" s="15" t="s">
        <v>146</v>
      </c>
      <c r="AS124" s="15">
        <v>31</v>
      </c>
      <c r="AT124" s="15" t="s">
        <v>147</v>
      </c>
      <c r="AU124" s="15">
        <v>90</v>
      </c>
      <c r="AV124" s="15" t="s">
        <v>148</v>
      </c>
      <c r="AW124" s="15">
        <v>120</v>
      </c>
      <c r="AX124" s="15" t="s">
        <v>149</v>
      </c>
      <c r="AY124" s="15">
        <v>90</v>
      </c>
      <c r="AZ124" s="15" t="s">
        <v>150</v>
      </c>
      <c r="BA124" s="15">
        <v>120</v>
      </c>
      <c r="BB124" s="15" t="s">
        <v>151</v>
      </c>
      <c r="BC124" s="15">
        <v>1</v>
      </c>
      <c r="BD124" s="15" t="s">
        <v>152</v>
      </c>
      <c r="BE124" s="15">
        <v>2</v>
      </c>
      <c r="BF124" s="15" t="s">
        <v>153</v>
      </c>
      <c r="BG124" s="15">
        <v>100</v>
      </c>
      <c r="BH124" s="15" t="s">
        <v>154</v>
      </c>
      <c r="BI124" s="7">
        <v>300</v>
      </c>
      <c r="BJ124" s="15" t="s">
        <v>155</v>
      </c>
      <c r="BK124" s="7">
        <v>300</v>
      </c>
      <c r="BL124" s="25"/>
      <c r="BM124" s="25"/>
      <c r="BN124" s="20">
        <v>1</v>
      </c>
      <c r="BO124" s="20">
        <v>2500</v>
      </c>
      <c r="BP124" s="20">
        <v>2</v>
      </c>
      <c r="BQ124" s="20">
        <v>2500</v>
      </c>
      <c r="BR124" s="25" t="s">
        <v>156</v>
      </c>
    </row>
    <row r="125" s="7" customFormat="1" ht="16.5" spans="1:70">
      <c r="A125" s="7">
        <f>60000000+INDEX(编号表!$B:$B,MATCH(I125,编号表!$A:$A,0))*10000+INDEX(编号表!$B:$B,MATCH(J125,编号表!$C:$C,0))*1000+K125</f>
        <v>60131000</v>
      </c>
      <c r="B125" s="7" t="s">
        <v>446</v>
      </c>
      <c r="C125" s="7" t="s">
        <v>389</v>
      </c>
      <c r="D125" s="7" t="s">
        <v>447</v>
      </c>
      <c r="E125" s="7">
        <v>29</v>
      </c>
      <c r="F125" s="7" t="str" cm="1">
        <f t="array" ref="F125">INDEX(编号表!$E:$E,MATCH(J125,编号表!$C:$C,0))</f>
        <v>白色</v>
      </c>
      <c r="G125" s="7">
        <v>17</v>
      </c>
      <c r="H125" s="7" t="s">
        <v>448</v>
      </c>
      <c r="I125" s="7" t="s">
        <v>448</v>
      </c>
      <c r="J125" s="7" t="s">
        <v>137</v>
      </c>
      <c r="K125" s="7">
        <v>0</v>
      </c>
      <c r="L125" s="7">
        <f>COUNTIFS(I$11:I125,I125,J$11:J125,J125)-1</f>
        <v>0</v>
      </c>
      <c r="O125" s="7">
        <v>10</v>
      </c>
      <c r="P125" s="7">
        <v>300000</v>
      </c>
      <c r="Q125" s="7" t="s">
        <v>138</v>
      </c>
      <c r="R125" s="21">
        <v>40140003</v>
      </c>
      <c r="S125" s="7"/>
      <c r="T125" s="7"/>
      <c r="U125" s="7">
        <v>11010001</v>
      </c>
      <c r="V125" s="7">
        <v>11020001</v>
      </c>
      <c r="X125" s="7" t="s">
        <v>139</v>
      </c>
      <c r="Y125" s="7" t="s">
        <v>391</v>
      </c>
      <c r="Z125" s="7"/>
      <c r="AA125" s="7">
        <v>80</v>
      </c>
      <c r="AB125" s="7">
        <v>80</v>
      </c>
      <c r="AC125" s="7">
        <v>20</v>
      </c>
      <c r="AD125" s="7">
        <v>30</v>
      </c>
      <c r="AE125" s="7" t="s">
        <v>141</v>
      </c>
      <c r="AF125" s="7"/>
      <c r="AG125" s="22"/>
      <c r="AI125" s="23">
        <v>150</v>
      </c>
      <c r="AJ125" s="7" t="s">
        <v>142</v>
      </c>
      <c r="AK125" s="24">
        <v>1200</v>
      </c>
      <c r="AL125" s="7" t="s">
        <v>143</v>
      </c>
      <c r="AM125" s="7">
        <v>15</v>
      </c>
      <c r="AN125" s="7" t="s">
        <v>144</v>
      </c>
      <c r="AO125" s="7">
        <v>22</v>
      </c>
      <c r="AP125" s="7" t="s">
        <v>145</v>
      </c>
      <c r="AQ125" s="7">
        <v>14</v>
      </c>
      <c r="AR125" s="7" t="s">
        <v>146</v>
      </c>
      <c r="AS125" s="7">
        <v>21</v>
      </c>
      <c r="AT125" s="7" t="s">
        <v>147</v>
      </c>
      <c r="AU125" s="7">
        <v>30</v>
      </c>
      <c r="AV125" s="7" t="s">
        <v>148</v>
      </c>
      <c r="AW125" s="7">
        <v>41</v>
      </c>
      <c r="AX125" s="7" t="s">
        <v>149</v>
      </c>
      <c r="AY125" s="7">
        <v>30</v>
      </c>
      <c r="AZ125" s="7" t="s">
        <v>150</v>
      </c>
      <c r="BA125" s="7">
        <v>41</v>
      </c>
      <c r="BB125" s="7" t="s">
        <v>151</v>
      </c>
      <c r="BC125" s="7">
        <v>1</v>
      </c>
      <c r="BD125" s="7" t="s">
        <v>152</v>
      </c>
      <c r="BE125" s="7">
        <v>2</v>
      </c>
      <c r="BF125" s="7" t="s">
        <v>153</v>
      </c>
      <c r="BG125" s="7">
        <v>100</v>
      </c>
      <c r="BH125" s="7" t="s">
        <v>154</v>
      </c>
      <c r="BI125" s="7">
        <v>10</v>
      </c>
      <c r="BJ125" s="7" t="s">
        <v>155</v>
      </c>
      <c r="BK125" s="7">
        <v>300</v>
      </c>
      <c r="BL125" s="20"/>
      <c r="BM125" s="20"/>
      <c r="BN125" s="20">
        <v>1</v>
      </c>
      <c r="BO125" s="20">
        <v>2500</v>
      </c>
      <c r="BP125" s="20">
        <v>2</v>
      </c>
      <c r="BQ125" s="20">
        <v>2500</v>
      </c>
      <c r="BR125" s="20" t="s">
        <v>156</v>
      </c>
    </row>
    <row r="126" s="7" customFormat="1" ht="16.5" spans="1:70">
      <c r="A126" s="7">
        <f>60000000+INDEX(编号表!$B:$B,MATCH(I126,编号表!$A:$A,0))*10000+INDEX(编号表!$B:$B,MATCH(J126,编号表!$C:$C,0))*1000+K126</f>
        <v>60131001</v>
      </c>
      <c r="B126" s="7" t="s">
        <v>449</v>
      </c>
      <c r="C126" s="7" t="s">
        <v>419</v>
      </c>
      <c r="D126" s="7" t="s">
        <v>450</v>
      </c>
      <c r="E126" s="7">
        <v>29</v>
      </c>
      <c r="F126" s="7" t="str" cm="1">
        <f t="array" ref="F126">INDEX(编号表!$E:$E,MATCH(J126,编号表!$C:$C,0))</f>
        <v>白色</v>
      </c>
      <c r="G126" s="7">
        <v>17</v>
      </c>
      <c r="H126" s="7" t="s">
        <v>448</v>
      </c>
      <c r="I126" s="7" t="s">
        <v>448</v>
      </c>
      <c r="J126" s="7" t="s">
        <v>137</v>
      </c>
      <c r="K126" s="7">
        <v>1</v>
      </c>
      <c r="L126" s="7">
        <f>COUNTIFS(I$11:I126,I126,J$11:J126,J126)-1</f>
        <v>1</v>
      </c>
      <c r="O126" s="7">
        <v>10</v>
      </c>
      <c r="P126" s="7">
        <v>300000</v>
      </c>
      <c r="Q126" s="7" t="s">
        <v>138</v>
      </c>
      <c r="R126" s="21">
        <v>40140003</v>
      </c>
      <c r="S126" s="7"/>
      <c r="T126" s="7"/>
      <c r="U126" s="7">
        <v>11010001</v>
      </c>
      <c r="V126" s="7">
        <v>11020001</v>
      </c>
      <c r="X126" s="7" t="s">
        <v>139</v>
      </c>
      <c r="Y126" s="7" t="s">
        <v>420</v>
      </c>
      <c r="Z126" s="7"/>
      <c r="AA126" s="7">
        <v>80</v>
      </c>
      <c r="AB126" s="7">
        <v>80</v>
      </c>
      <c r="AC126" s="7">
        <v>20</v>
      </c>
      <c r="AD126" s="7">
        <v>30</v>
      </c>
      <c r="AE126" s="7" t="s">
        <v>141</v>
      </c>
      <c r="AF126" s="7"/>
      <c r="AG126" s="22"/>
      <c r="AI126" s="23">
        <v>150</v>
      </c>
      <c r="AJ126" s="7" t="s">
        <v>142</v>
      </c>
      <c r="AK126" s="24">
        <v>1200</v>
      </c>
      <c r="AL126" s="7" t="s">
        <v>143</v>
      </c>
      <c r="AM126" s="7">
        <v>15</v>
      </c>
      <c r="AN126" s="7" t="s">
        <v>144</v>
      </c>
      <c r="AO126" s="7">
        <v>22</v>
      </c>
      <c r="AP126" s="7" t="s">
        <v>145</v>
      </c>
      <c r="AQ126" s="7">
        <v>14</v>
      </c>
      <c r="AR126" s="7" t="s">
        <v>146</v>
      </c>
      <c r="AS126" s="7">
        <v>21</v>
      </c>
      <c r="AT126" s="7" t="s">
        <v>147</v>
      </c>
      <c r="AU126" s="7">
        <v>30</v>
      </c>
      <c r="AV126" s="7" t="s">
        <v>148</v>
      </c>
      <c r="AW126" s="7">
        <v>41</v>
      </c>
      <c r="AX126" s="7" t="s">
        <v>149</v>
      </c>
      <c r="AY126" s="7">
        <v>30</v>
      </c>
      <c r="AZ126" s="7" t="s">
        <v>150</v>
      </c>
      <c r="BA126" s="7">
        <v>41</v>
      </c>
      <c r="BB126" s="7" t="s">
        <v>151</v>
      </c>
      <c r="BC126" s="7">
        <v>1</v>
      </c>
      <c r="BD126" s="7" t="s">
        <v>152</v>
      </c>
      <c r="BE126" s="7">
        <v>2</v>
      </c>
      <c r="BF126" s="7" t="s">
        <v>153</v>
      </c>
      <c r="BG126" s="7">
        <v>100</v>
      </c>
      <c r="BH126" s="7" t="s">
        <v>154</v>
      </c>
      <c r="BI126" s="7">
        <v>10</v>
      </c>
      <c r="BJ126" s="7" t="s">
        <v>155</v>
      </c>
      <c r="BK126" s="7">
        <v>300</v>
      </c>
      <c r="BL126" s="20"/>
      <c r="BM126" s="20"/>
      <c r="BN126" s="20">
        <v>1</v>
      </c>
      <c r="BO126" s="20">
        <v>2500</v>
      </c>
      <c r="BP126" s="20">
        <v>2</v>
      </c>
      <c r="BQ126" s="20">
        <v>2500</v>
      </c>
      <c r="BR126" s="20" t="s">
        <v>156</v>
      </c>
    </row>
    <row r="127" s="7" customFormat="1" ht="16.5" spans="1:70">
      <c r="A127" s="7">
        <f>60000000+INDEX(编号表!$B:$B,MATCH(I127,编号表!$A:$A,0))*10000+INDEX(编号表!$B:$B,MATCH(J127,编号表!$C:$C,0))*1000+K127</f>
        <v>60131002</v>
      </c>
      <c r="B127" s="7" t="s">
        <v>451</v>
      </c>
      <c r="C127" s="7" t="s">
        <v>422</v>
      </c>
      <c r="D127" s="7" t="s">
        <v>452</v>
      </c>
      <c r="E127" s="7">
        <v>29</v>
      </c>
      <c r="F127" s="7" t="str" cm="1">
        <f t="array" ref="F127">INDEX(编号表!$E:$E,MATCH(J127,编号表!$C:$C,0))</f>
        <v>白色</v>
      </c>
      <c r="G127" s="7">
        <v>17</v>
      </c>
      <c r="H127" s="7" t="s">
        <v>448</v>
      </c>
      <c r="I127" s="7" t="s">
        <v>448</v>
      </c>
      <c r="J127" s="7" t="s">
        <v>137</v>
      </c>
      <c r="K127" s="7">
        <v>2</v>
      </c>
      <c r="L127" s="7">
        <f>COUNTIFS(I$11:I127,I127,J$11:J127,J127)-1</f>
        <v>2</v>
      </c>
      <c r="O127" s="7">
        <v>10</v>
      </c>
      <c r="P127" s="7">
        <v>300000</v>
      </c>
      <c r="Q127" s="7" t="s">
        <v>138</v>
      </c>
      <c r="R127" s="21">
        <v>40140003</v>
      </c>
      <c r="S127" s="7"/>
      <c r="T127" s="7"/>
      <c r="U127" s="7">
        <v>11010001</v>
      </c>
      <c r="V127" s="7">
        <v>11020001</v>
      </c>
      <c r="X127" s="7" t="s">
        <v>139</v>
      </c>
      <c r="Y127" s="7" t="s">
        <v>423</v>
      </c>
      <c r="Z127" s="7"/>
      <c r="AA127" s="7">
        <v>80</v>
      </c>
      <c r="AB127" s="7">
        <v>80</v>
      </c>
      <c r="AC127" s="7">
        <v>20</v>
      </c>
      <c r="AD127" s="7">
        <v>30</v>
      </c>
      <c r="AE127" s="7" t="s">
        <v>141</v>
      </c>
      <c r="AF127" s="7"/>
      <c r="AG127" s="22"/>
      <c r="AI127" s="23">
        <v>150</v>
      </c>
      <c r="AJ127" s="7" t="s">
        <v>142</v>
      </c>
      <c r="AK127" s="24">
        <v>1200</v>
      </c>
      <c r="AL127" s="7" t="s">
        <v>143</v>
      </c>
      <c r="AM127" s="7">
        <v>15</v>
      </c>
      <c r="AN127" s="7" t="s">
        <v>144</v>
      </c>
      <c r="AO127" s="7">
        <v>22</v>
      </c>
      <c r="AP127" s="7" t="s">
        <v>145</v>
      </c>
      <c r="AQ127" s="7">
        <v>14</v>
      </c>
      <c r="AR127" s="7" t="s">
        <v>146</v>
      </c>
      <c r="AS127" s="7">
        <v>21</v>
      </c>
      <c r="AT127" s="7" t="s">
        <v>147</v>
      </c>
      <c r="AU127" s="7">
        <v>30</v>
      </c>
      <c r="AV127" s="7" t="s">
        <v>148</v>
      </c>
      <c r="AW127" s="7">
        <v>41</v>
      </c>
      <c r="AX127" s="7" t="s">
        <v>149</v>
      </c>
      <c r="AY127" s="7">
        <v>30</v>
      </c>
      <c r="AZ127" s="7" t="s">
        <v>150</v>
      </c>
      <c r="BA127" s="7">
        <v>41</v>
      </c>
      <c r="BB127" s="7" t="s">
        <v>151</v>
      </c>
      <c r="BC127" s="7">
        <v>1</v>
      </c>
      <c r="BD127" s="7" t="s">
        <v>152</v>
      </c>
      <c r="BE127" s="7">
        <v>2</v>
      </c>
      <c r="BF127" s="7" t="s">
        <v>153</v>
      </c>
      <c r="BG127" s="7">
        <v>100</v>
      </c>
      <c r="BH127" s="7" t="s">
        <v>154</v>
      </c>
      <c r="BI127" s="7">
        <v>10</v>
      </c>
      <c r="BJ127" s="7" t="s">
        <v>155</v>
      </c>
      <c r="BK127" s="7">
        <v>300</v>
      </c>
      <c r="BL127" s="20"/>
      <c r="BM127" s="20"/>
      <c r="BN127" s="20">
        <v>1</v>
      </c>
      <c r="BO127" s="20">
        <v>2500</v>
      </c>
      <c r="BP127" s="20">
        <v>2</v>
      </c>
      <c r="BQ127" s="20">
        <v>2500</v>
      </c>
      <c r="BR127" s="20" t="s">
        <v>156</v>
      </c>
    </row>
    <row r="128" s="7" customFormat="1" ht="16.5" spans="1:70">
      <c r="A128" s="7">
        <f>60000000+INDEX(编号表!$B:$B,MATCH(I128,编号表!$A:$A,0))*10000+INDEX(编号表!$B:$B,MATCH(J128,编号表!$C:$C,0))*1000+K128</f>
        <v>60131003</v>
      </c>
      <c r="B128" s="7" t="s">
        <v>453</v>
      </c>
      <c r="C128" s="7" t="s">
        <v>425</v>
      </c>
      <c r="D128" s="7" t="s">
        <v>454</v>
      </c>
      <c r="E128" s="7">
        <v>29</v>
      </c>
      <c r="F128" s="7" t="str" cm="1">
        <f t="array" ref="F128">INDEX(编号表!$E:$E,MATCH(J128,编号表!$C:$C,0))</f>
        <v>白色</v>
      </c>
      <c r="G128" s="7">
        <v>17</v>
      </c>
      <c r="H128" s="7" t="s">
        <v>448</v>
      </c>
      <c r="I128" s="7" t="s">
        <v>448</v>
      </c>
      <c r="J128" s="7" t="s">
        <v>137</v>
      </c>
      <c r="K128" s="7">
        <v>3</v>
      </c>
      <c r="L128" s="7">
        <f>COUNTIFS(I$11:I128,I128,J$11:J128,J128)-1</f>
        <v>3</v>
      </c>
      <c r="O128" s="7">
        <v>10</v>
      </c>
      <c r="P128" s="7">
        <v>300000</v>
      </c>
      <c r="Q128" s="7" t="s">
        <v>138</v>
      </c>
      <c r="R128" s="21">
        <v>40140003</v>
      </c>
      <c r="S128" s="7"/>
      <c r="T128" s="7"/>
      <c r="U128" s="7">
        <v>11010001</v>
      </c>
      <c r="V128" s="7">
        <v>11020001</v>
      </c>
      <c r="X128" s="7" t="s">
        <v>139</v>
      </c>
      <c r="Y128" s="7" t="s">
        <v>426</v>
      </c>
      <c r="Z128" s="7"/>
      <c r="AA128" s="7">
        <v>80</v>
      </c>
      <c r="AB128" s="7">
        <v>80</v>
      </c>
      <c r="AC128" s="7">
        <v>20</v>
      </c>
      <c r="AD128" s="7">
        <v>30</v>
      </c>
      <c r="AE128" s="7" t="s">
        <v>141</v>
      </c>
      <c r="AF128" s="7" t="s">
        <v>427</v>
      </c>
      <c r="AG128" s="22"/>
      <c r="AI128" s="23">
        <v>150</v>
      </c>
      <c r="AJ128" s="7" t="s">
        <v>142</v>
      </c>
      <c r="AK128" s="24">
        <v>950</v>
      </c>
      <c r="AL128" s="7" t="s">
        <v>143</v>
      </c>
      <c r="AM128" s="7">
        <v>12</v>
      </c>
      <c r="AN128" s="7" t="s">
        <v>144</v>
      </c>
      <c r="AO128" s="7">
        <v>17</v>
      </c>
      <c r="AP128" s="7" t="s">
        <v>145</v>
      </c>
      <c r="AQ128" s="7">
        <v>11</v>
      </c>
      <c r="AR128" s="7" t="s">
        <v>146</v>
      </c>
      <c r="AS128" s="7">
        <v>16</v>
      </c>
      <c r="AT128" s="7" t="s">
        <v>147</v>
      </c>
      <c r="AU128" s="7">
        <v>32</v>
      </c>
      <c r="AV128" s="7" t="s">
        <v>148</v>
      </c>
      <c r="AW128" s="7">
        <v>43</v>
      </c>
      <c r="AX128" s="7" t="s">
        <v>149</v>
      </c>
      <c r="AY128" s="7">
        <v>32</v>
      </c>
      <c r="AZ128" s="7" t="s">
        <v>150</v>
      </c>
      <c r="BA128" s="7">
        <v>43</v>
      </c>
      <c r="BB128" s="7" t="s">
        <v>151</v>
      </c>
      <c r="BC128" s="7">
        <v>1</v>
      </c>
      <c r="BD128" s="7" t="s">
        <v>152</v>
      </c>
      <c r="BE128" s="7">
        <v>2</v>
      </c>
      <c r="BF128" s="7" t="s">
        <v>153</v>
      </c>
      <c r="BG128" s="7">
        <v>100</v>
      </c>
      <c r="BH128" s="7" t="s">
        <v>154</v>
      </c>
      <c r="BI128" s="7">
        <v>300</v>
      </c>
      <c r="BJ128" s="7" t="s">
        <v>155</v>
      </c>
      <c r="BK128" s="7">
        <v>300</v>
      </c>
      <c r="BL128" s="20"/>
      <c r="BM128" s="20"/>
      <c r="BN128" s="20">
        <v>1</v>
      </c>
      <c r="BO128" s="20">
        <v>2500</v>
      </c>
      <c r="BP128" s="20">
        <v>2</v>
      </c>
      <c r="BQ128" s="20">
        <v>2500</v>
      </c>
      <c r="BR128" s="20" t="s">
        <v>156</v>
      </c>
    </row>
    <row r="129" s="7" customFormat="1" ht="16.5" spans="1:70">
      <c r="A129" s="7">
        <f>60000000+INDEX(编号表!$B:$B,MATCH(I129,编号表!$A:$A,0))*10000+INDEX(编号表!$B:$B,MATCH(J129,编号表!$C:$C,0))*1000+K129</f>
        <v>60131004</v>
      </c>
      <c r="B129" s="7" t="s">
        <v>455</v>
      </c>
      <c r="C129" s="7" t="s">
        <v>441</v>
      </c>
      <c r="D129" s="7" t="s">
        <v>456</v>
      </c>
      <c r="E129" s="7">
        <v>29</v>
      </c>
      <c r="F129" s="7" t="str" cm="1">
        <f t="array" ref="F129">INDEX(编号表!$E:$E,MATCH(J129,编号表!$C:$C,0))</f>
        <v>白色</v>
      </c>
      <c r="G129" s="7">
        <v>17</v>
      </c>
      <c r="H129" s="7" t="s">
        <v>448</v>
      </c>
      <c r="I129" s="7" t="s">
        <v>448</v>
      </c>
      <c r="J129" s="7" t="s">
        <v>137</v>
      </c>
      <c r="K129" s="7">
        <v>4</v>
      </c>
      <c r="L129" s="7">
        <f>COUNTIFS(I$11:I129,I129,J$11:J129,J129)-1</f>
        <v>4</v>
      </c>
      <c r="O129" s="7">
        <v>10</v>
      </c>
      <c r="P129" s="7">
        <v>150000</v>
      </c>
      <c r="Q129" s="7" t="s">
        <v>138</v>
      </c>
      <c r="R129" s="21">
        <v>40140003</v>
      </c>
      <c r="S129" s="7"/>
      <c r="T129" s="7"/>
      <c r="U129" s="7">
        <v>11010001</v>
      </c>
      <c r="V129" s="7">
        <v>11020001</v>
      </c>
      <c r="X129" s="7" t="s">
        <v>139</v>
      </c>
      <c r="Y129" s="7" t="s">
        <v>442</v>
      </c>
      <c r="Z129" s="7"/>
      <c r="AA129" s="7">
        <v>80</v>
      </c>
      <c r="AB129" s="7">
        <v>80</v>
      </c>
      <c r="AC129" s="7">
        <v>20</v>
      </c>
      <c r="AD129" s="7">
        <v>30</v>
      </c>
      <c r="AE129" s="7" t="s">
        <v>141</v>
      </c>
      <c r="AF129" s="7"/>
      <c r="AG129" s="22"/>
      <c r="AI129" s="23">
        <v>150</v>
      </c>
      <c r="AJ129" s="7" t="s">
        <v>142</v>
      </c>
      <c r="AK129" s="24">
        <v>1200</v>
      </c>
      <c r="AL129" s="7" t="s">
        <v>143</v>
      </c>
      <c r="AM129" s="7">
        <v>15</v>
      </c>
      <c r="AN129" s="7" t="s">
        <v>144</v>
      </c>
      <c r="AO129" s="7">
        <v>22</v>
      </c>
      <c r="AP129" s="7" t="s">
        <v>145</v>
      </c>
      <c r="AQ129" s="7">
        <v>14</v>
      </c>
      <c r="AR129" s="7" t="s">
        <v>146</v>
      </c>
      <c r="AS129" s="7">
        <v>21</v>
      </c>
      <c r="AT129" s="7" t="s">
        <v>147</v>
      </c>
      <c r="AU129" s="7">
        <v>30</v>
      </c>
      <c r="AV129" s="7" t="s">
        <v>148</v>
      </c>
      <c r="AW129" s="7">
        <v>41</v>
      </c>
      <c r="AX129" s="7" t="s">
        <v>149</v>
      </c>
      <c r="AY129" s="7">
        <v>30</v>
      </c>
      <c r="AZ129" s="7" t="s">
        <v>150</v>
      </c>
      <c r="BA129" s="7">
        <v>41</v>
      </c>
      <c r="BB129" s="7" t="s">
        <v>151</v>
      </c>
      <c r="BC129" s="7">
        <v>0</v>
      </c>
      <c r="BD129" s="7" t="s">
        <v>152</v>
      </c>
      <c r="BE129" s="7">
        <v>0</v>
      </c>
      <c r="BF129" s="7" t="s">
        <v>153</v>
      </c>
      <c r="BG129" s="7">
        <v>100</v>
      </c>
      <c r="BH129" s="7" t="s">
        <v>154</v>
      </c>
      <c r="BI129" s="7">
        <v>10</v>
      </c>
      <c r="BJ129" s="7" t="s">
        <v>155</v>
      </c>
      <c r="BK129" s="7">
        <v>300</v>
      </c>
      <c r="BL129" s="20"/>
      <c r="BM129" s="20"/>
      <c r="BN129" s="20">
        <v>1</v>
      </c>
      <c r="BO129" s="20">
        <v>2500</v>
      </c>
      <c r="BP129" s="20">
        <v>2</v>
      </c>
      <c r="BQ129" s="20">
        <v>2500</v>
      </c>
      <c r="BR129" s="20" t="s">
        <v>156</v>
      </c>
    </row>
    <row r="130" s="7" customFormat="1" ht="16.5" spans="1:70">
      <c r="A130" s="7">
        <f>60000000+INDEX(编号表!$B:$B,MATCH(I130,编号表!$A:$A,0))*10000+INDEX(编号表!$B:$B,MATCH(J130,编号表!$C:$C,0))*1000+K130</f>
        <v>60132000</v>
      </c>
      <c r="B130" s="7" t="s">
        <v>457</v>
      </c>
      <c r="C130" s="7" t="s">
        <v>425</v>
      </c>
      <c r="D130" s="7" t="s">
        <v>458</v>
      </c>
      <c r="E130" s="7">
        <v>30</v>
      </c>
      <c r="F130" s="7" t="str" cm="1">
        <f t="array" ref="F130">INDEX(编号表!$E:$E,MATCH(J130,编号表!$C:$C,0))</f>
        <v>绿色</v>
      </c>
      <c r="G130" s="7">
        <v>17</v>
      </c>
      <c r="H130" s="7" t="s">
        <v>448</v>
      </c>
      <c r="I130" s="7" t="s">
        <v>448</v>
      </c>
      <c r="J130" s="7" t="s">
        <v>221</v>
      </c>
      <c r="K130" s="7">
        <v>0</v>
      </c>
      <c r="L130" s="7">
        <f>COUNTIFS(I$11:I130,I130,J$11:J130,J130)-1</f>
        <v>0</v>
      </c>
      <c r="O130" s="7">
        <v>10</v>
      </c>
      <c r="P130" s="7">
        <v>300000</v>
      </c>
      <c r="Q130" s="7" t="s">
        <v>138</v>
      </c>
      <c r="R130" s="21">
        <v>40140003</v>
      </c>
      <c r="S130" s="7"/>
      <c r="T130" s="7"/>
      <c r="U130" s="7">
        <v>11010001</v>
      </c>
      <c r="V130" s="7">
        <v>11020001</v>
      </c>
      <c r="X130" s="7" t="s">
        <v>139</v>
      </c>
      <c r="Y130" s="7" t="s">
        <v>426</v>
      </c>
      <c r="Z130" s="7"/>
      <c r="AA130" s="7">
        <v>80</v>
      </c>
      <c r="AB130" s="7">
        <v>80</v>
      </c>
      <c r="AC130" s="7">
        <v>20</v>
      </c>
      <c r="AD130" s="7">
        <v>30</v>
      </c>
      <c r="AE130" s="7" t="s">
        <v>206</v>
      </c>
      <c r="AF130" s="7" t="s">
        <v>427</v>
      </c>
      <c r="AG130" s="22" t="s">
        <v>222</v>
      </c>
      <c r="AI130" s="23">
        <v>630</v>
      </c>
      <c r="AJ130" s="7" t="s">
        <v>142</v>
      </c>
      <c r="AK130" s="24">
        <v>5100</v>
      </c>
      <c r="AL130" s="7" t="s">
        <v>143</v>
      </c>
      <c r="AM130" s="7">
        <v>18</v>
      </c>
      <c r="AN130" s="7" t="s">
        <v>144</v>
      </c>
      <c r="AO130" s="7">
        <v>26</v>
      </c>
      <c r="AP130" s="7" t="s">
        <v>145</v>
      </c>
      <c r="AQ130" s="7">
        <v>17</v>
      </c>
      <c r="AR130" s="7" t="s">
        <v>146</v>
      </c>
      <c r="AS130" s="7">
        <v>24</v>
      </c>
      <c r="AT130" s="7" t="s">
        <v>147</v>
      </c>
      <c r="AU130" s="7">
        <v>60</v>
      </c>
      <c r="AV130" s="7" t="s">
        <v>148</v>
      </c>
      <c r="AW130" s="7">
        <v>85</v>
      </c>
      <c r="AX130" s="7" t="s">
        <v>149</v>
      </c>
      <c r="AY130" s="7">
        <v>60</v>
      </c>
      <c r="AZ130" s="7" t="s">
        <v>150</v>
      </c>
      <c r="BA130" s="7">
        <v>85</v>
      </c>
      <c r="BB130" s="7" t="s">
        <v>151</v>
      </c>
      <c r="BC130" s="7">
        <v>1</v>
      </c>
      <c r="BD130" s="7" t="s">
        <v>152</v>
      </c>
      <c r="BE130" s="7">
        <v>2</v>
      </c>
      <c r="BF130" s="7" t="s">
        <v>153</v>
      </c>
      <c r="BG130" s="7">
        <v>100</v>
      </c>
      <c r="BH130" s="7" t="s">
        <v>154</v>
      </c>
      <c r="BI130" s="7">
        <v>300</v>
      </c>
      <c r="BJ130" s="7" t="s">
        <v>155</v>
      </c>
      <c r="BK130" s="7">
        <v>300</v>
      </c>
      <c r="BL130" s="20"/>
      <c r="BM130" s="20"/>
      <c r="BN130" s="20">
        <v>1</v>
      </c>
      <c r="BO130" s="20">
        <v>2500</v>
      </c>
      <c r="BP130" s="20">
        <v>2</v>
      </c>
      <c r="BQ130" s="20">
        <v>2500</v>
      </c>
      <c r="BR130" s="20" t="s">
        <v>156</v>
      </c>
    </row>
    <row r="131" s="17" customFormat="1" ht="16.5" spans="1:70">
      <c r="A131" s="17">
        <f>60000000+INDEX(编号表!$B:$B,MATCH(I131,编号表!$A:$A,0))*10000+INDEX(编号表!$B:$B,MATCH(J131,编号表!$C:$C,0))*1000+K131</f>
        <v>60134000</v>
      </c>
      <c r="B131" s="17" t="s">
        <v>459</v>
      </c>
      <c r="C131" s="17" t="s">
        <v>396</v>
      </c>
      <c r="D131" s="17" t="s">
        <v>396</v>
      </c>
      <c r="E131" s="17">
        <v>31</v>
      </c>
      <c r="F131" s="17" t="str" cm="1">
        <f t="array" ref="F131">INDEX(编号表!$E:$E,MATCH(J131,编号表!$C:$C,0))</f>
        <v>橙色</v>
      </c>
      <c r="G131" s="17">
        <v>17</v>
      </c>
      <c r="H131" s="17" t="s">
        <v>448</v>
      </c>
      <c r="I131" s="17" t="s">
        <v>448</v>
      </c>
      <c r="J131" s="17" t="s">
        <v>233</v>
      </c>
      <c r="K131" s="17">
        <v>0</v>
      </c>
      <c r="L131" s="17">
        <f>COUNTIFS(I$11:I131,I131,J$11:J131,J131)-1</f>
        <v>0</v>
      </c>
      <c r="O131" s="7">
        <v>10</v>
      </c>
      <c r="P131" s="7">
        <v>300000</v>
      </c>
      <c r="Q131" s="17" t="s">
        <v>138</v>
      </c>
      <c r="R131" s="21">
        <v>40140004</v>
      </c>
      <c r="S131" s="17"/>
      <c r="T131" s="17"/>
      <c r="U131" s="17">
        <v>11010001</v>
      </c>
      <c r="V131" s="17">
        <v>11020001</v>
      </c>
      <c r="X131" s="17" t="s">
        <v>139</v>
      </c>
      <c r="Y131" s="17" t="s">
        <v>398</v>
      </c>
      <c r="Z131" s="7">
        <v>1.5</v>
      </c>
      <c r="AA131" s="7">
        <v>80</v>
      </c>
      <c r="AB131" s="7">
        <v>80</v>
      </c>
      <c r="AC131" s="7">
        <v>20</v>
      </c>
      <c r="AD131" s="7">
        <v>30</v>
      </c>
      <c r="AE131" s="17" t="s">
        <v>141</v>
      </c>
      <c r="AF131" s="17"/>
      <c r="AG131" s="22" t="s">
        <v>234</v>
      </c>
      <c r="AH131" s="17"/>
      <c r="AI131" s="23">
        <v>3350</v>
      </c>
      <c r="AJ131" s="17" t="s">
        <v>142</v>
      </c>
      <c r="AK131" s="24">
        <v>50000</v>
      </c>
      <c r="AL131" s="17" t="s">
        <v>143</v>
      </c>
      <c r="AM131" s="17">
        <v>33</v>
      </c>
      <c r="AN131" s="17" t="s">
        <v>144</v>
      </c>
      <c r="AO131" s="17">
        <v>48</v>
      </c>
      <c r="AP131" s="17" t="s">
        <v>145</v>
      </c>
      <c r="AQ131" s="17">
        <v>31</v>
      </c>
      <c r="AR131" s="17" t="s">
        <v>146</v>
      </c>
      <c r="AS131" s="17">
        <v>45</v>
      </c>
      <c r="AT131" s="17" t="s">
        <v>147</v>
      </c>
      <c r="AU131" s="17">
        <v>115</v>
      </c>
      <c r="AV131" s="17" t="s">
        <v>148</v>
      </c>
      <c r="AW131" s="17">
        <v>155</v>
      </c>
      <c r="AX131" s="17" t="s">
        <v>149</v>
      </c>
      <c r="AY131" s="17">
        <v>115</v>
      </c>
      <c r="AZ131" s="17" t="s">
        <v>150</v>
      </c>
      <c r="BA131" s="17">
        <v>155</v>
      </c>
      <c r="BB131" s="17" t="s">
        <v>151</v>
      </c>
      <c r="BC131" s="17">
        <v>1</v>
      </c>
      <c r="BD131" s="17" t="s">
        <v>152</v>
      </c>
      <c r="BE131" s="17">
        <v>2</v>
      </c>
      <c r="BF131" s="17" t="s">
        <v>153</v>
      </c>
      <c r="BG131" s="17">
        <v>100</v>
      </c>
      <c r="BH131" s="17" t="s">
        <v>154</v>
      </c>
      <c r="BI131" s="17">
        <v>10</v>
      </c>
      <c r="BJ131" s="17" t="s">
        <v>155</v>
      </c>
      <c r="BK131" s="7">
        <v>300</v>
      </c>
      <c r="BL131" s="10"/>
      <c r="BM131" s="10"/>
      <c r="BN131" s="20">
        <v>1</v>
      </c>
      <c r="BO131" s="20">
        <v>2500</v>
      </c>
      <c r="BP131" s="20">
        <v>2</v>
      </c>
      <c r="BQ131" s="20">
        <v>2500</v>
      </c>
      <c r="BR131" s="10" t="s">
        <v>156</v>
      </c>
    </row>
    <row r="132" s="7" customFormat="1" ht="16.5" spans="1:70">
      <c r="A132" s="7">
        <f>60000000+INDEX(编号表!$B:$B,MATCH(I132,编号表!$A:$A,0))*10000+INDEX(编号表!$B:$B,MATCH(J132,编号表!$C:$C,0))*1000+K132</f>
        <v>60141000</v>
      </c>
      <c r="B132" s="7" t="s">
        <v>460</v>
      </c>
      <c r="C132" s="7" t="s">
        <v>330</v>
      </c>
      <c r="D132" s="7" t="s">
        <v>461</v>
      </c>
      <c r="E132" s="7">
        <v>31</v>
      </c>
      <c r="F132" s="7" t="str" cm="1">
        <f t="array" ref="F132">INDEX(编号表!$E:$E,MATCH(J132,编号表!$C:$C,0))</f>
        <v>白色</v>
      </c>
      <c r="G132" s="7">
        <v>18</v>
      </c>
      <c r="H132" s="7" t="s">
        <v>462</v>
      </c>
      <c r="I132" s="7" t="s">
        <v>462</v>
      </c>
      <c r="J132" s="7" t="s">
        <v>137</v>
      </c>
      <c r="K132" s="7">
        <v>0</v>
      </c>
      <c r="L132" s="7">
        <f>COUNTIFS(I$11:I132,I132,J$11:J132,J132)-1</f>
        <v>0</v>
      </c>
      <c r="O132" s="7">
        <v>10</v>
      </c>
      <c r="P132" s="7">
        <v>300000</v>
      </c>
      <c r="Q132" s="7" t="s">
        <v>138</v>
      </c>
      <c r="R132" s="21">
        <v>40140004</v>
      </c>
      <c r="S132" s="7"/>
      <c r="T132" s="7"/>
      <c r="U132" s="7">
        <v>11010001</v>
      </c>
      <c r="V132" s="7">
        <v>11020001</v>
      </c>
      <c r="X132" s="7" t="s">
        <v>139</v>
      </c>
      <c r="Y132" s="7" t="s">
        <v>332</v>
      </c>
      <c r="Z132" s="7">
        <v>0.5</v>
      </c>
      <c r="AA132" s="7">
        <v>50</v>
      </c>
      <c r="AB132" s="7">
        <v>50</v>
      </c>
      <c r="AC132" s="7">
        <v>20</v>
      </c>
      <c r="AD132" s="7">
        <v>30</v>
      </c>
      <c r="AE132" s="7" t="s">
        <v>141</v>
      </c>
      <c r="AF132" s="7"/>
      <c r="AG132" s="22"/>
      <c r="AI132" s="23">
        <v>170</v>
      </c>
      <c r="AJ132" s="7" t="s">
        <v>142</v>
      </c>
      <c r="AK132" s="24">
        <v>1100</v>
      </c>
      <c r="AL132" s="7" t="s">
        <v>143</v>
      </c>
      <c r="AM132" s="7">
        <v>13</v>
      </c>
      <c r="AN132" s="7" t="s">
        <v>144</v>
      </c>
      <c r="AO132" s="7">
        <v>19</v>
      </c>
      <c r="AP132" s="7" t="s">
        <v>145</v>
      </c>
      <c r="AQ132" s="7">
        <v>12</v>
      </c>
      <c r="AR132" s="7" t="s">
        <v>146</v>
      </c>
      <c r="AS132" s="7">
        <v>18</v>
      </c>
      <c r="AT132" s="7" t="s">
        <v>147</v>
      </c>
      <c r="AU132" s="7">
        <v>30</v>
      </c>
      <c r="AV132" s="7" t="s">
        <v>148</v>
      </c>
      <c r="AW132" s="7">
        <v>41</v>
      </c>
      <c r="AX132" s="7" t="s">
        <v>149</v>
      </c>
      <c r="AY132" s="7">
        <v>30</v>
      </c>
      <c r="AZ132" s="7" t="s">
        <v>150</v>
      </c>
      <c r="BA132" s="7">
        <v>41</v>
      </c>
      <c r="BB132" s="7" t="s">
        <v>151</v>
      </c>
      <c r="BC132" s="7">
        <v>1</v>
      </c>
      <c r="BD132" s="7" t="s">
        <v>152</v>
      </c>
      <c r="BE132" s="7">
        <v>2</v>
      </c>
      <c r="BF132" s="7" t="s">
        <v>153</v>
      </c>
      <c r="BG132" s="7">
        <v>100</v>
      </c>
      <c r="BH132" s="7" t="s">
        <v>154</v>
      </c>
      <c r="BI132" s="7">
        <v>10</v>
      </c>
      <c r="BJ132" s="7" t="s">
        <v>155</v>
      </c>
      <c r="BK132" s="7">
        <v>300</v>
      </c>
      <c r="BL132" s="20"/>
      <c r="BM132" s="20"/>
      <c r="BN132" s="20">
        <v>1</v>
      </c>
      <c r="BO132" s="20">
        <v>2500</v>
      </c>
      <c r="BP132" s="20">
        <v>2</v>
      </c>
      <c r="BQ132" s="20">
        <v>2500</v>
      </c>
      <c r="BR132" s="20" t="s">
        <v>156</v>
      </c>
    </row>
    <row r="133" s="7" customFormat="1" ht="16.5" spans="1:70">
      <c r="A133" s="7">
        <f>60000000+INDEX(编号表!$B:$B,MATCH(I133,编号表!$A:$A,0))*10000+INDEX(编号表!$B:$B,MATCH(J133,编号表!$C:$C,0))*1000+K133</f>
        <v>60141001</v>
      </c>
      <c r="B133" s="7" t="s">
        <v>463</v>
      </c>
      <c r="C133" s="7" t="s">
        <v>464</v>
      </c>
      <c r="D133" s="7" t="s">
        <v>464</v>
      </c>
      <c r="E133" s="7">
        <v>31</v>
      </c>
      <c r="F133" s="7" t="str" cm="1">
        <f t="array" ref="F133">INDEX(编号表!$E:$E,MATCH(J133,编号表!$C:$C,0))</f>
        <v>白色</v>
      </c>
      <c r="G133" s="7">
        <v>18</v>
      </c>
      <c r="H133" s="7" t="s">
        <v>462</v>
      </c>
      <c r="I133" s="7" t="s">
        <v>462</v>
      </c>
      <c r="J133" s="7" t="s">
        <v>137</v>
      </c>
      <c r="K133" s="7">
        <v>1</v>
      </c>
      <c r="L133" s="7">
        <f>COUNTIFS(I$11:I133,I133,J$11:J133,J133)-1</f>
        <v>1</v>
      </c>
      <c r="O133" s="7">
        <v>10</v>
      </c>
      <c r="P133" s="7">
        <v>150000</v>
      </c>
      <c r="Q133" s="7" t="s">
        <v>138</v>
      </c>
      <c r="R133" s="21">
        <v>40140004</v>
      </c>
      <c r="S133" s="7"/>
      <c r="T133" s="7"/>
      <c r="U133" s="7">
        <v>11010001</v>
      </c>
      <c r="V133" s="7">
        <v>11020001</v>
      </c>
      <c r="X133" s="7" t="s">
        <v>139</v>
      </c>
      <c r="Y133" s="7" t="s">
        <v>465</v>
      </c>
      <c r="Z133" s="7"/>
      <c r="AA133" s="7">
        <v>80</v>
      </c>
      <c r="AB133" s="7">
        <v>80</v>
      </c>
      <c r="AC133" s="7">
        <v>20</v>
      </c>
      <c r="AD133" s="7">
        <v>30</v>
      </c>
      <c r="AE133" s="7" t="s">
        <v>141</v>
      </c>
      <c r="AF133" s="7"/>
      <c r="AG133" s="22"/>
      <c r="AI133" s="23">
        <v>170</v>
      </c>
      <c r="AJ133" s="7" t="s">
        <v>142</v>
      </c>
      <c r="AK133" s="24">
        <v>880</v>
      </c>
      <c r="AL133" s="7" t="s">
        <v>143</v>
      </c>
      <c r="AM133" s="7">
        <v>11</v>
      </c>
      <c r="AN133" s="7" t="s">
        <v>144</v>
      </c>
      <c r="AO133" s="7">
        <v>16</v>
      </c>
      <c r="AP133" s="7" t="s">
        <v>145</v>
      </c>
      <c r="AQ133" s="7">
        <v>10</v>
      </c>
      <c r="AR133" s="7" t="s">
        <v>146</v>
      </c>
      <c r="AS133" s="7">
        <v>15</v>
      </c>
      <c r="AT133" s="7" t="s">
        <v>147</v>
      </c>
      <c r="AU133" s="7">
        <v>33</v>
      </c>
      <c r="AV133" s="7" t="s">
        <v>148</v>
      </c>
      <c r="AW133" s="7">
        <v>45</v>
      </c>
      <c r="AX133" s="7" t="s">
        <v>149</v>
      </c>
      <c r="AY133" s="7">
        <v>33</v>
      </c>
      <c r="AZ133" s="7" t="s">
        <v>150</v>
      </c>
      <c r="BA133" s="7">
        <v>45</v>
      </c>
      <c r="BB133" s="7" t="s">
        <v>151</v>
      </c>
      <c r="BC133" s="7">
        <v>0</v>
      </c>
      <c r="BD133" s="7" t="s">
        <v>152</v>
      </c>
      <c r="BE133" s="7">
        <v>0</v>
      </c>
      <c r="BF133" s="7" t="s">
        <v>153</v>
      </c>
      <c r="BG133" s="7">
        <v>100</v>
      </c>
      <c r="BH133" s="7" t="s">
        <v>154</v>
      </c>
      <c r="BI133" s="7">
        <v>10</v>
      </c>
      <c r="BJ133" s="7" t="s">
        <v>155</v>
      </c>
      <c r="BK133" s="7">
        <v>300</v>
      </c>
      <c r="BL133" s="20">
        <v>0.05</v>
      </c>
      <c r="BM133" s="20"/>
      <c r="BN133" s="20">
        <v>1</v>
      </c>
      <c r="BO133" s="20">
        <v>2500</v>
      </c>
      <c r="BP133" s="20">
        <v>2</v>
      </c>
      <c r="BQ133" s="20">
        <v>2500</v>
      </c>
      <c r="BR133" s="20" t="s">
        <v>156</v>
      </c>
    </row>
    <row r="134" s="7" customFormat="1" ht="16.5" spans="1:70">
      <c r="A134" s="7">
        <f>60000000+INDEX(编号表!$B:$B,MATCH(I134,编号表!$A:$A,0))*10000+INDEX(编号表!$B:$B,MATCH(J134,编号表!$C:$C,0))*1000+K134</f>
        <v>60141002</v>
      </c>
      <c r="B134" s="7" t="s">
        <v>466</v>
      </c>
      <c r="C134" s="7" t="s">
        <v>467</v>
      </c>
      <c r="D134" s="7" t="s">
        <v>467</v>
      </c>
      <c r="E134" s="7">
        <v>31</v>
      </c>
      <c r="F134" s="7" t="str" cm="1">
        <f t="array" ref="F134">INDEX(编号表!$E:$E,MATCH(J134,编号表!$C:$C,0))</f>
        <v>白色</v>
      </c>
      <c r="G134" s="7">
        <v>18</v>
      </c>
      <c r="H134" s="7" t="s">
        <v>462</v>
      </c>
      <c r="I134" s="7" t="s">
        <v>462</v>
      </c>
      <c r="J134" s="7" t="s">
        <v>137</v>
      </c>
      <c r="K134" s="7">
        <v>2</v>
      </c>
      <c r="L134" s="7">
        <f>COUNTIFS(I$11:I134,I134,J$11:J134,J134)-1</f>
        <v>2</v>
      </c>
      <c r="O134" s="7">
        <v>10</v>
      </c>
      <c r="P134" s="7">
        <v>300000</v>
      </c>
      <c r="Q134" s="7" t="s">
        <v>138</v>
      </c>
      <c r="R134" s="21">
        <v>40140004</v>
      </c>
      <c r="S134" s="7"/>
      <c r="T134" s="7"/>
      <c r="U134" s="7">
        <v>11010001</v>
      </c>
      <c r="V134" s="7">
        <v>11020001</v>
      </c>
      <c r="X134" s="7" t="s">
        <v>139</v>
      </c>
      <c r="Y134" s="7" t="s">
        <v>468</v>
      </c>
      <c r="Z134" s="7"/>
      <c r="AA134" s="7">
        <v>80</v>
      </c>
      <c r="AB134" s="7">
        <v>80</v>
      </c>
      <c r="AC134" s="7">
        <v>20</v>
      </c>
      <c r="AD134" s="7">
        <v>30</v>
      </c>
      <c r="AE134" s="7" t="s">
        <v>141</v>
      </c>
      <c r="AF134" s="7"/>
      <c r="AG134" s="22"/>
      <c r="AI134" s="23">
        <v>170</v>
      </c>
      <c r="AJ134" s="7" t="s">
        <v>142</v>
      </c>
      <c r="AK134" s="24">
        <v>1350</v>
      </c>
      <c r="AL134" s="7" t="s">
        <v>143</v>
      </c>
      <c r="AM134" s="7">
        <v>17</v>
      </c>
      <c r="AN134" s="7" t="s">
        <v>144</v>
      </c>
      <c r="AO134" s="7">
        <v>24</v>
      </c>
      <c r="AP134" s="7" t="s">
        <v>145</v>
      </c>
      <c r="AQ134" s="7">
        <v>16</v>
      </c>
      <c r="AR134" s="7" t="s">
        <v>146</v>
      </c>
      <c r="AS134" s="7">
        <v>23</v>
      </c>
      <c r="AT134" s="7" t="s">
        <v>147</v>
      </c>
      <c r="AU134" s="7">
        <v>33</v>
      </c>
      <c r="AV134" s="7" t="s">
        <v>148</v>
      </c>
      <c r="AW134" s="7">
        <v>45</v>
      </c>
      <c r="AX134" s="7" t="s">
        <v>149</v>
      </c>
      <c r="AY134" s="7">
        <v>33</v>
      </c>
      <c r="AZ134" s="7" t="s">
        <v>150</v>
      </c>
      <c r="BA134" s="7">
        <v>45</v>
      </c>
      <c r="BB134" s="7" t="s">
        <v>151</v>
      </c>
      <c r="BC134" s="7">
        <v>1</v>
      </c>
      <c r="BD134" s="7" t="s">
        <v>152</v>
      </c>
      <c r="BE134" s="7">
        <v>2</v>
      </c>
      <c r="BF134" s="7" t="s">
        <v>153</v>
      </c>
      <c r="BG134" s="7">
        <v>100</v>
      </c>
      <c r="BH134" s="7" t="s">
        <v>154</v>
      </c>
      <c r="BI134" s="7">
        <v>10</v>
      </c>
      <c r="BJ134" s="7" t="s">
        <v>155</v>
      </c>
      <c r="BK134" s="7">
        <v>300</v>
      </c>
      <c r="BL134" s="20"/>
      <c r="BM134" s="20"/>
      <c r="BN134" s="20">
        <v>1</v>
      </c>
      <c r="BO134" s="20">
        <v>2500</v>
      </c>
      <c r="BP134" s="20">
        <v>2</v>
      </c>
      <c r="BQ134" s="20">
        <v>2500</v>
      </c>
      <c r="BR134" s="20" t="s">
        <v>156</v>
      </c>
    </row>
    <row r="135" s="7" customFormat="1" ht="16.5" spans="1:70">
      <c r="A135" s="7">
        <f>60000000+INDEX(编号表!$B:$B,MATCH(I135,编号表!$A:$A,0))*10000+INDEX(编号表!$B:$B,MATCH(J135,编号表!$C:$C,0))*1000+K135</f>
        <v>60141003</v>
      </c>
      <c r="B135" s="7" t="s">
        <v>469</v>
      </c>
      <c r="C135" s="7" t="s">
        <v>470</v>
      </c>
      <c r="D135" s="7" t="s">
        <v>470</v>
      </c>
      <c r="E135" s="7">
        <v>31</v>
      </c>
      <c r="F135" s="7" t="str" cm="1">
        <f t="array" ref="F135">INDEX(编号表!$E:$E,MATCH(J135,编号表!$C:$C,0))</f>
        <v>白色</v>
      </c>
      <c r="G135" s="7">
        <v>18</v>
      </c>
      <c r="H135" s="7" t="s">
        <v>462</v>
      </c>
      <c r="I135" s="7" t="s">
        <v>462</v>
      </c>
      <c r="J135" s="7" t="s">
        <v>137</v>
      </c>
      <c r="K135" s="7">
        <v>3</v>
      </c>
      <c r="L135" s="7">
        <f>COUNTIFS(I$11:I135,I135,J$11:J135,J135)-1</f>
        <v>3</v>
      </c>
      <c r="O135" s="7">
        <v>10</v>
      </c>
      <c r="P135" s="7">
        <v>300000</v>
      </c>
      <c r="Q135" s="7" t="s">
        <v>138</v>
      </c>
      <c r="R135" s="21">
        <v>40140004</v>
      </c>
      <c r="S135" s="7"/>
      <c r="T135" s="7"/>
      <c r="U135" s="7">
        <v>11010001</v>
      </c>
      <c r="V135" s="7">
        <v>11020001</v>
      </c>
      <c r="X135" s="7" t="s">
        <v>139</v>
      </c>
      <c r="Y135" s="7" t="s">
        <v>471</v>
      </c>
      <c r="Z135" s="7"/>
      <c r="AA135" s="7">
        <v>80</v>
      </c>
      <c r="AB135" s="7">
        <v>80</v>
      </c>
      <c r="AC135" s="7">
        <v>20</v>
      </c>
      <c r="AD135" s="7">
        <v>30</v>
      </c>
      <c r="AE135" s="7" t="s">
        <v>141</v>
      </c>
      <c r="AF135" s="7"/>
      <c r="AG135" s="22"/>
      <c r="AI135" s="23">
        <v>170</v>
      </c>
      <c r="AJ135" s="7" t="s">
        <v>142</v>
      </c>
      <c r="AK135" s="24">
        <v>1350</v>
      </c>
      <c r="AL135" s="7" t="s">
        <v>143</v>
      </c>
      <c r="AM135" s="7">
        <v>17</v>
      </c>
      <c r="AN135" s="7" t="s">
        <v>144</v>
      </c>
      <c r="AO135" s="7">
        <v>24</v>
      </c>
      <c r="AP135" s="7" t="s">
        <v>145</v>
      </c>
      <c r="AQ135" s="7">
        <v>16</v>
      </c>
      <c r="AR135" s="7" t="s">
        <v>146</v>
      </c>
      <c r="AS135" s="7">
        <v>23</v>
      </c>
      <c r="AT135" s="7" t="s">
        <v>147</v>
      </c>
      <c r="AU135" s="7">
        <v>33</v>
      </c>
      <c r="AV135" s="7" t="s">
        <v>148</v>
      </c>
      <c r="AW135" s="7">
        <v>45</v>
      </c>
      <c r="AX135" s="7" t="s">
        <v>149</v>
      </c>
      <c r="AY135" s="7">
        <v>33</v>
      </c>
      <c r="AZ135" s="7" t="s">
        <v>150</v>
      </c>
      <c r="BA135" s="7">
        <v>45</v>
      </c>
      <c r="BB135" s="7" t="s">
        <v>151</v>
      </c>
      <c r="BC135" s="7">
        <v>1</v>
      </c>
      <c r="BD135" s="7" t="s">
        <v>152</v>
      </c>
      <c r="BE135" s="7">
        <v>2</v>
      </c>
      <c r="BF135" s="7" t="s">
        <v>153</v>
      </c>
      <c r="BG135" s="7">
        <v>100</v>
      </c>
      <c r="BH135" s="7" t="s">
        <v>154</v>
      </c>
      <c r="BI135" s="7">
        <v>10</v>
      </c>
      <c r="BJ135" s="7" t="s">
        <v>155</v>
      </c>
      <c r="BK135" s="7">
        <v>300</v>
      </c>
      <c r="BL135" s="20"/>
      <c r="BM135" s="20"/>
      <c r="BN135" s="20">
        <v>1</v>
      </c>
      <c r="BO135" s="20">
        <v>2500</v>
      </c>
      <c r="BP135" s="20">
        <v>2</v>
      </c>
      <c r="BQ135" s="20">
        <v>2500</v>
      </c>
      <c r="BR135" s="20" t="s">
        <v>156</v>
      </c>
    </row>
    <row r="136" s="7" customFormat="1" ht="16.5" spans="1:70">
      <c r="A136" s="7">
        <f>60000000+INDEX(编号表!$B:$B,MATCH(I136,编号表!$A:$A,0))*10000+INDEX(编号表!$B:$B,MATCH(J136,编号表!$C:$C,0))*1000+K136</f>
        <v>60142000</v>
      </c>
      <c r="B136" s="7" t="s">
        <v>472</v>
      </c>
      <c r="C136" s="7" t="s">
        <v>470</v>
      </c>
      <c r="D136" s="7" t="s">
        <v>473</v>
      </c>
      <c r="E136" s="7">
        <v>32</v>
      </c>
      <c r="F136" s="7" t="str" cm="1">
        <f t="array" ref="F136">INDEX(编号表!$E:$E,MATCH(J136,编号表!$C:$C,0))</f>
        <v>绿色</v>
      </c>
      <c r="G136" s="7">
        <v>18</v>
      </c>
      <c r="H136" s="7" t="s">
        <v>462</v>
      </c>
      <c r="I136" s="7" t="s">
        <v>462</v>
      </c>
      <c r="J136" s="7" t="s">
        <v>221</v>
      </c>
      <c r="K136" s="7">
        <v>0</v>
      </c>
      <c r="L136" s="7">
        <f>COUNTIFS(I$11:I136,I136,J$11:J136,J136)-1</f>
        <v>0</v>
      </c>
      <c r="O136" s="7">
        <v>10</v>
      </c>
      <c r="P136" s="7">
        <v>300000</v>
      </c>
      <c r="Q136" s="7" t="s">
        <v>138</v>
      </c>
      <c r="R136" s="21">
        <v>40140004</v>
      </c>
      <c r="S136" s="7"/>
      <c r="T136" s="7"/>
      <c r="U136" s="7">
        <v>11010001</v>
      </c>
      <c r="V136" s="7">
        <v>11020001</v>
      </c>
      <c r="X136" s="7" t="s">
        <v>139</v>
      </c>
      <c r="Y136" s="7" t="s">
        <v>471</v>
      </c>
      <c r="Z136" s="7"/>
      <c r="AA136" s="7">
        <v>80</v>
      </c>
      <c r="AB136" s="7">
        <v>80</v>
      </c>
      <c r="AC136" s="7">
        <v>20</v>
      </c>
      <c r="AD136" s="7">
        <v>30</v>
      </c>
      <c r="AE136" s="7" t="s">
        <v>141</v>
      </c>
      <c r="AF136" s="7"/>
      <c r="AG136" s="22" t="s">
        <v>222</v>
      </c>
      <c r="AI136" s="23">
        <v>710</v>
      </c>
      <c r="AJ136" s="7" t="s">
        <v>142</v>
      </c>
      <c r="AK136" s="24">
        <v>7300</v>
      </c>
      <c r="AL136" s="7" t="s">
        <v>143</v>
      </c>
      <c r="AM136" s="7">
        <v>25</v>
      </c>
      <c r="AN136" s="7" t="s">
        <v>144</v>
      </c>
      <c r="AO136" s="7">
        <v>36</v>
      </c>
      <c r="AP136" s="7" t="s">
        <v>145</v>
      </c>
      <c r="AQ136" s="7">
        <v>23</v>
      </c>
      <c r="AR136" s="7" t="s">
        <v>146</v>
      </c>
      <c r="AS136" s="7">
        <v>34</v>
      </c>
      <c r="AT136" s="7" t="s">
        <v>147</v>
      </c>
      <c r="AU136" s="7">
        <v>65</v>
      </c>
      <c r="AV136" s="7" t="s">
        <v>148</v>
      </c>
      <c r="AW136" s="7">
        <v>85</v>
      </c>
      <c r="AX136" s="7" t="s">
        <v>149</v>
      </c>
      <c r="AY136" s="7">
        <v>65</v>
      </c>
      <c r="AZ136" s="7" t="s">
        <v>150</v>
      </c>
      <c r="BA136" s="7">
        <v>85</v>
      </c>
      <c r="BB136" s="7" t="s">
        <v>151</v>
      </c>
      <c r="BC136" s="7">
        <v>1</v>
      </c>
      <c r="BD136" s="7" t="s">
        <v>152</v>
      </c>
      <c r="BE136" s="7">
        <v>2</v>
      </c>
      <c r="BF136" s="7" t="s">
        <v>153</v>
      </c>
      <c r="BG136" s="7">
        <v>100</v>
      </c>
      <c r="BH136" s="7" t="s">
        <v>154</v>
      </c>
      <c r="BI136" s="7">
        <v>10</v>
      </c>
      <c r="BJ136" s="7" t="s">
        <v>155</v>
      </c>
      <c r="BK136" s="7">
        <v>300</v>
      </c>
      <c r="BL136" s="20"/>
      <c r="BM136" s="20"/>
      <c r="BN136" s="20">
        <v>1</v>
      </c>
      <c r="BO136" s="20">
        <v>2500</v>
      </c>
      <c r="BP136" s="20">
        <v>2</v>
      </c>
      <c r="BQ136" s="20">
        <v>2500</v>
      </c>
      <c r="BR136" s="20" t="s">
        <v>156</v>
      </c>
    </row>
    <row r="137" s="15" customFormat="1" ht="16.5" spans="1:70">
      <c r="A137" s="15">
        <f>60000000+INDEX(编号表!$B:$B,MATCH(I137,编号表!$A:$A,0))*10000+INDEX(编号表!$B:$B,MATCH(J137,编号表!$C:$C,0))*1000+K137</f>
        <v>60144000</v>
      </c>
      <c r="B137" s="15" t="s">
        <v>474</v>
      </c>
      <c r="C137" s="15" t="s">
        <v>470</v>
      </c>
      <c r="D137" s="15" t="s">
        <v>473</v>
      </c>
      <c r="E137" s="15">
        <v>32</v>
      </c>
      <c r="F137" s="15" t="str" cm="1">
        <f t="array" ref="F137">INDEX(编号表!$E:$E,MATCH(J137,编号表!$C:$C,0))</f>
        <v>橙色</v>
      </c>
      <c r="G137" s="15">
        <v>18</v>
      </c>
      <c r="H137" s="15" t="s">
        <v>462</v>
      </c>
      <c r="I137" s="15" t="s">
        <v>462</v>
      </c>
      <c r="J137" s="15" t="s">
        <v>233</v>
      </c>
      <c r="K137" s="15">
        <v>0</v>
      </c>
      <c r="L137" s="15">
        <f>COUNTIFS(I$11:I137,I137,J$11:J137,J137)-1</f>
        <v>0</v>
      </c>
      <c r="O137" s="7">
        <v>10</v>
      </c>
      <c r="P137" s="7">
        <v>300000</v>
      </c>
      <c r="Q137" s="15" t="s">
        <v>138</v>
      </c>
      <c r="R137" s="21">
        <v>40140004</v>
      </c>
      <c r="S137" s="15"/>
      <c r="T137" s="15"/>
      <c r="U137" s="15">
        <v>11010001</v>
      </c>
      <c r="V137" s="15">
        <v>11020001</v>
      </c>
      <c r="X137" s="15" t="s">
        <v>139</v>
      </c>
      <c r="Y137" s="15" t="s">
        <v>471</v>
      </c>
      <c r="Z137" s="7">
        <v>1.5</v>
      </c>
      <c r="AA137" s="7">
        <v>80</v>
      </c>
      <c r="AB137" s="7">
        <v>80</v>
      </c>
      <c r="AC137" s="7">
        <v>20</v>
      </c>
      <c r="AD137" s="7">
        <v>30</v>
      </c>
      <c r="AE137" s="15" t="s">
        <v>141</v>
      </c>
      <c r="AF137" s="15"/>
      <c r="AG137" s="22" t="s">
        <v>234</v>
      </c>
      <c r="AH137" s="15"/>
      <c r="AI137" s="23">
        <v>3550</v>
      </c>
      <c r="AJ137" s="15" t="s">
        <v>142</v>
      </c>
      <c r="AK137" s="24">
        <v>41000</v>
      </c>
      <c r="AL137" s="15" t="s">
        <v>143</v>
      </c>
      <c r="AM137" s="15">
        <v>34</v>
      </c>
      <c r="AN137" s="15" t="s">
        <v>144</v>
      </c>
      <c r="AO137" s="15">
        <v>49</v>
      </c>
      <c r="AP137" s="15" t="s">
        <v>145</v>
      </c>
      <c r="AQ137" s="15">
        <v>32</v>
      </c>
      <c r="AR137" s="15" t="s">
        <v>146</v>
      </c>
      <c r="AS137" s="15">
        <v>47</v>
      </c>
      <c r="AT137" s="15" t="s">
        <v>147</v>
      </c>
      <c r="AU137" s="15">
        <v>100</v>
      </c>
      <c r="AV137" s="15" t="s">
        <v>148</v>
      </c>
      <c r="AW137" s="15">
        <v>135</v>
      </c>
      <c r="AX137" s="15" t="s">
        <v>149</v>
      </c>
      <c r="AY137" s="15">
        <v>100</v>
      </c>
      <c r="AZ137" s="15" t="s">
        <v>150</v>
      </c>
      <c r="BA137" s="15">
        <v>135</v>
      </c>
      <c r="BB137" s="15" t="s">
        <v>151</v>
      </c>
      <c r="BC137" s="15">
        <v>1</v>
      </c>
      <c r="BD137" s="15" t="s">
        <v>152</v>
      </c>
      <c r="BE137" s="15">
        <v>2</v>
      </c>
      <c r="BF137" s="15" t="s">
        <v>153</v>
      </c>
      <c r="BG137" s="15">
        <v>100</v>
      </c>
      <c r="BH137" s="15" t="s">
        <v>154</v>
      </c>
      <c r="BI137" s="15">
        <v>10</v>
      </c>
      <c r="BJ137" s="15" t="s">
        <v>155</v>
      </c>
      <c r="BK137" s="7">
        <v>300</v>
      </c>
      <c r="BL137" s="25"/>
      <c r="BM137" s="25"/>
      <c r="BN137" s="20">
        <v>1</v>
      </c>
      <c r="BO137" s="20">
        <v>2500</v>
      </c>
      <c r="BP137" s="20">
        <v>2</v>
      </c>
      <c r="BQ137" s="20">
        <v>2500</v>
      </c>
      <c r="BR137" s="25" t="s">
        <v>156</v>
      </c>
    </row>
    <row r="138" s="7" customFormat="1" ht="16.5" spans="1:70">
      <c r="A138" s="7">
        <f>60000000+INDEX(编号表!$B:$B,MATCH(I138,编号表!$A:$A,0))*10000+INDEX(编号表!$B:$B,MATCH(J138,编号表!$C:$C,0))*1000+K138</f>
        <v>60151000</v>
      </c>
      <c r="B138" s="7" t="s">
        <v>475</v>
      </c>
      <c r="C138" s="7" t="s">
        <v>330</v>
      </c>
      <c r="D138" s="7" t="s">
        <v>476</v>
      </c>
      <c r="E138" s="7">
        <v>32</v>
      </c>
      <c r="F138" s="7" t="str" cm="1">
        <f t="array" ref="F138">INDEX(编号表!$E:$E,MATCH(J138,编号表!$C:$C,0))</f>
        <v>白色</v>
      </c>
      <c r="G138" s="7">
        <v>19</v>
      </c>
      <c r="H138" s="7" t="s">
        <v>477</v>
      </c>
      <c r="I138" s="7" t="s">
        <v>477</v>
      </c>
      <c r="J138" s="7" t="s">
        <v>137</v>
      </c>
      <c r="K138" s="7">
        <v>0</v>
      </c>
      <c r="L138" s="7">
        <f>COUNTIFS(I$11:I138,I138,J$11:J138,J138)-1</f>
        <v>0</v>
      </c>
      <c r="O138" s="7">
        <v>10</v>
      </c>
      <c r="P138" s="7">
        <v>300000</v>
      </c>
      <c r="Q138" s="7" t="s">
        <v>138</v>
      </c>
      <c r="R138" s="21">
        <v>40140004</v>
      </c>
      <c r="S138" s="7"/>
      <c r="T138" s="7"/>
      <c r="U138" s="7">
        <v>11010001</v>
      </c>
      <c r="V138" s="7">
        <v>11020001</v>
      </c>
      <c r="X138" s="7" t="s">
        <v>139</v>
      </c>
      <c r="Y138" s="7" t="s">
        <v>332</v>
      </c>
      <c r="Z138" s="7">
        <v>0.5</v>
      </c>
      <c r="AA138" s="7">
        <v>50</v>
      </c>
      <c r="AB138" s="7">
        <v>50</v>
      </c>
      <c r="AC138" s="7">
        <v>20</v>
      </c>
      <c r="AD138" s="7">
        <v>30</v>
      </c>
      <c r="AE138" s="7" t="s">
        <v>141</v>
      </c>
      <c r="AF138" s="7"/>
      <c r="AG138" s="22"/>
      <c r="AI138" s="23">
        <v>180</v>
      </c>
      <c r="AJ138" s="7" t="s">
        <v>142</v>
      </c>
      <c r="AK138" s="24">
        <v>1200</v>
      </c>
      <c r="AL138" s="7" t="s">
        <v>143</v>
      </c>
      <c r="AM138" s="7">
        <v>14</v>
      </c>
      <c r="AN138" s="7" t="s">
        <v>144</v>
      </c>
      <c r="AO138" s="7">
        <v>20</v>
      </c>
      <c r="AP138" s="7" t="s">
        <v>145</v>
      </c>
      <c r="AQ138" s="7">
        <v>13</v>
      </c>
      <c r="AR138" s="7" t="s">
        <v>146</v>
      </c>
      <c r="AS138" s="7">
        <v>19</v>
      </c>
      <c r="AT138" s="7" t="s">
        <v>147</v>
      </c>
      <c r="AU138" s="7">
        <v>32</v>
      </c>
      <c r="AV138" s="7" t="s">
        <v>148</v>
      </c>
      <c r="AW138" s="7">
        <v>43</v>
      </c>
      <c r="AX138" s="7" t="s">
        <v>149</v>
      </c>
      <c r="AY138" s="7">
        <v>32</v>
      </c>
      <c r="AZ138" s="7" t="s">
        <v>150</v>
      </c>
      <c r="BA138" s="7">
        <v>43</v>
      </c>
      <c r="BB138" s="7" t="s">
        <v>151</v>
      </c>
      <c r="BC138" s="7">
        <v>1</v>
      </c>
      <c r="BD138" s="7" t="s">
        <v>152</v>
      </c>
      <c r="BE138" s="7">
        <v>2</v>
      </c>
      <c r="BF138" s="7" t="s">
        <v>153</v>
      </c>
      <c r="BG138" s="7">
        <v>100</v>
      </c>
      <c r="BH138" s="7" t="s">
        <v>154</v>
      </c>
      <c r="BI138" s="7">
        <v>10</v>
      </c>
      <c r="BJ138" s="7" t="s">
        <v>155</v>
      </c>
      <c r="BK138" s="7">
        <v>300</v>
      </c>
      <c r="BL138" s="20"/>
      <c r="BM138" s="20"/>
      <c r="BN138" s="20">
        <v>1</v>
      </c>
      <c r="BO138" s="20">
        <v>2500</v>
      </c>
      <c r="BP138" s="20">
        <v>2</v>
      </c>
      <c r="BQ138" s="20">
        <v>2500</v>
      </c>
      <c r="BR138" s="20" t="s">
        <v>156</v>
      </c>
    </row>
    <row r="139" s="7" customFormat="1" ht="16.5" spans="1:70">
      <c r="A139" s="7">
        <f>60000000+INDEX(编号表!$B:$B,MATCH(I139,编号表!$A:$A,0))*10000+INDEX(编号表!$B:$B,MATCH(J139,编号表!$C:$C,0))*1000+K139</f>
        <v>60151001</v>
      </c>
      <c r="B139" s="7" t="s">
        <v>478</v>
      </c>
      <c r="C139" s="7" t="s">
        <v>464</v>
      </c>
      <c r="D139" s="7" t="s">
        <v>479</v>
      </c>
      <c r="E139" s="7">
        <v>32</v>
      </c>
      <c r="F139" s="7" t="str" cm="1">
        <f t="array" ref="F139">INDEX(编号表!$E:$E,MATCH(J139,编号表!$C:$C,0))</f>
        <v>白色</v>
      </c>
      <c r="G139" s="7">
        <v>19</v>
      </c>
      <c r="H139" s="7" t="s">
        <v>477</v>
      </c>
      <c r="I139" s="7" t="s">
        <v>477</v>
      </c>
      <c r="J139" s="7" t="s">
        <v>137</v>
      </c>
      <c r="K139" s="7">
        <v>1</v>
      </c>
      <c r="L139" s="7">
        <f>COUNTIFS(I$11:I139,I139,J$11:J139,J139)-1</f>
        <v>1</v>
      </c>
      <c r="O139" s="7">
        <v>10</v>
      </c>
      <c r="P139" s="7">
        <v>150000</v>
      </c>
      <c r="Q139" s="7" t="s">
        <v>138</v>
      </c>
      <c r="R139" s="21">
        <v>40140004</v>
      </c>
      <c r="S139" s="7"/>
      <c r="T139" s="7"/>
      <c r="U139" s="7">
        <v>11010001</v>
      </c>
      <c r="V139" s="7">
        <v>11020001</v>
      </c>
      <c r="X139" s="7" t="s">
        <v>139</v>
      </c>
      <c r="Y139" s="7" t="s">
        <v>465</v>
      </c>
      <c r="Z139" s="7"/>
      <c r="AA139" s="7">
        <v>80</v>
      </c>
      <c r="AB139" s="7">
        <v>80</v>
      </c>
      <c r="AC139" s="7">
        <v>20</v>
      </c>
      <c r="AD139" s="7">
        <v>30</v>
      </c>
      <c r="AE139" s="7" t="s">
        <v>141</v>
      </c>
      <c r="AF139" s="7"/>
      <c r="AG139" s="22"/>
      <c r="AI139" s="23">
        <v>180</v>
      </c>
      <c r="AJ139" s="7" t="s">
        <v>142</v>
      </c>
      <c r="AK139" s="24">
        <v>950</v>
      </c>
      <c r="AL139" s="7" t="s">
        <v>143</v>
      </c>
      <c r="AM139" s="7">
        <v>12</v>
      </c>
      <c r="AN139" s="7" t="s">
        <v>144</v>
      </c>
      <c r="AO139" s="7">
        <v>17</v>
      </c>
      <c r="AP139" s="7" t="s">
        <v>145</v>
      </c>
      <c r="AQ139" s="7">
        <v>11</v>
      </c>
      <c r="AR139" s="7" t="s">
        <v>146</v>
      </c>
      <c r="AS139" s="7">
        <v>16</v>
      </c>
      <c r="AT139" s="7" t="s">
        <v>147</v>
      </c>
      <c r="AU139" s="7">
        <v>35</v>
      </c>
      <c r="AV139" s="7" t="s">
        <v>148</v>
      </c>
      <c r="AW139" s="7">
        <v>48</v>
      </c>
      <c r="AX139" s="7" t="s">
        <v>149</v>
      </c>
      <c r="AY139" s="7">
        <v>35</v>
      </c>
      <c r="AZ139" s="7" t="s">
        <v>150</v>
      </c>
      <c r="BA139" s="7">
        <v>48</v>
      </c>
      <c r="BB139" s="7" t="s">
        <v>151</v>
      </c>
      <c r="BC139" s="7">
        <v>0</v>
      </c>
      <c r="BD139" s="7" t="s">
        <v>152</v>
      </c>
      <c r="BE139" s="7">
        <v>0</v>
      </c>
      <c r="BF139" s="7" t="s">
        <v>153</v>
      </c>
      <c r="BG139" s="7">
        <v>100</v>
      </c>
      <c r="BH139" s="7" t="s">
        <v>154</v>
      </c>
      <c r="BI139" s="7">
        <v>10</v>
      </c>
      <c r="BJ139" s="7" t="s">
        <v>155</v>
      </c>
      <c r="BK139" s="7">
        <v>300</v>
      </c>
      <c r="BL139" s="20">
        <v>0.05</v>
      </c>
      <c r="BM139" s="20"/>
      <c r="BN139" s="20">
        <v>1</v>
      </c>
      <c r="BO139" s="20">
        <v>2500</v>
      </c>
      <c r="BP139" s="20">
        <v>2</v>
      </c>
      <c r="BQ139" s="20">
        <v>2500</v>
      </c>
      <c r="BR139" s="20" t="s">
        <v>156</v>
      </c>
    </row>
    <row r="140" s="7" customFormat="1" ht="16.5" spans="1:70">
      <c r="A140" s="7">
        <f>60000000+INDEX(编号表!$B:$B,MATCH(I140,编号表!$A:$A,0))*10000+INDEX(编号表!$B:$B,MATCH(J140,编号表!$C:$C,0))*1000+K140</f>
        <v>60151002</v>
      </c>
      <c r="B140" s="7" t="s">
        <v>480</v>
      </c>
      <c r="C140" s="7" t="s">
        <v>467</v>
      </c>
      <c r="D140" s="7" t="s">
        <v>481</v>
      </c>
      <c r="E140" s="7">
        <v>32</v>
      </c>
      <c r="F140" s="7" t="str" cm="1">
        <f t="array" ref="F140">INDEX(编号表!$E:$E,MATCH(J140,编号表!$C:$C,0))</f>
        <v>白色</v>
      </c>
      <c r="G140" s="7">
        <v>19</v>
      </c>
      <c r="H140" s="7" t="s">
        <v>477</v>
      </c>
      <c r="I140" s="7" t="s">
        <v>477</v>
      </c>
      <c r="J140" s="7" t="s">
        <v>137</v>
      </c>
      <c r="K140" s="7">
        <v>2</v>
      </c>
      <c r="L140" s="7">
        <f>COUNTIFS(I$11:I140,I140,J$11:J140,J140)-1</f>
        <v>2</v>
      </c>
      <c r="O140" s="7">
        <v>10</v>
      </c>
      <c r="P140" s="7">
        <v>300000</v>
      </c>
      <c r="Q140" s="7" t="s">
        <v>138</v>
      </c>
      <c r="R140" s="21">
        <v>40140004</v>
      </c>
      <c r="S140" s="7"/>
      <c r="T140" s="7"/>
      <c r="U140" s="7">
        <v>11010001</v>
      </c>
      <c r="V140" s="7">
        <v>11020001</v>
      </c>
      <c r="X140" s="7" t="s">
        <v>139</v>
      </c>
      <c r="Y140" s="7" t="s">
        <v>468</v>
      </c>
      <c r="Z140" s="7"/>
      <c r="AA140" s="7">
        <v>80</v>
      </c>
      <c r="AB140" s="7">
        <v>80</v>
      </c>
      <c r="AC140" s="7">
        <v>20</v>
      </c>
      <c r="AD140" s="7">
        <v>30</v>
      </c>
      <c r="AE140" s="7" t="s">
        <v>141</v>
      </c>
      <c r="AF140" s="7"/>
      <c r="AG140" s="22"/>
      <c r="AI140" s="23">
        <v>180</v>
      </c>
      <c r="AJ140" s="7" t="s">
        <v>142</v>
      </c>
      <c r="AK140" s="24">
        <v>1450</v>
      </c>
      <c r="AL140" s="7" t="s">
        <v>143</v>
      </c>
      <c r="AM140" s="7">
        <v>18</v>
      </c>
      <c r="AN140" s="7" t="s">
        <v>144</v>
      </c>
      <c r="AO140" s="7">
        <v>25</v>
      </c>
      <c r="AP140" s="7" t="s">
        <v>145</v>
      </c>
      <c r="AQ140" s="7">
        <v>16</v>
      </c>
      <c r="AR140" s="7" t="s">
        <v>146</v>
      </c>
      <c r="AS140" s="7">
        <v>24</v>
      </c>
      <c r="AT140" s="7" t="s">
        <v>147</v>
      </c>
      <c r="AU140" s="7">
        <v>35</v>
      </c>
      <c r="AV140" s="7" t="s">
        <v>148</v>
      </c>
      <c r="AW140" s="7">
        <v>48</v>
      </c>
      <c r="AX140" s="7" t="s">
        <v>149</v>
      </c>
      <c r="AY140" s="7">
        <v>35</v>
      </c>
      <c r="AZ140" s="7" t="s">
        <v>150</v>
      </c>
      <c r="BA140" s="7">
        <v>48</v>
      </c>
      <c r="BB140" s="7" t="s">
        <v>151</v>
      </c>
      <c r="BC140" s="7">
        <v>1</v>
      </c>
      <c r="BD140" s="7" t="s">
        <v>152</v>
      </c>
      <c r="BE140" s="7">
        <v>2</v>
      </c>
      <c r="BF140" s="7" t="s">
        <v>153</v>
      </c>
      <c r="BG140" s="7">
        <v>100</v>
      </c>
      <c r="BH140" s="7" t="s">
        <v>154</v>
      </c>
      <c r="BI140" s="7">
        <v>10</v>
      </c>
      <c r="BJ140" s="7" t="s">
        <v>155</v>
      </c>
      <c r="BK140" s="7">
        <v>300</v>
      </c>
      <c r="BL140" s="20"/>
      <c r="BM140" s="20"/>
      <c r="BN140" s="20">
        <v>1</v>
      </c>
      <c r="BO140" s="20">
        <v>2500</v>
      </c>
      <c r="BP140" s="20">
        <v>2</v>
      </c>
      <c r="BQ140" s="20">
        <v>2500</v>
      </c>
      <c r="BR140" s="20" t="s">
        <v>156</v>
      </c>
    </row>
    <row r="141" s="7" customFormat="1" ht="16.5" spans="1:70">
      <c r="A141" s="7">
        <f>60000000+INDEX(编号表!$B:$B,MATCH(I141,编号表!$A:$A,0))*10000+INDEX(编号表!$B:$B,MATCH(J141,编号表!$C:$C,0))*1000+K141</f>
        <v>60151003</v>
      </c>
      <c r="B141" s="7" t="s">
        <v>482</v>
      </c>
      <c r="C141" s="7" t="s">
        <v>470</v>
      </c>
      <c r="D141" s="7" t="s">
        <v>483</v>
      </c>
      <c r="E141" s="7">
        <v>32</v>
      </c>
      <c r="F141" s="7" t="str" cm="1">
        <f t="array" ref="F141">INDEX(编号表!$E:$E,MATCH(J141,编号表!$C:$C,0))</f>
        <v>白色</v>
      </c>
      <c r="G141" s="7">
        <v>19</v>
      </c>
      <c r="H141" s="7" t="s">
        <v>477</v>
      </c>
      <c r="I141" s="7" t="s">
        <v>477</v>
      </c>
      <c r="J141" s="7" t="s">
        <v>137</v>
      </c>
      <c r="K141" s="7">
        <v>3</v>
      </c>
      <c r="L141" s="7">
        <f>COUNTIFS(I$11:I141,I141,J$11:J141,J141)-1</f>
        <v>3</v>
      </c>
      <c r="O141" s="7">
        <v>10</v>
      </c>
      <c r="P141" s="7">
        <v>300000</v>
      </c>
      <c r="Q141" s="7" t="s">
        <v>138</v>
      </c>
      <c r="R141" s="21">
        <v>40140004</v>
      </c>
      <c r="S141" s="7"/>
      <c r="T141" s="7"/>
      <c r="U141" s="7">
        <v>11010001</v>
      </c>
      <c r="V141" s="7">
        <v>11020001</v>
      </c>
      <c r="X141" s="7" t="s">
        <v>139</v>
      </c>
      <c r="Y141" s="7" t="s">
        <v>471</v>
      </c>
      <c r="Z141" s="7"/>
      <c r="AA141" s="7">
        <v>80</v>
      </c>
      <c r="AB141" s="7">
        <v>80</v>
      </c>
      <c r="AC141" s="7">
        <v>20</v>
      </c>
      <c r="AD141" s="7">
        <v>30</v>
      </c>
      <c r="AE141" s="7" t="s">
        <v>141</v>
      </c>
      <c r="AF141" s="7"/>
      <c r="AG141" s="22"/>
      <c r="AI141" s="23">
        <v>180</v>
      </c>
      <c r="AJ141" s="7" t="s">
        <v>142</v>
      </c>
      <c r="AK141" s="24">
        <v>1450</v>
      </c>
      <c r="AL141" s="7" t="s">
        <v>143</v>
      </c>
      <c r="AM141" s="7">
        <v>18</v>
      </c>
      <c r="AN141" s="7" t="s">
        <v>144</v>
      </c>
      <c r="AO141" s="7">
        <v>25</v>
      </c>
      <c r="AP141" s="7" t="s">
        <v>145</v>
      </c>
      <c r="AQ141" s="7">
        <v>16</v>
      </c>
      <c r="AR141" s="7" t="s">
        <v>146</v>
      </c>
      <c r="AS141" s="7">
        <v>24</v>
      </c>
      <c r="AT141" s="7" t="s">
        <v>147</v>
      </c>
      <c r="AU141" s="7">
        <v>35</v>
      </c>
      <c r="AV141" s="7" t="s">
        <v>148</v>
      </c>
      <c r="AW141" s="7">
        <v>48</v>
      </c>
      <c r="AX141" s="7" t="s">
        <v>149</v>
      </c>
      <c r="AY141" s="7">
        <v>35</v>
      </c>
      <c r="AZ141" s="7" t="s">
        <v>150</v>
      </c>
      <c r="BA141" s="7">
        <v>48</v>
      </c>
      <c r="BB141" s="7" t="s">
        <v>151</v>
      </c>
      <c r="BC141" s="7">
        <v>1</v>
      </c>
      <c r="BD141" s="7" t="s">
        <v>152</v>
      </c>
      <c r="BE141" s="7">
        <v>2</v>
      </c>
      <c r="BF141" s="7" t="s">
        <v>153</v>
      </c>
      <c r="BG141" s="7">
        <v>100</v>
      </c>
      <c r="BH141" s="7" t="s">
        <v>154</v>
      </c>
      <c r="BI141" s="7">
        <v>10</v>
      </c>
      <c r="BJ141" s="7" t="s">
        <v>155</v>
      </c>
      <c r="BK141" s="7">
        <v>300</v>
      </c>
      <c r="BL141" s="20"/>
      <c r="BM141" s="20"/>
      <c r="BN141" s="20">
        <v>1</v>
      </c>
      <c r="BO141" s="20">
        <v>2500</v>
      </c>
      <c r="BP141" s="20">
        <v>2</v>
      </c>
      <c r="BQ141" s="20">
        <v>2500</v>
      </c>
      <c r="BR141" s="20" t="s">
        <v>156</v>
      </c>
    </row>
    <row r="142" s="7" customFormat="1" ht="16.5" spans="1:70">
      <c r="A142" s="7">
        <f>60000000+INDEX(编号表!$B:$B,MATCH(I142,编号表!$A:$A,0))*10000+INDEX(编号表!$B:$B,MATCH(J142,编号表!$C:$C,0))*1000+K142</f>
        <v>60151004</v>
      </c>
      <c r="B142" s="7" t="s">
        <v>484</v>
      </c>
      <c r="C142" s="7" t="s">
        <v>485</v>
      </c>
      <c r="D142" s="7" t="s">
        <v>485</v>
      </c>
      <c r="E142" s="7">
        <v>32</v>
      </c>
      <c r="F142" s="7" t="str" cm="1">
        <f t="array" ref="F142">INDEX(编号表!$E:$E,MATCH(J142,编号表!$C:$C,0))</f>
        <v>白色</v>
      </c>
      <c r="G142" s="7">
        <v>19</v>
      </c>
      <c r="H142" s="7" t="s">
        <v>477</v>
      </c>
      <c r="I142" s="7" t="s">
        <v>477</v>
      </c>
      <c r="J142" s="7" t="s">
        <v>137</v>
      </c>
      <c r="K142" s="7">
        <v>4</v>
      </c>
      <c r="L142" s="7">
        <f>COUNTIFS(I$11:I142,I142,J$11:J142,J142)-1</f>
        <v>4</v>
      </c>
      <c r="O142" s="7">
        <v>10</v>
      </c>
      <c r="P142" s="7">
        <v>300000</v>
      </c>
      <c r="Q142" s="7" t="s">
        <v>138</v>
      </c>
      <c r="R142" s="21">
        <v>40140004</v>
      </c>
      <c r="S142" s="7"/>
      <c r="T142" s="7"/>
      <c r="U142" s="7">
        <v>11010001</v>
      </c>
      <c r="V142" s="7">
        <v>11020001</v>
      </c>
      <c r="X142" s="7" t="s">
        <v>139</v>
      </c>
      <c r="Y142" s="7" t="s">
        <v>486</v>
      </c>
      <c r="Z142" s="7"/>
      <c r="AA142" s="7">
        <v>80</v>
      </c>
      <c r="AB142" s="7">
        <v>80</v>
      </c>
      <c r="AC142" s="7">
        <v>20</v>
      </c>
      <c r="AD142" s="7">
        <v>30</v>
      </c>
      <c r="AE142" s="7" t="s">
        <v>141</v>
      </c>
      <c r="AF142" s="7"/>
      <c r="AG142" s="22"/>
      <c r="AI142" s="23">
        <v>180</v>
      </c>
      <c r="AJ142" s="7" t="s">
        <v>142</v>
      </c>
      <c r="AK142" s="24">
        <v>1250</v>
      </c>
      <c r="AL142" s="7" t="s">
        <v>143</v>
      </c>
      <c r="AM142" s="7">
        <v>15</v>
      </c>
      <c r="AN142" s="7" t="s">
        <v>144</v>
      </c>
      <c r="AO142" s="7">
        <v>22</v>
      </c>
      <c r="AP142" s="7" t="s">
        <v>145</v>
      </c>
      <c r="AQ142" s="7">
        <v>14</v>
      </c>
      <c r="AR142" s="7" t="s">
        <v>146</v>
      </c>
      <c r="AS142" s="7">
        <v>21</v>
      </c>
      <c r="AT142" s="7" t="s">
        <v>147</v>
      </c>
      <c r="AU142" s="7">
        <v>36</v>
      </c>
      <c r="AV142" s="7" t="s">
        <v>148</v>
      </c>
      <c r="AW142" s="7">
        <v>49</v>
      </c>
      <c r="AX142" s="7" t="s">
        <v>149</v>
      </c>
      <c r="AY142" s="7">
        <v>36</v>
      </c>
      <c r="AZ142" s="7" t="s">
        <v>150</v>
      </c>
      <c r="BA142" s="7">
        <v>49</v>
      </c>
      <c r="BB142" s="7" t="s">
        <v>151</v>
      </c>
      <c r="BC142" s="7">
        <v>1</v>
      </c>
      <c r="BD142" s="7" t="s">
        <v>152</v>
      </c>
      <c r="BE142" s="7">
        <v>2</v>
      </c>
      <c r="BF142" s="7" t="s">
        <v>153</v>
      </c>
      <c r="BG142" s="7">
        <v>100</v>
      </c>
      <c r="BH142" s="7" t="s">
        <v>154</v>
      </c>
      <c r="BI142" s="7">
        <v>10</v>
      </c>
      <c r="BJ142" s="7" t="s">
        <v>155</v>
      </c>
      <c r="BK142" s="7">
        <v>300</v>
      </c>
      <c r="BL142" s="20"/>
      <c r="BM142" s="20"/>
      <c r="BN142" s="20">
        <v>1</v>
      </c>
      <c r="BO142" s="20">
        <v>2500</v>
      </c>
      <c r="BP142" s="20">
        <v>2</v>
      </c>
      <c r="BQ142" s="20">
        <v>2500</v>
      </c>
      <c r="BR142" s="20" t="s">
        <v>156</v>
      </c>
    </row>
    <row r="143" s="7" customFormat="1" ht="16.5" spans="1:70">
      <c r="A143" s="7">
        <f>60000000+INDEX(编号表!$B:$B,MATCH(I143,编号表!$A:$A,0))*10000+INDEX(编号表!$B:$B,MATCH(J143,编号表!$C:$C,0))*1000+K143</f>
        <v>60151005</v>
      </c>
      <c r="B143" s="7" t="s">
        <v>487</v>
      </c>
      <c r="C143" s="7" t="s">
        <v>488</v>
      </c>
      <c r="D143" s="7" t="s">
        <v>488</v>
      </c>
      <c r="E143" s="7">
        <v>32</v>
      </c>
      <c r="F143" s="7" t="str" cm="1">
        <f t="array" ref="F143">INDEX(编号表!$E:$E,MATCH(J143,编号表!$C:$C,0))</f>
        <v>白色</v>
      </c>
      <c r="G143" s="7">
        <v>19</v>
      </c>
      <c r="H143" s="7" t="s">
        <v>477</v>
      </c>
      <c r="I143" s="7" t="s">
        <v>477</v>
      </c>
      <c r="J143" s="7" t="s">
        <v>137</v>
      </c>
      <c r="K143" s="7">
        <v>5</v>
      </c>
      <c r="L143" s="7">
        <f>COUNTIFS(I$11:I143,I143,J$11:J143,J143)-1</f>
        <v>5</v>
      </c>
      <c r="O143" s="7">
        <v>10</v>
      </c>
      <c r="P143" s="7">
        <v>150000</v>
      </c>
      <c r="Q143" s="7" t="s">
        <v>138</v>
      </c>
      <c r="R143" s="21">
        <v>40140004</v>
      </c>
      <c r="S143" s="7"/>
      <c r="T143" s="7"/>
      <c r="U143" s="7">
        <v>11010001</v>
      </c>
      <c r="V143" s="7">
        <v>11020001</v>
      </c>
      <c r="X143" s="7" t="s">
        <v>139</v>
      </c>
      <c r="Y143" s="7" t="s">
        <v>489</v>
      </c>
      <c r="Z143" s="7"/>
      <c r="AA143" s="7">
        <v>80</v>
      </c>
      <c r="AB143" s="7">
        <v>80</v>
      </c>
      <c r="AC143" s="7">
        <v>20</v>
      </c>
      <c r="AD143" s="7">
        <v>30</v>
      </c>
      <c r="AE143" s="7" t="s">
        <v>141</v>
      </c>
      <c r="AF143" s="7"/>
      <c r="AG143" s="22"/>
      <c r="AI143" s="23">
        <v>180</v>
      </c>
      <c r="AJ143" s="7" t="s">
        <v>142</v>
      </c>
      <c r="AK143" s="24">
        <v>950</v>
      </c>
      <c r="AL143" s="7" t="s">
        <v>143</v>
      </c>
      <c r="AM143" s="7">
        <v>12</v>
      </c>
      <c r="AN143" s="7" t="s">
        <v>144</v>
      </c>
      <c r="AO143" s="7">
        <v>17</v>
      </c>
      <c r="AP143" s="7" t="s">
        <v>145</v>
      </c>
      <c r="AQ143" s="7">
        <v>11</v>
      </c>
      <c r="AR143" s="7" t="s">
        <v>146</v>
      </c>
      <c r="AS143" s="7">
        <v>16</v>
      </c>
      <c r="AT143" s="7" t="s">
        <v>147</v>
      </c>
      <c r="AU143" s="7">
        <v>35</v>
      </c>
      <c r="AV143" s="7" t="s">
        <v>148</v>
      </c>
      <c r="AW143" s="7">
        <v>48</v>
      </c>
      <c r="AX143" s="7" t="s">
        <v>149</v>
      </c>
      <c r="AY143" s="7">
        <v>35</v>
      </c>
      <c r="AZ143" s="7" t="s">
        <v>150</v>
      </c>
      <c r="BA143" s="7">
        <v>48</v>
      </c>
      <c r="BB143" s="7" t="s">
        <v>151</v>
      </c>
      <c r="BC143" s="7">
        <v>0</v>
      </c>
      <c r="BD143" s="7" t="s">
        <v>152</v>
      </c>
      <c r="BE143" s="7">
        <v>0</v>
      </c>
      <c r="BF143" s="7" t="s">
        <v>153</v>
      </c>
      <c r="BG143" s="7">
        <v>100</v>
      </c>
      <c r="BH143" s="7" t="s">
        <v>154</v>
      </c>
      <c r="BI143" s="7">
        <v>10</v>
      </c>
      <c r="BJ143" s="7" t="s">
        <v>155</v>
      </c>
      <c r="BK143" s="7">
        <v>300</v>
      </c>
      <c r="BL143" s="20"/>
      <c r="BM143" s="20"/>
      <c r="BN143" s="20">
        <v>1</v>
      </c>
      <c r="BO143" s="20">
        <v>2500</v>
      </c>
      <c r="BP143" s="20">
        <v>2</v>
      </c>
      <c r="BQ143" s="20">
        <v>2500</v>
      </c>
      <c r="BR143" s="20" t="s">
        <v>156</v>
      </c>
    </row>
    <row r="144" s="7" customFormat="1" ht="16.5" spans="1:70">
      <c r="A144" s="7">
        <f>60000000+INDEX(编号表!$B:$B,MATCH(I144,编号表!$A:$A,0))*10000+INDEX(编号表!$B:$B,MATCH(J144,编号表!$C:$C,0))*1000+K144</f>
        <v>60152000</v>
      </c>
      <c r="B144" s="7" t="s">
        <v>490</v>
      </c>
      <c r="C144" s="7" t="s">
        <v>470</v>
      </c>
      <c r="D144" s="7" t="s">
        <v>491</v>
      </c>
      <c r="E144" s="7">
        <v>33</v>
      </c>
      <c r="F144" s="7" t="str" cm="1">
        <f t="array" ref="F144">INDEX(编号表!$E:$E,MATCH(J144,编号表!$C:$C,0))</f>
        <v>绿色</v>
      </c>
      <c r="G144" s="7">
        <v>19</v>
      </c>
      <c r="H144" s="7" t="s">
        <v>477</v>
      </c>
      <c r="I144" s="7" t="s">
        <v>477</v>
      </c>
      <c r="J144" s="7" t="s">
        <v>221</v>
      </c>
      <c r="K144" s="7">
        <v>0</v>
      </c>
      <c r="L144" s="7">
        <f>COUNTIFS(I$11:I144,I144,J$11:J144,J144)-1</f>
        <v>0</v>
      </c>
      <c r="O144" s="7">
        <v>10</v>
      </c>
      <c r="P144" s="7">
        <v>300000</v>
      </c>
      <c r="Q144" s="7" t="s">
        <v>138</v>
      </c>
      <c r="R144" s="21">
        <v>40140004</v>
      </c>
      <c r="S144" s="7"/>
      <c r="T144" s="7"/>
      <c r="U144" s="7">
        <v>11010001</v>
      </c>
      <c r="V144" s="7">
        <v>11020001</v>
      </c>
      <c r="X144" s="7" t="s">
        <v>139</v>
      </c>
      <c r="Y144" s="7" t="s">
        <v>471</v>
      </c>
      <c r="Z144" s="7">
        <v>1</v>
      </c>
      <c r="AA144" s="7">
        <v>80</v>
      </c>
      <c r="AB144" s="7">
        <v>80</v>
      </c>
      <c r="AC144" s="7">
        <v>20</v>
      </c>
      <c r="AD144" s="7">
        <v>30</v>
      </c>
      <c r="AE144" s="7" t="s">
        <v>141</v>
      </c>
      <c r="AF144" s="7"/>
      <c r="AG144" s="22" t="s">
        <v>222</v>
      </c>
      <c r="AI144" s="23">
        <v>760</v>
      </c>
      <c r="AJ144" s="7" t="s">
        <v>142</v>
      </c>
      <c r="AK144" s="24">
        <v>8000</v>
      </c>
      <c r="AL144" s="7" t="s">
        <v>143</v>
      </c>
      <c r="AM144" s="7">
        <v>27</v>
      </c>
      <c r="AN144" s="7" t="s">
        <v>144</v>
      </c>
      <c r="AO144" s="7">
        <v>38</v>
      </c>
      <c r="AP144" s="7" t="s">
        <v>145</v>
      </c>
      <c r="AQ144" s="7">
        <v>25</v>
      </c>
      <c r="AR144" s="7" t="s">
        <v>146</v>
      </c>
      <c r="AS144" s="7">
        <v>36</v>
      </c>
      <c r="AT144" s="7" t="s">
        <v>147</v>
      </c>
      <c r="AU144" s="7">
        <v>70</v>
      </c>
      <c r="AV144" s="7" t="s">
        <v>148</v>
      </c>
      <c r="AW144" s="7">
        <v>90</v>
      </c>
      <c r="AX144" s="7" t="s">
        <v>149</v>
      </c>
      <c r="AY144" s="7">
        <v>70</v>
      </c>
      <c r="AZ144" s="7" t="s">
        <v>150</v>
      </c>
      <c r="BA144" s="7">
        <v>90</v>
      </c>
      <c r="BB144" s="7" t="s">
        <v>151</v>
      </c>
      <c r="BC144" s="7">
        <v>1</v>
      </c>
      <c r="BD144" s="7" t="s">
        <v>152</v>
      </c>
      <c r="BE144" s="7">
        <v>2</v>
      </c>
      <c r="BF144" s="7" t="s">
        <v>153</v>
      </c>
      <c r="BG144" s="7">
        <v>100</v>
      </c>
      <c r="BH144" s="7" t="s">
        <v>154</v>
      </c>
      <c r="BI144" s="7">
        <v>10</v>
      </c>
      <c r="BJ144" s="7" t="s">
        <v>155</v>
      </c>
      <c r="BK144" s="7">
        <v>300</v>
      </c>
      <c r="BL144" s="20"/>
      <c r="BM144" s="20"/>
      <c r="BN144" s="20">
        <v>1</v>
      </c>
      <c r="BO144" s="20">
        <v>2500</v>
      </c>
      <c r="BP144" s="20">
        <v>2</v>
      </c>
      <c r="BQ144" s="20">
        <v>2500</v>
      </c>
      <c r="BR144" s="20" t="s">
        <v>156</v>
      </c>
    </row>
    <row r="145" s="7" customFormat="1" ht="16.5" spans="1:70">
      <c r="A145" s="7">
        <f>60000000+INDEX(编号表!$B:$B,MATCH(I145,编号表!$A:$A,0))*10000+INDEX(编号表!$B:$B,MATCH(J145,编号表!$C:$C,0))*1000+K145</f>
        <v>60152001</v>
      </c>
      <c r="B145" s="7" t="s">
        <v>492</v>
      </c>
      <c r="C145" s="7" t="s">
        <v>485</v>
      </c>
      <c r="D145" s="7" t="s">
        <v>493</v>
      </c>
      <c r="E145" s="7">
        <v>33</v>
      </c>
      <c r="F145" s="7" t="str" cm="1">
        <f t="array" ref="F145">INDEX(编号表!$E:$E,MATCH(J145,编号表!$C:$C,0))</f>
        <v>绿色</v>
      </c>
      <c r="G145" s="7">
        <v>19</v>
      </c>
      <c r="H145" s="7" t="s">
        <v>477</v>
      </c>
      <c r="I145" s="7" t="s">
        <v>477</v>
      </c>
      <c r="J145" s="7" t="s">
        <v>221</v>
      </c>
      <c r="K145" s="7">
        <v>1</v>
      </c>
      <c r="L145" s="7">
        <f>COUNTIFS(I$11:I145,I145,J$11:J145,J145)-1</f>
        <v>1</v>
      </c>
      <c r="O145" s="7">
        <v>10</v>
      </c>
      <c r="P145" s="7">
        <v>300000</v>
      </c>
      <c r="Q145" s="7" t="s">
        <v>138</v>
      </c>
      <c r="R145" s="21">
        <v>40140004</v>
      </c>
      <c r="S145" s="7"/>
      <c r="T145" s="7"/>
      <c r="U145" s="7">
        <v>11010001</v>
      </c>
      <c r="V145" s="7">
        <v>11020001</v>
      </c>
      <c r="X145" s="7" t="s">
        <v>139</v>
      </c>
      <c r="Y145" s="7" t="s">
        <v>486</v>
      </c>
      <c r="Z145" s="7"/>
      <c r="AA145" s="7">
        <v>80</v>
      </c>
      <c r="AB145" s="7">
        <v>80</v>
      </c>
      <c r="AC145" s="7">
        <v>20</v>
      </c>
      <c r="AD145" s="7">
        <v>30</v>
      </c>
      <c r="AE145" s="7" t="s">
        <v>141</v>
      </c>
      <c r="AF145" s="7"/>
      <c r="AG145" s="22" t="s">
        <v>222</v>
      </c>
      <c r="AI145" s="23">
        <v>760</v>
      </c>
      <c r="AJ145" s="7" t="s">
        <v>142</v>
      </c>
      <c r="AK145" s="24">
        <v>7000</v>
      </c>
      <c r="AL145" s="7" t="s">
        <v>143</v>
      </c>
      <c r="AM145" s="7">
        <v>23</v>
      </c>
      <c r="AN145" s="7" t="s">
        <v>144</v>
      </c>
      <c r="AO145" s="7">
        <v>33</v>
      </c>
      <c r="AP145" s="7" t="s">
        <v>145</v>
      </c>
      <c r="AQ145" s="7">
        <v>22</v>
      </c>
      <c r="AR145" s="7" t="s">
        <v>146</v>
      </c>
      <c r="AS145" s="7">
        <v>32</v>
      </c>
      <c r="AT145" s="7" t="s">
        <v>147</v>
      </c>
      <c r="AU145" s="7">
        <v>70</v>
      </c>
      <c r="AV145" s="7" t="s">
        <v>148</v>
      </c>
      <c r="AW145" s="7">
        <v>95</v>
      </c>
      <c r="AX145" s="7" t="s">
        <v>149</v>
      </c>
      <c r="AY145" s="7">
        <v>70</v>
      </c>
      <c r="AZ145" s="7" t="s">
        <v>150</v>
      </c>
      <c r="BA145" s="7">
        <v>95</v>
      </c>
      <c r="BB145" s="7" t="s">
        <v>151</v>
      </c>
      <c r="BC145" s="7">
        <v>1</v>
      </c>
      <c r="BD145" s="7" t="s">
        <v>152</v>
      </c>
      <c r="BE145" s="7">
        <v>2</v>
      </c>
      <c r="BF145" s="7" t="s">
        <v>153</v>
      </c>
      <c r="BG145" s="7">
        <v>100</v>
      </c>
      <c r="BH145" s="7" t="s">
        <v>154</v>
      </c>
      <c r="BI145" s="7">
        <v>10</v>
      </c>
      <c r="BJ145" s="7" t="s">
        <v>155</v>
      </c>
      <c r="BK145" s="7">
        <v>300</v>
      </c>
      <c r="BL145" s="20"/>
      <c r="BM145" s="20"/>
      <c r="BN145" s="20">
        <v>1</v>
      </c>
      <c r="BO145" s="20">
        <v>2500</v>
      </c>
      <c r="BP145" s="20">
        <v>2</v>
      </c>
      <c r="BQ145" s="20">
        <v>2500</v>
      </c>
      <c r="BR145" s="20" t="s">
        <v>156</v>
      </c>
    </row>
    <row r="146" s="15" customFormat="1" ht="16.5" spans="1:70">
      <c r="A146" s="15">
        <f>60000000+INDEX(编号表!$B:$B,MATCH(I146,编号表!$A:$A,0))*10000+INDEX(编号表!$B:$B,MATCH(J146,编号表!$C:$C,0))*1000+K146</f>
        <v>60154000</v>
      </c>
      <c r="B146" s="15" t="s">
        <v>494</v>
      </c>
      <c r="C146" s="15" t="s">
        <v>485</v>
      </c>
      <c r="D146" s="15" t="s">
        <v>493</v>
      </c>
      <c r="E146" s="15">
        <v>33</v>
      </c>
      <c r="F146" s="15" t="str" cm="1">
        <f t="array" ref="F146">INDEX(编号表!$E:$E,MATCH(J146,编号表!$C:$C,0))</f>
        <v>橙色</v>
      </c>
      <c r="G146" s="15">
        <v>19</v>
      </c>
      <c r="H146" s="15" t="s">
        <v>477</v>
      </c>
      <c r="I146" s="15" t="s">
        <v>477</v>
      </c>
      <c r="J146" s="15" t="s">
        <v>277</v>
      </c>
      <c r="K146" s="15">
        <v>0</v>
      </c>
      <c r="L146" s="15">
        <f>COUNTIFS(I$11:I146,I146,J$11:J146,J146)-1</f>
        <v>0</v>
      </c>
      <c r="O146" s="7">
        <v>10</v>
      </c>
      <c r="P146" s="7">
        <v>300000</v>
      </c>
      <c r="Q146" s="15" t="s">
        <v>138</v>
      </c>
      <c r="R146" s="21">
        <v>40140004</v>
      </c>
      <c r="S146" s="15"/>
      <c r="T146" s="15"/>
      <c r="U146" s="15">
        <v>11010001</v>
      </c>
      <c r="V146" s="15">
        <v>11020001</v>
      </c>
      <c r="X146" s="15" t="s">
        <v>139</v>
      </c>
      <c r="Y146" s="15" t="s">
        <v>486</v>
      </c>
      <c r="Z146" s="7">
        <v>1.5</v>
      </c>
      <c r="AA146" s="7">
        <v>80</v>
      </c>
      <c r="AB146" s="7">
        <v>80</v>
      </c>
      <c r="AC146" s="7">
        <v>20</v>
      </c>
      <c r="AD146" s="7">
        <v>30</v>
      </c>
      <c r="AE146" s="15" t="s">
        <v>141</v>
      </c>
      <c r="AF146" s="15"/>
      <c r="AG146" s="22" t="s">
        <v>234</v>
      </c>
      <c r="AH146" s="15"/>
      <c r="AI146" s="23">
        <v>3800</v>
      </c>
      <c r="AJ146" s="15" t="s">
        <v>142</v>
      </c>
      <c r="AK146" s="24">
        <v>40000</v>
      </c>
      <c r="AL146" s="15" t="s">
        <v>143</v>
      </c>
      <c r="AM146" s="15">
        <v>32</v>
      </c>
      <c r="AN146" s="15" t="s">
        <v>144</v>
      </c>
      <c r="AO146" s="15">
        <v>46</v>
      </c>
      <c r="AP146" s="15" t="s">
        <v>145</v>
      </c>
      <c r="AQ146" s="15">
        <v>30</v>
      </c>
      <c r="AR146" s="15" t="s">
        <v>146</v>
      </c>
      <c r="AS146" s="15">
        <v>43</v>
      </c>
      <c r="AT146" s="15" t="s">
        <v>147</v>
      </c>
      <c r="AU146" s="15">
        <v>110</v>
      </c>
      <c r="AV146" s="15" t="s">
        <v>148</v>
      </c>
      <c r="AW146" s="15">
        <v>150</v>
      </c>
      <c r="AX146" s="15" t="s">
        <v>149</v>
      </c>
      <c r="AY146" s="15">
        <v>110</v>
      </c>
      <c r="AZ146" s="15" t="s">
        <v>150</v>
      </c>
      <c r="BA146" s="15">
        <v>150</v>
      </c>
      <c r="BB146" s="15" t="s">
        <v>151</v>
      </c>
      <c r="BC146" s="15">
        <v>1</v>
      </c>
      <c r="BD146" s="15" t="s">
        <v>152</v>
      </c>
      <c r="BE146" s="15">
        <v>2</v>
      </c>
      <c r="BF146" s="15" t="s">
        <v>153</v>
      </c>
      <c r="BG146" s="15">
        <v>100</v>
      </c>
      <c r="BH146" s="15" t="s">
        <v>154</v>
      </c>
      <c r="BI146" s="15">
        <v>10</v>
      </c>
      <c r="BJ146" s="15" t="s">
        <v>155</v>
      </c>
      <c r="BK146" s="7">
        <v>300</v>
      </c>
      <c r="BL146" s="25"/>
      <c r="BM146" s="25"/>
      <c r="BN146" s="20">
        <v>1</v>
      </c>
      <c r="BO146" s="20">
        <v>2500</v>
      </c>
      <c r="BP146" s="20">
        <v>2</v>
      </c>
      <c r="BQ146" s="20">
        <v>2500</v>
      </c>
      <c r="BR146" s="25" t="s">
        <v>156</v>
      </c>
    </row>
    <row r="147" s="7" customFormat="1" ht="16.5" spans="1:70">
      <c r="A147" s="7">
        <f>60000000+INDEX(编号表!$B:$B,MATCH(I147,编号表!$A:$A,0))*10000+INDEX(编号表!$B:$B,MATCH(J147,编号表!$C:$C,0))*1000+K147</f>
        <v>60161000</v>
      </c>
      <c r="B147" s="7" t="s">
        <v>495</v>
      </c>
      <c r="C147" s="7" t="s">
        <v>330</v>
      </c>
      <c r="D147" s="7" t="s">
        <v>496</v>
      </c>
      <c r="E147" s="7">
        <v>33</v>
      </c>
      <c r="F147" s="7" t="str" cm="1">
        <f t="array" ref="F147">INDEX(编号表!$E:$E,MATCH(J147,编号表!$C:$C,0))</f>
        <v>白色</v>
      </c>
      <c r="G147" s="7">
        <v>20</v>
      </c>
      <c r="H147" s="7" t="s">
        <v>497</v>
      </c>
      <c r="I147" s="7" t="s">
        <v>497</v>
      </c>
      <c r="J147" s="7" t="s">
        <v>137</v>
      </c>
      <c r="K147" s="7">
        <v>0</v>
      </c>
      <c r="L147" s="7">
        <f>COUNTIFS(I$11:I147,I147,J$11:J147,J147)-1</f>
        <v>0</v>
      </c>
      <c r="O147" s="7">
        <v>10</v>
      </c>
      <c r="P147" s="7">
        <v>300000</v>
      </c>
      <c r="Q147" s="7" t="s">
        <v>138</v>
      </c>
      <c r="R147" s="21">
        <v>40140004</v>
      </c>
      <c r="S147" s="7"/>
      <c r="T147" s="7"/>
      <c r="U147" s="7">
        <v>11010001</v>
      </c>
      <c r="V147" s="7">
        <v>11020001</v>
      </c>
      <c r="X147" s="7" t="s">
        <v>139</v>
      </c>
      <c r="Y147" s="7" t="s">
        <v>332</v>
      </c>
      <c r="Z147" s="7">
        <v>0.5</v>
      </c>
      <c r="AA147" s="7">
        <v>50</v>
      </c>
      <c r="AB147" s="7">
        <v>50</v>
      </c>
      <c r="AC147" s="7">
        <v>20</v>
      </c>
      <c r="AD147" s="7">
        <v>30</v>
      </c>
      <c r="AE147" s="7" t="s">
        <v>141</v>
      </c>
      <c r="AF147" s="7"/>
      <c r="AG147" s="22"/>
      <c r="AI147" s="23">
        <v>195</v>
      </c>
      <c r="AJ147" s="7" t="s">
        <v>142</v>
      </c>
      <c r="AK147" s="24">
        <v>1300</v>
      </c>
      <c r="AL147" s="7" t="s">
        <v>143</v>
      </c>
      <c r="AM147" s="7">
        <v>15</v>
      </c>
      <c r="AN147" s="7" t="s">
        <v>144</v>
      </c>
      <c r="AO147" s="7">
        <v>21</v>
      </c>
      <c r="AP147" s="7" t="s">
        <v>145</v>
      </c>
      <c r="AQ147" s="7">
        <v>14</v>
      </c>
      <c r="AR147" s="7" t="s">
        <v>146</v>
      </c>
      <c r="AS147" s="7">
        <v>20</v>
      </c>
      <c r="AT147" s="7" t="s">
        <v>147</v>
      </c>
      <c r="AU147" s="7">
        <v>34</v>
      </c>
      <c r="AV147" s="7" t="s">
        <v>148</v>
      </c>
      <c r="AW147" s="7">
        <v>46</v>
      </c>
      <c r="AX147" s="7" t="s">
        <v>149</v>
      </c>
      <c r="AY147" s="7">
        <v>34</v>
      </c>
      <c r="AZ147" s="7" t="s">
        <v>150</v>
      </c>
      <c r="BA147" s="7">
        <v>46</v>
      </c>
      <c r="BB147" s="7" t="s">
        <v>151</v>
      </c>
      <c r="BC147" s="7">
        <v>1</v>
      </c>
      <c r="BD147" s="7" t="s">
        <v>152</v>
      </c>
      <c r="BE147" s="7">
        <v>2</v>
      </c>
      <c r="BF147" s="7" t="s">
        <v>153</v>
      </c>
      <c r="BG147" s="7">
        <v>100</v>
      </c>
      <c r="BH147" s="7" t="s">
        <v>154</v>
      </c>
      <c r="BI147" s="7">
        <v>10</v>
      </c>
      <c r="BJ147" s="7" t="s">
        <v>155</v>
      </c>
      <c r="BK147" s="7">
        <v>300</v>
      </c>
      <c r="BL147" s="20"/>
      <c r="BM147" s="20"/>
      <c r="BN147" s="20">
        <v>1</v>
      </c>
      <c r="BO147" s="20">
        <v>2500</v>
      </c>
      <c r="BP147" s="20">
        <v>2</v>
      </c>
      <c r="BQ147" s="20">
        <v>2500</v>
      </c>
      <c r="BR147" s="20" t="s">
        <v>156</v>
      </c>
    </row>
    <row r="148" s="7" customFormat="1" ht="16.5" spans="1:70">
      <c r="A148" s="7">
        <f>60000000+INDEX(编号表!$B:$B,MATCH(I148,编号表!$A:$A,0))*10000+INDEX(编号表!$B:$B,MATCH(J148,编号表!$C:$C,0))*1000+K148</f>
        <v>60161001</v>
      </c>
      <c r="B148" s="7" t="s">
        <v>498</v>
      </c>
      <c r="C148" s="7" t="s">
        <v>464</v>
      </c>
      <c r="D148" s="7" t="s">
        <v>499</v>
      </c>
      <c r="E148" s="7">
        <v>33</v>
      </c>
      <c r="F148" s="7" t="str" cm="1">
        <f t="array" ref="F148">INDEX(编号表!$E:$E,MATCH(J148,编号表!$C:$C,0))</f>
        <v>白色</v>
      </c>
      <c r="G148" s="7">
        <v>20</v>
      </c>
      <c r="H148" s="7" t="s">
        <v>497</v>
      </c>
      <c r="I148" s="7" t="s">
        <v>497</v>
      </c>
      <c r="J148" s="7" t="s">
        <v>137</v>
      </c>
      <c r="K148" s="7">
        <v>1</v>
      </c>
      <c r="L148" s="7">
        <f>COUNTIFS(I$11:I148,I148,J$11:J148,J148)-1</f>
        <v>1</v>
      </c>
      <c r="O148" s="7">
        <v>10</v>
      </c>
      <c r="P148" s="7">
        <v>150000</v>
      </c>
      <c r="Q148" s="7" t="s">
        <v>138</v>
      </c>
      <c r="R148" s="21">
        <v>40140004</v>
      </c>
      <c r="S148" s="7"/>
      <c r="T148" s="7"/>
      <c r="U148" s="7">
        <v>11010001</v>
      </c>
      <c r="V148" s="7">
        <v>11020001</v>
      </c>
      <c r="X148" s="7" t="s">
        <v>139</v>
      </c>
      <c r="Y148" s="7" t="s">
        <v>465</v>
      </c>
      <c r="Z148" s="7"/>
      <c r="AA148" s="7">
        <v>80</v>
      </c>
      <c r="AB148" s="7">
        <v>80</v>
      </c>
      <c r="AC148" s="7">
        <v>20</v>
      </c>
      <c r="AD148" s="7">
        <v>30</v>
      </c>
      <c r="AE148" s="7" t="s">
        <v>141</v>
      </c>
      <c r="AF148" s="7"/>
      <c r="AG148" s="22"/>
      <c r="AI148" s="23">
        <v>195</v>
      </c>
      <c r="AJ148" s="7" t="s">
        <v>142</v>
      </c>
      <c r="AK148" s="24">
        <v>1050</v>
      </c>
      <c r="AL148" s="7" t="s">
        <v>143</v>
      </c>
      <c r="AM148" s="7">
        <v>12</v>
      </c>
      <c r="AN148" s="7" t="s">
        <v>144</v>
      </c>
      <c r="AO148" s="7">
        <v>17</v>
      </c>
      <c r="AP148" s="7" t="s">
        <v>145</v>
      </c>
      <c r="AQ148" s="7">
        <v>11</v>
      </c>
      <c r="AR148" s="7" t="s">
        <v>146</v>
      </c>
      <c r="AS148" s="7">
        <v>17</v>
      </c>
      <c r="AT148" s="7" t="s">
        <v>147</v>
      </c>
      <c r="AU148" s="7">
        <v>37</v>
      </c>
      <c r="AV148" s="7" t="s">
        <v>148</v>
      </c>
      <c r="AW148" s="7">
        <v>50</v>
      </c>
      <c r="AX148" s="7" t="s">
        <v>149</v>
      </c>
      <c r="AY148" s="7">
        <v>37</v>
      </c>
      <c r="AZ148" s="7" t="s">
        <v>150</v>
      </c>
      <c r="BA148" s="7">
        <v>50</v>
      </c>
      <c r="BB148" s="7" t="s">
        <v>151</v>
      </c>
      <c r="BC148" s="7">
        <v>0</v>
      </c>
      <c r="BD148" s="7" t="s">
        <v>152</v>
      </c>
      <c r="BE148" s="7">
        <v>0</v>
      </c>
      <c r="BF148" s="7" t="s">
        <v>153</v>
      </c>
      <c r="BG148" s="7">
        <v>100</v>
      </c>
      <c r="BH148" s="7" t="s">
        <v>154</v>
      </c>
      <c r="BI148" s="7">
        <v>10</v>
      </c>
      <c r="BJ148" s="7" t="s">
        <v>155</v>
      </c>
      <c r="BK148" s="7">
        <v>300</v>
      </c>
      <c r="BL148" s="20">
        <v>0.05</v>
      </c>
      <c r="BM148" s="20"/>
      <c r="BN148" s="20">
        <v>1</v>
      </c>
      <c r="BO148" s="20">
        <v>2500</v>
      </c>
      <c r="BP148" s="20">
        <v>2</v>
      </c>
      <c r="BQ148" s="20">
        <v>2500</v>
      </c>
      <c r="BR148" s="20" t="s">
        <v>156</v>
      </c>
    </row>
    <row r="149" s="7" customFormat="1" ht="16.5" spans="1:70">
      <c r="A149" s="7">
        <f>60000000+INDEX(编号表!$B:$B,MATCH(I149,编号表!$A:$A,0))*10000+INDEX(编号表!$B:$B,MATCH(J149,编号表!$C:$C,0))*1000+K149</f>
        <v>60161002</v>
      </c>
      <c r="B149" s="7" t="s">
        <v>500</v>
      </c>
      <c r="C149" s="7" t="s">
        <v>467</v>
      </c>
      <c r="D149" s="7" t="s">
        <v>501</v>
      </c>
      <c r="E149" s="7">
        <v>33</v>
      </c>
      <c r="F149" s="7" t="str" cm="1">
        <f t="array" ref="F149">INDEX(编号表!$E:$E,MATCH(J149,编号表!$C:$C,0))</f>
        <v>白色</v>
      </c>
      <c r="G149" s="7">
        <v>20</v>
      </c>
      <c r="H149" s="7" t="s">
        <v>497</v>
      </c>
      <c r="I149" s="7" t="s">
        <v>497</v>
      </c>
      <c r="J149" s="7" t="s">
        <v>137</v>
      </c>
      <c r="K149" s="7">
        <v>2</v>
      </c>
      <c r="L149" s="7">
        <f>COUNTIFS(I$11:I149,I149,J$11:J149,J149)-1</f>
        <v>2</v>
      </c>
      <c r="O149" s="7">
        <v>10</v>
      </c>
      <c r="P149" s="7">
        <v>300000</v>
      </c>
      <c r="Q149" s="7" t="s">
        <v>138</v>
      </c>
      <c r="R149" s="21">
        <v>40140004</v>
      </c>
      <c r="S149" s="7"/>
      <c r="T149" s="7"/>
      <c r="U149" s="7">
        <v>11010001</v>
      </c>
      <c r="V149" s="7">
        <v>11020001</v>
      </c>
      <c r="X149" s="7" t="s">
        <v>139</v>
      </c>
      <c r="Y149" s="7" t="s">
        <v>468</v>
      </c>
      <c r="Z149" s="7"/>
      <c r="AA149" s="7">
        <v>80</v>
      </c>
      <c r="AB149" s="7">
        <v>80</v>
      </c>
      <c r="AC149" s="7">
        <v>20</v>
      </c>
      <c r="AD149" s="7">
        <v>30</v>
      </c>
      <c r="AE149" s="7" t="s">
        <v>141</v>
      </c>
      <c r="AF149" s="7"/>
      <c r="AG149" s="22"/>
      <c r="AI149" s="23">
        <v>195</v>
      </c>
      <c r="AJ149" s="7" t="s">
        <v>142</v>
      </c>
      <c r="AK149" s="24">
        <v>1600</v>
      </c>
      <c r="AL149" s="7" t="s">
        <v>143</v>
      </c>
      <c r="AM149" s="7">
        <v>19</v>
      </c>
      <c r="AN149" s="7" t="s">
        <v>144</v>
      </c>
      <c r="AO149" s="7">
        <v>27</v>
      </c>
      <c r="AP149" s="7" t="s">
        <v>145</v>
      </c>
      <c r="AQ149" s="7">
        <v>17</v>
      </c>
      <c r="AR149" s="7" t="s">
        <v>146</v>
      </c>
      <c r="AS149" s="7">
        <v>25</v>
      </c>
      <c r="AT149" s="7" t="s">
        <v>147</v>
      </c>
      <c r="AU149" s="7">
        <v>37</v>
      </c>
      <c r="AV149" s="7" t="s">
        <v>148</v>
      </c>
      <c r="AW149" s="7">
        <v>50</v>
      </c>
      <c r="AX149" s="7" t="s">
        <v>149</v>
      </c>
      <c r="AY149" s="7">
        <v>37</v>
      </c>
      <c r="AZ149" s="7" t="s">
        <v>150</v>
      </c>
      <c r="BA149" s="7">
        <v>50</v>
      </c>
      <c r="BB149" s="7" t="s">
        <v>151</v>
      </c>
      <c r="BC149" s="7">
        <v>1</v>
      </c>
      <c r="BD149" s="7" t="s">
        <v>152</v>
      </c>
      <c r="BE149" s="7">
        <v>2</v>
      </c>
      <c r="BF149" s="7" t="s">
        <v>153</v>
      </c>
      <c r="BG149" s="7">
        <v>100</v>
      </c>
      <c r="BH149" s="7" t="s">
        <v>154</v>
      </c>
      <c r="BI149" s="7">
        <v>10</v>
      </c>
      <c r="BJ149" s="7" t="s">
        <v>155</v>
      </c>
      <c r="BK149" s="7">
        <v>300</v>
      </c>
      <c r="BL149" s="20"/>
      <c r="BM149" s="20"/>
      <c r="BN149" s="20">
        <v>1</v>
      </c>
      <c r="BO149" s="20">
        <v>2500</v>
      </c>
      <c r="BP149" s="20">
        <v>2</v>
      </c>
      <c r="BQ149" s="20">
        <v>2500</v>
      </c>
      <c r="BR149" s="20" t="s">
        <v>156</v>
      </c>
    </row>
    <row r="150" s="7" customFormat="1" ht="16.5" spans="1:70">
      <c r="A150" s="7">
        <f>60000000+INDEX(编号表!$B:$B,MATCH(I150,编号表!$A:$A,0))*10000+INDEX(编号表!$B:$B,MATCH(J150,编号表!$C:$C,0))*1000+K150</f>
        <v>60161003</v>
      </c>
      <c r="B150" s="7" t="s">
        <v>502</v>
      </c>
      <c r="C150" s="7" t="s">
        <v>470</v>
      </c>
      <c r="D150" s="7" t="s">
        <v>503</v>
      </c>
      <c r="E150" s="7">
        <v>33</v>
      </c>
      <c r="F150" s="7" t="str" cm="1">
        <f t="array" ref="F150">INDEX(编号表!$E:$E,MATCH(J150,编号表!$C:$C,0))</f>
        <v>白色</v>
      </c>
      <c r="G150" s="7">
        <v>20</v>
      </c>
      <c r="H150" s="7" t="s">
        <v>497</v>
      </c>
      <c r="I150" s="7" t="s">
        <v>497</v>
      </c>
      <c r="J150" s="7" t="s">
        <v>137</v>
      </c>
      <c r="K150" s="7">
        <v>3</v>
      </c>
      <c r="L150" s="7">
        <f>COUNTIFS(I$11:I150,I150,J$11:J150,J150)-1</f>
        <v>3</v>
      </c>
      <c r="O150" s="7">
        <v>10</v>
      </c>
      <c r="P150" s="7">
        <v>300000</v>
      </c>
      <c r="Q150" s="7" t="s">
        <v>138</v>
      </c>
      <c r="R150" s="21">
        <v>40140004</v>
      </c>
      <c r="S150" s="7"/>
      <c r="T150" s="7"/>
      <c r="U150" s="7">
        <v>11010001</v>
      </c>
      <c r="V150" s="7">
        <v>11020001</v>
      </c>
      <c r="X150" s="7" t="s">
        <v>139</v>
      </c>
      <c r="Y150" s="7" t="s">
        <v>468</v>
      </c>
      <c r="Z150" s="7"/>
      <c r="AA150" s="7">
        <v>80</v>
      </c>
      <c r="AB150" s="7">
        <v>80</v>
      </c>
      <c r="AC150" s="7">
        <v>20</v>
      </c>
      <c r="AD150" s="7">
        <v>30</v>
      </c>
      <c r="AE150" s="7" t="s">
        <v>141</v>
      </c>
      <c r="AF150" s="7"/>
      <c r="AG150" s="22"/>
      <c r="AI150" s="23">
        <v>195</v>
      </c>
      <c r="AJ150" s="7" t="s">
        <v>142</v>
      </c>
      <c r="AK150" s="24">
        <v>1600</v>
      </c>
      <c r="AL150" s="7" t="s">
        <v>143</v>
      </c>
      <c r="AM150" s="7">
        <v>19</v>
      </c>
      <c r="AN150" s="7" t="s">
        <v>144</v>
      </c>
      <c r="AO150" s="7">
        <v>27</v>
      </c>
      <c r="AP150" s="7" t="s">
        <v>145</v>
      </c>
      <c r="AQ150" s="7">
        <v>17</v>
      </c>
      <c r="AR150" s="7" t="s">
        <v>146</v>
      </c>
      <c r="AS150" s="7">
        <v>25</v>
      </c>
      <c r="AT150" s="7" t="s">
        <v>147</v>
      </c>
      <c r="AU150" s="7">
        <v>37</v>
      </c>
      <c r="AV150" s="7" t="s">
        <v>148</v>
      </c>
      <c r="AW150" s="7">
        <v>50</v>
      </c>
      <c r="AX150" s="7" t="s">
        <v>149</v>
      </c>
      <c r="AY150" s="7">
        <v>37</v>
      </c>
      <c r="AZ150" s="7" t="s">
        <v>150</v>
      </c>
      <c r="BA150" s="7">
        <v>50</v>
      </c>
      <c r="BB150" s="7" t="s">
        <v>151</v>
      </c>
      <c r="BC150" s="7">
        <v>1</v>
      </c>
      <c r="BD150" s="7" t="s">
        <v>152</v>
      </c>
      <c r="BE150" s="7">
        <v>2</v>
      </c>
      <c r="BF150" s="7" t="s">
        <v>153</v>
      </c>
      <c r="BG150" s="7">
        <v>100</v>
      </c>
      <c r="BH150" s="7" t="s">
        <v>154</v>
      </c>
      <c r="BI150" s="7">
        <v>10</v>
      </c>
      <c r="BJ150" s="7" t="s">
        <v>155</v>
      </c>
      <c r="BK150" s="7">
        <v>300</v>
      </c>
      <c r="BL150" s="20"/>
      <c r="BM150" s="20"/>
      <c r="BN150" s="20">
        <v>1</v>
      </c>
      <c r="BO150" s="20">
        <v>2500</v>
      </c>
      <c r="BP150" s="20">
        <v>2</v>
      </c>
      <c r="BQ150" s="20">
        <v>2500</v>
      </c>
      <c r="BR150" s="20" t="s">
        <v>156</v>
      </c>
    </row>
    <row r="151" s="7" customFormat="1" ht="16.5" spans="1:70">
      <c r="A151" s="7">
        <f>60000000+INDEX(编号表!$B:$B,MATCH(I151,编号表!$A:$A,0))*10000+INDEX(编号表!$B:$B,MATCH(J151,编号表!$C:$C,0))*1000+K151</f>
        <v>60161004</v>
      </c>
      <c r="B151" s="7" t="s">
        <v>504</v>
      </c>
      <c r="C151" s="7" t="s">
        <v>485</v>
      </c>
      <c r="D151" s="7" t="s">
        <v>505</v>
      </c>
      <c r="E151" s="7">
        <v>33</v>
      </c>
      <c r="F151" s="7" t="str" cm="1">
        <f t="array" ref="F151">INDEX(编号表!$E:$E,MATCH(J151,编号表!$C:$C,0))</f>
        <v>白色</v>
      </c>
      <c r="G151" s="7">
        <v>20</v>
      </c>
      <c r="H151" s="7" t="s">
        <v>497</v>
      </c>
      <c r="I151" s="7" t="s">
        <v>497</v>
      </c>
      <c r="J151" s="7" t="s">
        <v>137</v>
      </c>
      <c r="K151" s="7">
        <v>4</v>
      </c>
      <c r="L151" s="7">
        <f>COUNTIFS(I$11:I151,I151,J$11:J151,J151)-1</f>
        <v>4</v>
      </c>
      <c r="O151" s="7">
        <v>10</v>
      </c>
      <c r="P151" s="7">
        <v>300000</v>
      </c>
      <c r="Q151" s="7" t="s">
        <v>138</v>
      </c>
      <c r="R151" s="21">
        <v>40140004</v>
      </c>
      <c r="S151" s="7"/>
      <c r="T151" s="7"/>
      <c r="U151" s="7">
        <v>11010001</v>
      </c>
      <c r="V151" s="7">
        <v>11020001</v>
      </c>
      <c r="X151" s="7" t="s">
        <v>139</v>
      </c>
      <c r="Y151" s="7" t="s">
        <v>486</v>
      </c>
      <c r="Z151" s="7">
        <v>0.3</v>
      </c>
      <c r="AA151" s="7">
        <v>50</v>
      </c>
      <c r="AB151" s="7">
        <v>50</v>
      </c>
      <c r="AC151" s="7">
        <v>20</v>
      </c>
      <c r="AD151" s="7">
        <v>30</v>
      </c>
      <c r="AE151" s="7" t="s">
        <v>141</v>
      </c>
      <c r="AF151" s="7"/>
      <c r="AG151" s="22"/>
      <c r="AI151" s="23">
        <v>195</v>
      </c>
      <c r="AJ151" s="7" t="s">
        <v>142</v>
      </c>
      <c r="AK151" s="24">
        <v>1400</v>
      </c>
      <c r="AL151" s="7" t="s">
        <v>143</v>
      </c>
      <c r="AM151" s="7">
        <v>16</v>
      </c>
      <c r="AN151" s="7" t="s">
        <v>144</v>
      </c>
      <c r="AO151" s="7">
        <v>23</v>
      </c>
      <c r="AP151" s="7" t="s">
        <v>145</v>
      </c>
      <c r="AQ151" s="7">
        <v>15</v>
      </c>
      <c r="AR151" s="7" t="s">
        <v>146</v>
      </c>
      <c r="AS151" s="7">
        <v>22</v>
      </c>
      <c r="AT151" s="7" t="s">
        <v>147</v>
      </c>
      <c r="AU151" s="7">
        <v>38</v>
      </c>
      <c r="AV151" s="7" t="s">
        <v>148</v>
      </c>
      <c r="AW151" s="7">
        <v>50</v>
      </c>
      <c r="AX151" s="7" t="s">
        <v>149</v>
      </c>
      <c r="AY151" s="7">
        <v>38</v>
      </c>
      <c r="AZ151" s="7" t="s">
        <v>150</v>
      </c>
      <c r="BA151" s="7">
        <v>50</v>
      </c>
      <c r="BB151" s="7" t="s">
        <v>151</v>
      </c>
      <c r="BC151" s="7">
        <v>1</v>
      </c>
      <c r="BD151" s="7" t="s">
        <v>152</v>
      </c>
      <c r="BE151" s="7">
        <v>2</v>
      </c>
      <c r="BF151" s="7" t="s">
        <v>153</v>
      </c>
      <c r="BG151" s="7">
        <v>100</v>
      </c>
      <c r="BH151" s="7" t="s">
        <v>154</v>
      </c>
      <c r="BI151" s="7">
        <v>10</v>
      </c>
      <c r="BJ151" s="7" t="s">
        <v>155</v>
      </c>
      <c r="BK151" s="7">
        <v>300</v>
      </c>
      <c r="BL151" s="20"/>
      <c r="BM151" s="20"/>
      <c r="BN151" s="20">
        <v>1</v>
      </c>
      <c r="BO151" s="20">
        <v>2500</v>
      </c>
      <c r="BP151" s="20">
        <v>2</v>
      </c>
      <c r="BQ151" s="20">
        <v>2500</v>
      </c>
      <c r="BR151" s="20" t="s">
        <v>156</v>
      </c>
    </row>
    <row r="152" s="7" customFormat="1" ht="16.5" spans="1:70">
      <c r="A152" s="7">
        <f>60000000+INDEX(编号表!$B:$B,MATCH(I152,编号表!$A:$A,0))*10000+INDEX(编号表!$B:$B,MATCH(J152,编号表!$C:$C,0))*1000+K152</f>
        <v>60161005</v>
      </c>
      <c r="B152" s="7" t="s">
        <v>506</v>
      </c>
      <c r="C152" s="7" t="s">
        <v>488</v>
      </c>
      <c r="D152" s="7" t="s">
        <v>507</v>
      </c>
      <c r="E152" s="7">
        <v>33</v>
      </c>
      <c r="F152" s="7" t="str" cm="1">
        <f t="array" ref="F152">INDEX(编号表!$E:$E,MATCH(J152,编号表!$C:$C,0))</f>
        <v>白色</v>
      </c>
      <c r="G152" s="7">
        <v>20</v>
      </c>
      <c r="H152" s="7" t="s">
        <v>497</v>
      </c>
      <c r="I152" s="7" t="s">
        <v>497</v>
      </c>
      <c r="J152" s="7" t="s">
        <v>137</v>
      </c>
      <c r="K152" s="7">
        <v>5</v>
      </c>
      <c r="L152" s="7">
        <f>COUNTIFS(I$11:I152,I152,J$11:J152,J152)-1</f>
        <v>5</v>
      </c>
      <c r="O152" s="7">
        <v>10</v>
      </c>
      <c r="P152" s="7">
        <v>150000</v>
      </c>
      <c r="Q152" s="7" t="s">
        <v>138</v>
      </c>
      <c r="R152" s="21">
        <v>40140004</v>
      </c>
      <c r="S152" s="7"/>
      <c r="T152" s="7"/>
      <c r="U152" s="7">
        <v>11010001</v>
      </c>
      <c r="V152" s="7">
        <v>11020001</v>
      </c>
      <c r="X152" s="7" t="s">
        <v>139</v>
      </c>
      <c r="Y152" s="7" t="s">
        <v>489</v>
      </c>
      <c r="Z152" s="7"/>
      <c r="AA152" s="7">
        <v>50</v>
      </c>
      <c r="AB152" s="7">
        <v>50</v>
      </c>
      <c r="AC152" s="7">
        <v>20</v>
      </c>
      <c r="AD152" s="7">
        <v>30</v>
      </c>
      <c r="AE152" s="7" t="s">
        <v>141</v>
      </c>
      <c r="AF152" s="7"/>
      <c r="AG152" s="22"/>
      <c r="AI152" s="23">
        <v>195</v>
      </c>
      <c r="AJ152" s="7" t="s">
        <v>142</v>
      </c>
      <c r="AK152" s="24">
        <v>1050</v>
      </c>
      <c r="AL152" s="7" t="s">
        <v>143</v>
      </c>
      <c r="AM152" s="7">
        <v>12</v>
      </c>
      <c r="AN152" s="7" t="s">
        <v>144</v>
      </c>
      <c r="AO152" s="7">
        <v>17</v>
      </c>
      <c r="AP152" s="7" t="s">
        <v>145</v>
      </c>
      <c r="AQ152" s="7">
        <v>11</v>
      </c>
      <c r="AR152" s="7" t="s">
        <v>146</v>
      </c>
      <c r="AS152" s="7">
        <v>17</v>
      </c>
      <c r="AT152" s="7" t="s">
        <v>147</v>
      </c>
      <c r="AU152" s="7">
        <v>37</v>
      </c>
      <c r="AV152" s="7" t="s">
        <v>148</v>
      </c>
      <c r="AW152" s="7">
        <v>50</v>
      </c>
      <c r="AX152" s="7" t="s">
        <v>149</v>
      </c>
      <c r="AY152" s="7">
        <v>37</v>
      </c>
      <c r="AZ152" s="7" t="s">
        <v>150</v>
      </c>
      <c r="BA152" s="7">
        <v>50</v>
      </c>
      <c r="BB152" s="7" t="s">
        <v>151</v>
      </c>
      <c r="BC152" s="7">
        <v>0</v>
      </c>
      <c r="BD152" s="7" t="s">
        <v>152</v>
      </c>
      <c r="BE152" s="7">
        <v>0</v>
      </c>
      <c r="BF152" s="7" t="s">
        <v>153</v>
      </c>
      <c r="BG152" s="7">
        <v>100</v>
      </c>
      <c r="BH152" s="7" t="s">
        <v>154</v>
      </c>
      <c r="BI152" s="7">
        <v>10</v>
      </c>
      <c r="BJ152" s="7" t="s">
        <v>155</v>
      </c>
      <c r="BK152" s="7">
        <v>300</v>
      </c>
      <c r="BL152" s="20"/>
      <c r="BM152" s="20"/>
      <c r="BN152" s="20">
        <v>1</v>
      </c>
      <c r="BO152" s="20">
        <v>2500</v>
      </c>
      <c r="BP152" s="20">
        <v>2</v>
      </c>
      <c r="BQ152" s="20">
        <v>2500</v>
      </c>
      <c r="BR152" s="20" t="s">
        <v>156</v>
      </c>
    </row>
    <row r="153" s="7" customFormat="1" ht="16.5" spans="1:70">
      <c r="A153" s="7">
        <f>60000000+INDEX(编号表!$B:$B,MATCH(I153,编号表!$A:$A,0))*10000+INDEX(编号表!$B:$B,MATCH(J153,编号表!$C:$C,0))*1000+K153</f>
        <v>60161006</v>
      </c>
      <c r="B153" s="7" t="s">
        <v>508</v>
      </c>
      <c r="C153" s="7" t="s">
        <v>509</v>
      </c>
      <c r="D153" s="7" t="s">
        <v>509</v>
      </c>
      <c r="E153" s="7">
        <v>33</v>
      </c>
      <c r="F153" s="7" t="str" cm="1">
        <f t="array" ref="F153">INDEX(编号表!$E:$E,MATCH(J153,编号表!$C:$C,0))</f>
        <v>白色</v>
      </c>
      <c r="G153" s="7">
        <v>20</v>
      </c>
      <c r="H153" s="7" t="s">
        <v>497</v>
      </c>
      <c r="I153" s="7" t="s">
        <v>497</v>
      </c>
      <c r="J153" s="7" t="s">
        <v>137</v>
      </c>
      <c r="K153" s="7">
        <v>6</v>
      </c>
      <c r="L153" s="7">
        <f>COUNTIFS(I$11:I153,I153,J$11:J153,J153)-1</f>
        <v>6</v>
      </c>
      <c r="O153" s="7">
        <v>10</v>
      </c>
      <c r="P153" s="7">
        <v>150000</v>
      </c>
      <c r="Q153" s="7" t="s">
        <v>138</v>
      </c>
      <c r="R153" s="21">
        <v>40140004</v>
      </c>
      <c r="S153" s="7"/>
      <c r="T153" s="7"/>
      <c r="U153" s="7">
        <v>11010001</v>
      </c>
      <c r="V153" s="7">
        <v>11020001</v>
      </c>
      <c r="X153" s="7" t="s">
        <v>139</v>
      </c>
      <c r="Y153" s="7" t="s">
        <v>510</v>
      </c>
      <c r="Z153" s="7"/>
      <c r="AA153" s="7">
        <v>50</v>
      </c>
      <c r="AB153" s="7">
        <v>50</v>
      </c>
      <c r="AC153" s="7">
        <v>20</v>
      </c>
      <c r="AD153" s="7">
        <v>30</v>
      </c>
      <c r="AE153" s="7" t="s">
        <v>141</v>
      </c>
      <c r="AF153" s="7"/>
      <c r="AG153" s="22"/>
      <c r="AI153" s="23">
        <v>195</v>
      </c>
      <c r="AJ153" s="7" t="s">
        <v>142</v>
      </c>
      <c r="AK153" s="24">
        <v>1050</v>
      </c>
      <c r="AL153" s="7" t="s">
        <v>143</v>
      </c>
      <c r="AM153" s="7">
        <v>12</v>
      </c>
      <c r="AN153" s="7" t="s">
        <v>144</v>
      </c>
      <c r="AO153" s="7">
        <v>17</v>
      </c>
      <c r="AP153" s="7" t="s">
        <v>145</v>
      </c>
      <c r="AQ153" s="7">
        <v>11</v>
      </c>
      <c r="AR153" s="7" t="s">
        <v>146</v>
      </c>
      <c r="AS153" s="7">
        <v>17</v>
      </c>
      <c r="AT153" s="7" t="s">
        <v>147</v>
      </c>
      <c r="AU153" s="7">
        <v>37</v>
      </c>
      <c r="AV153" s="7" t="s">
        <v>148</v>
      </c>
      <c r="AW153" s="7">
        <v>50</v>
      </c>
      <c r="AX153" s="7" t="s">
        <v>149</v>
      </c>
      <c r="AY153" s="7">
        <v>37</v>
      </c>
      <c r="AZ153" s="7" t="s">
        <v>150</v>
      </c>
      <c r="BA153" s="7">
        <v>50</v>
      </c>
      <c r="BB153" s="7" t="s">
        <v>151</v>
      </c>
      <c r="BC153" s="7">
        <v>0</v>
      </c>
      <c r="BD153" s="7" t="s">
        <v>152</v>
      </c>
      <c r="BE153" s="7">
        <v>0</v>
      </c>
      <c r="BF153" s="7" t="s">
        <v>153</v>
      </c>
      <c r="BG153" s="7">
        <v>100</v>
      </c>
      <c r="BH153" s="7" t="s">
        <v>154</v>
      </c>
      <c r="BI153" s="7">
        <v>10</v>
      </c>
      <c r="BJ153" s="7" t="s">
        <v>155</v>
      </c>
      <c r="BK153" s="7">
        <v>300</v>
      </c>
      <c r="BL153" s="20">
        <v>0.05</v>
      </c>
      <c r="BM153" s="20"/>
      <c r="BN153" s="20">
        <v>1</v>
      </c>
      <c r="BO153" s="20">
        <v>2500</v>
      </c>
      <c r="BP153" s="20">
        <v>2</v>
      </c>
      <c r="BQ153" s="20">
        <v>2500</v>
      </c>
      <c r="BR153" s="20" t="s">
        <v>156</v>
      </c>
    </row>
    <row r="154" s="7" customFormat="1" ht="16.5" spans="1:70">
      <c r="A154" s="7">
        <f>60000000+INDEX(编号表!$B:$B,MATCH(I154,编号表!$A:$A,0))*10000+INDEX(编号表!$B:$B,MATCH(J154,编号表!$C:$C,0))*1000+K154</f>
        <v>60162000</v>
      </c>
      <c r="B154" s="7" t="s">
        <v>511</v>
      </c>
      <c r="C154" s="7" t="s">
        <v>470</v>
      </c>
      <c r="D154" s="7" t="s">
        <v>512</v>
      </c>
      <c r="E154" s="7">
        <v>34</v>
      </c>
      <c r="F154" s="7" t="str" cm="1">
        <f t="array" ref="F154">INDEX(编号表!$E:$E,MATCH(J154,编号表!$C:$C,0))</f>
        <v>绿色</v>
      </c>
      <c r="G154" s="7">
        <v>20</v>
      </c>
      <c r="H154" s="7" t="s">
        <v>497</v>
      </c>
      <c r="I154" s="7" t="s">
        <v>497</v>
      </c>
      <c r="J154" s="7" t="s">
        <v>221</v>
      </c>
      <c r="K154" s="7">
        <v>0</v>
      </c>
      <c r="L154" s="7">
        <f>COUNTIFS(I$11:I154,I154,J$11:J154,J154)-1</f>
        <v>0</v>
      </c>
      <c r="O154" s="7">
        <v>10</v>
      </c>
      <c r="P154" s="7">
        <v>300000</v>
      </c>
      <c r="Q154" s="7" t="s">
        <v>138</v>
      </c>
      <c r="R154" s="21">
        <v>40140004</v>
      </c>
      <c r="S154" s="7"/>
      <c r="T154" s="7"/>
      <c r="U154" s="7">
        <v>11010001</v>
      </c>
      <c r="V154" s="7">
        <v>11020001</v>
      </c>
      <c r="X154" s="7" t="s">
        <v>139</v>
      </c>
      <c r="Y154" s="7" t="s">
        <v>471</v>
      </c>
      <c r="Z154" s="7"/>
      <c r="AA154" s="7">
        <v>80</v>
      </c>
      <c r="AB154" s="7">
        <v>80</v>
      </c>
      <c r="AC154" s="7">
        <v>20</v>
      </c>
      <c r="AD154" s="7">
        <v>30</v>
      </c>
      <c r="AE154" s="7" t="s">
        <v>141</v>
      </c>
      <c r="AF154" s="7"/>
      <c r="AG154" s="22" t="s">
        <v>222</v>
      </c>
      <c r="AI154" s="23">
        <v>820</v>
      </c>
      <c r="AJ154" s="7" t="s">
        <v>142</v>
      </c>
      <c r="AK154" s="24">
        <v>8700</v>
      </c>
      <c r="AL154" s="7" t="s">
        <v>143</v>
      </c>
      <c r="AM154" s="7">
        <v>28</v>
      </c>
      <c r="AN154" s="7" t="s">
        <v>144</v>
      </c>
      <c r="AO154" s="7">
        <v>41</v>
      </c>
      <c r="AP154" s="7" t="s">
        <v>145</v>
      </c>
      <c r="AQ154" s="7">
        <v>26</v>
      </c>
      <c r="AR154" s="7" t="s">
        <v>146</v>
      </c>
      <c r="AS154" s="7">
        <v>39</v>
      </c>
      <c r="AT154" s="7" t="s">
        <v>147</v>
      </c>
      <c r="AU154" s="7">
        <v>75</v>
      </c>
      <c r="AV154" s="7" t="s">
        <v>148</v>
      </c>
      <c r="AW154" s="7">
        <v>100</v>
      </c>
      <c r="AX154" s="7" t="s">
        <v>149</v>
      </c>
      <c r="AY154" s="7">
        <v>75</v>
      </c>
      <c r="AZ154" s="7" t="s">
        <v>150</v>
      </c>
      <c r="BA154" s="7">
        <v>100</v>
      </c>
      <c r="BB154" s="7" t="s">
        <v>151</v>
      </c>
      <c r="BC154" s="7">
        <v>1</v>
      </c>
      <c r="BD154" s="7" t="s">
        <v>152</v>
      </c>
      <c r="BE154" s="7">
        <v>2</v>
      </c>
      <c r="BF154" s="7" t="s">
        <v>153</v>
      </c>
      <c r="BG154" s="7">
        <v>100</v>
      </c>
      <c r="BH154" s="7" t="s">
        <v>154</v>
      </c>
      <c r="BI154" s="7">
        <v>10</v>
      </c>
      <c r="BJ154" s="7" t="s">
        <v>155</v>
      </c>
      <c r="BK154" s="7">
        <v>300</v>
      </c>
      <c r="BL154" s="20"/>
      <c r="BM154" s="20"/>
      <c r="BN154" s="20">
        <v>1</v>
      </c>
      <c r="BO154" s="20">
        <v>2500</v>
      </c>
      <c r="BP154" s="20">
        <v>2</v>
      </c>
      <c r="BQ154" s="20">
        <v>2500</v>
      </c>
      <c r="BR154" s="20" t="s">
        <v>156</v>
      </c>
    </row>
    <row r="155" s="7" customFormat="1" ht="16.5" spans="1:70">
      <c r="A155" s="7">
        <f>60000000+INDEX(编号表!$B:$B,MATCH(I155,编号表!$A:$A,0))*10000+INDEX(编号表!$B:$B,MATCH(J155,编号表!$C:$C,0))*1000+K155</f>
        <v>60162001</v>
      </c>
      <c r="B155" s="7" t="s">
        <v>513</v>
      </c>
      <c r="C155" s="7" t="s">
        <v>485</v>
      </c>
      <c r="D155" s="7" t="s">
        <v>514</v>
      </c>
      <c r="E155" s="7">
        <v>34</v>
      </c>
      <c r="F155" s="7" t="str" cm="1">
        <f t="array" ref="F155">INDEX(编号表!$E:$E,MATCH(J155,编号表!$C:$C,0))</f>
        <v>绿色</v>
      </c>
      <c r="G155" s="7">
        <v>20</v>
      </c>
      <c r="H155" s="7" t="s">
        <v>497</v>
      </c>
      <c r="I155" s="7" t="s">
        <v>497</v>
      </c>
      <c r="J155" s="7" t="s">
        <v>221</v>
      </c>
      <c r="K155" s="7">
        <v>1</v>
      </c>
      <c r="L155" s="7">
        <f>COUNTIFS(I$11:I155,I155,J$11:J155,J155)-1</f>
        <v>1</v>
      </c>
      <c r="O155" s="7">
        <v>10</v>
      </c>
      <c r="P155" s="7">
        <v>300000</v>
      </c>
      <c r="Q155" s="7" t="s">
        <v>138</v>
      </c>
      <c r="R155" s="21">
        <v>40140004</v>
      </c>
      <c r="S155" s="7"/>
      <c r="T155" s="7"/>
      <c r="U155" s="7">
        <v>11010001</v>
      </c>
      <c r="V155" s="7">
        <v>11020001</v>
      </c>
      <c r="X155" s="7" t="s">
        <v>139</v>
      </c>
      <c r="Y155" s="7" t="s">
        <v>486</v>
      </c>
      <c r="Z155" s="7"/>
      <c r="AA155" s="7">
        <v>80</v>
      </c>
      <c r="AB155" s="7">
        <v>80</v>
      </c>
      <c r="AC155" s="7">
        <v>20</v>
      </c>
      <c r="AD155" s="7">
        <v>30</v>
      </c>
      <c r="AE155" s="7" t="s">
        <v>141</v>
      </c>
      <c r="AF155" s="7"/>
      <c r="AG155" s="22" t="s">
        <v>222</v>
      </c>
      <c r="AI155" s="23">
        <v>820</v>
      </c>
      <c r="AJ155" s="7" t="s">
        <v>142</v>
      </c>
      <c r="AK155" s="24">
        <v>7600</v>
      </c>
      <c r="AL155" s="7" t="s">
        <v>143</v>
      </c>
      <c r="AM155" s="7">
        <v>25</v>
      </c>
      <c r="AN155" s="7" t="s">
        <v>144</v>
      </c>
      <c r="AO155" s="7">
        <v>35</v>
      </c>
      <c r="AP155" s="7" t="s">
        <v>145</v>
      </c>
      <c r="AQ155" s="7">
        <v>23</v>
      </c>
      <c r="AR155" s="7" t="s">
        <v>146</v>
      </c>
      <c r="AS155" s="7">
        <v>34</v>
      </c>
      <c r="AT155" s="7" t="s">
        <v>147</v>
      </c>
      <c r="AU155" s="7">
        <v>75</v>
      </c>
      <c r="AV155" s="7" t="s">
        <v>148</v>
      </c>
      <c r="AW155" s="7">
        <v>100</v>
      </c>
      <c r="AX155" s="7" t="s">
        <v>149</v>
      </c>
      <c r="AY155" s="7">
        <v>75</v>
      </c>
      <c r="AZ155" s="7" t="s">
        <v>150</v>
      </c>
      <c r="BA155" s="7">
        <v>100</v>
      </c>
      <c r="BB155" s="7" t="s">
        <v>151</v>
      </c>
      <c r="BC155" s="7">
        <v>1</v>
      </c>
      <c r="BD155" s="7" t="s">
        <v>152</v>
      </c>
      <c r="BE155" s="7">
        <v>2</v>
      </c>
      <c r="BF155" s="7" t="s">
        <v>153</v>
      </c>
      <c r="BG155" s="7">
        <v>100</v>
      </c>
      <c r="BH155" s="7" t="s">
        <v>154</v>
      </c>
      <c r="BI155" s="7">
        <v>10</v>
      </c>
      <c r="BJ155" s="7" t="s">
        <v>155</v>
      </c>
      <c r="BK155" s="7">
        <v>300</v>
      </c>
      <c r="BL155" s="20"/>
      <c r="BM155" s="20"/>
      <c r="BN155" s="20">
        <v>1</v>
      </c>
      <c r="BO155" s="20">
        <v>2500</v>
      </c>
      <c r="BP155" s="20">
        <v>2</v>
      </c>
      <c r="BQ155" s="20">
        <v>2500</v>
      </c>
      <c r="BR155" s="20" t="s">
        <v>156</v>
      </c>
    </row>
    <row r="156" s="15" customFormat="1" ht="16.5" spans="1:70">
      <c r="A156" s="15">
        <f>60000000+INDEX(编号表!$B:$B,MATCH(I156,编号表!$A:$A,0))*10000+INDEX(编号表!$B:$B,MATCH(J156,编号表!$C:$C,0))*1000+K156</f>
        <v>60164000</v>
      </c>
      <c r="B156" s="15" t="s">
        <v>515</v>
      </c>
      <c r="C156" s="15" t="s">
        <v>485</v>
      </c>
      <c r="D156" s="15" t="s">
        <v>514</v>
      </c>
      <c r="E156" s="15">
        <v>34</v>
      </c>
      <c r="F156" s="15" t="str" cm="1">
        <f t="array" ref="F156">INDEX(编号表!$E:$E,MATCH(J156,编号表!$C:$C,0))</f>
        <v>橙色</v>
      </c>
      <c r="G156" s="15">
        <v>20</v>
      </c>
      <c r="H156" s="15" t="s">
        <v>497</v>
      </c>
      <c r="I156" s="15" t="s">
        <v>497</v>
      </c>
      <c r="J156" s="15" t="s">
        <v>233</v>
      </c>
      <c r="K156" s="15">
        <v>0</v>
      </c>
      <c r="L156" s="15">
        <f>COUNTIFS(I$11:I156,I156,J$11:J156,J156)-1</f>
        <v>0</v>
      </c>
      <c r="O156" s="7">
        <v>10</v>
      </c>
      <c r="P156" s="7">
        <v>300000</v>
      </c>
      <c r="Q156" s="15" t="s">
        <v>138</v>
      </c>
      <c r="R156" s="21">
        <v>40140004</v>
      </c>
      <c r="S156" s="15"/>
      <c r="T156" s="15"/>
      <c r="U156" s="15">
        <v>11010001</v>
      </c>
      <c r="V156" s="15">
        <v>11020001</v>
      </c>
      <c r="X156" s="15" t="s">
        <v>139</v>
      </c>
      <c r="Y156" s="15" t="s">
        <v>486</v>
      </c>
      <c r="Z156" s="7">
        <v>1.5</v>
      </c>
      <c r="AA156" s="7">
        <v>80</v>
      </c>
      <c r="AB156" s="7">
        <v>80</v>
      </c>
      <c r="AC156" s="7">
        <v>20</v>
      </c>
      <c r="AD156" s="7">
        <v>30</v>
      </c>
      <c r="AE156" s="15" t="s">
        <v>141</v>
      </c>
      <c r="AF156" s="15"/>
      <c r="AG156" s="22" t="s">
        <v>234</v>
      </c>
      <c r="AH156" s="15"/>
      <c r="AI156" s="23">
        <v>4050</v>
      </c>
      <c r="AJ156" s="15" t="s">
        <v>142</v>
      </c>
      <c r="AK156" s="24">
        <v>44000</v>
      </c>
      <c r="AL156" s="15" t="s">
        <v>143</v>
      </c>
      <c r="AM156" s="15">
        <v>34</v>
      </c>
      <c r="AN156" s="15" t="s">
        <v>144</v>
      </c>
      <c r="AO156" s="15">
        <v>49</v>
      </c>
      <c r="AP156" s="15" t="s">
        <v>145</v>
      </c>
      <c r="AQ156" s="15">
        <v>32</v>
      </c>
      <c r="AR156" s="15" t="s">
        <v>146</v>
      </c>
      <c r="AS156" s="15">
        <v>46</v>
      </c>
      <c r="AT156" s="15" t="s">
        <v>147</v>
      </c>
      <c r="AU156" s="15">
        <v>115</v>
      </c>
      <c r="AV156" s="15" t="s">
        <v>148</v>
      </c>
      <c r="AW156" s="15">
        <v>160</v>
      </c>
      <c r="AX156" s="15" t="s">
        <v>149</v>
      </c>
      <c r="AY156" s="15">
        <v>115</v>
      </c>
      <c r="AZ156" s="15" t="s">
        <v>150</v>
      </c>
      <c r="BA156" s="15">
        <v>160</v>
      </c>
      <c r="BB156" s="15" t="s">
        <v>151</v>
      </c>
      <c r="BC156" s="15">
        <v>1</v>
      </c>
      <c r="BD156" s="15" t="s">
        <v>152</v>
      </c>
      <c r="BE156" s="15">
        <v>2</v>
      </c>
      <c r="BF156" s="15" t="s">
        <v>153</v>
      </c>
      <c r="BG156" s="15">
        <v>100</v>
      </c>
      <c r="BH156" s="15" t="s">
        <v>154</v>
      </c>
      <c r="BI156" s="15">
        <v>10</v>
      </c>
      <c r="BJ156" s="15" t="s">
        <v>155</v>
      </c>
      <c r="BK156" s="7">
        <v>300</v>
      </c>
      <c r="BL156" s="25"/>
      <c r="BM156" s="25"/>
      <c r="BN156" s="20">
        <v>1</v>
      </c>
      <c r="BO156" s="20">
        <v>2500</v>
      </c>
      <c r="BP156" s="20">
        <v>2</v>
      </c>
      <c r="BQ156" s="20">
        <v>2500</v>
      </c>
      <c r="BR156" s="25" t="s">
        <v>156</v>
      </c>
    </row>
    <row r="157" s="7" customFormat="1" ht="16.5" spans="1:70">
      <c r="A157" s="7">
        <f>60000000+INDEX(编号表!$B:$B,MATCH(I157,编号表!$A:$A,0))*10000+INDEX(编号表!$B:$B,MATCH(J157,编号表!$C:$C,0))*1000+K157</f>
        <v>60171000</v>
      </c>
      <c r="B157" s="7" t="s">
        <v>516</v>
      </c>
      <c r="C157" s="7" t="s">
        <v>330</v>
      </c>
      <c r="D157" s="7" t="s">
        <v>517</v>
      </c>
      <c r="E157" s="7">
        <v>34</v>
      </c>
      <c r="F157" s="7" t="str" cm="1">
        <f t="array" ref="F157">INDEX(编号表!$E:$E,MATCH(J157,编号表!$C:$C,0))</f>
        <v>白色</v>
      </c>
      <c r="G157" s="7">
        <v>21</v>
      </c>
      <c r="H157" s="7" t="s">
        <v>518</v>
      </c>
      <c r="I157" s="7" t="s">
        <v>518</v>
      </c>
      <c r="J157" s="7" t="s">
        <v>137</v>
      </c>
      <c r="K157" s="7">
        <v>0</v>
      </c>
      <c r="L157" s="7">
        <f>COUNTIFS(I$11:I157,I157,J$11:J157,J157)-1</f>
        <v>0</v>
      </c>
      <c r="O157" s="7">
        <v>10</v>
      </c>
      <c r="P157" s="7">
        <v>300000</v>
      </c>
      <c r="Q157" s="7" t="s">
        <v>138</v>
      </c>
      <c r="R157" s="21">
        <v>40140004</v>
      </c>
      <c r="S157" s="7"/>
      <c r="T157" s="7"/>
      <c r="U157" s="7">
        <v>11010001</v>
      </c>
      <c r="V157" s="7">
        <v>11020001</v>
      </c>
      <c r="X157" s="7" t="s">
        <v>139</v>
      </c>
      <c r="Y157" s="7" t="s">
        <v>332</v>
      </c>
      <c r="Z157" s="7">
        <v>0.5</v>
      </c>
      <c r="AA157" s="7">
        <v>50</v>
      </c>
      <c r="AB157" s="7">
        <v>50</v>
      </c>
      <c r="AC157" s="7">
        <v>20</v>
      </c>
      <c r="AD157" s="7">
        <v>30</v>
      </c>
      <c r="AE157" s="7" t="s">
        <v>141</v>
      </c>
      <c r="AF157" s="7"/>
      <c r="AG157" s="22"/>
      <c r="AI157" s="23">
        <v>205</v>
      </c>
      <c r="AJ157" s="7" t="s">
        <v>142</v>
      </c>
      <c r="AK157" s="24">
        <v>1400</v>
      </c>
      <c r="AL157" s="7" t="s">
        <v>143</v>
      </c>
      <c r="AM157" s="7">
        <v>15</v>
      </c>
      <c r="AN157" s="7" t="s">
        <v>144</v>
      </c>
      <c r="AO157" s="7">
        <v>22</v>
      </c>
      <c r="AP157" s="7" t="s">
        <v>145</v>
      </c>
      <c r="AQ157" s="7">
        <v>14</v>
      </c>
      <c r="AR157" s="7" t="s">
        <v>146</v>
      </c>
      <c r="AS157" s="7">
        <v>21</v>
      </c>
      <c r="AT157" s="7" t="s">
        <v>147</v>
      </c>
      <c r="AU157" s="7">
        <v>36</v>
      </c>
      <c r="AV157" s="7" t="s">
        <v>148</v>
      </c>
      <c r="AW157" s="7">
        <v>48</v>
      </c>
      <c r="AX157" s="7" t="s">
        <v>149</v>
      </c>
      <c r="AY157" s="7">
        <v>36</v>
      </c>
      <c r="AZ157" s="7" t="s">
        <v>150</v>
      </c>
      <c r="BA157" s="7">
        <v>48</v>
      </c>
      <c r="BB157" s="7" t="s">
        <v>151</v>
      </c>
      <c r="BC157" s="7">
        <v>1</v>
      </c>
      <c r="BD157" s="7" t="s">
        <v>152</v>
      </c>
      <c r="BE157" s="7">
        <v>2</v>
      </c>
      <c r="BF157" s="7" t="s">
        <v>153</v>
      </c>
      <c r="BG157" s="7">
        <v>100</v>
      </c>
      <c r="BH157" s="7" t="s">
        <v>154</v>
      </c>
      <c r="BI157" s="7">
        <v>10</v>
      </c>
      <c r="BJ157" s="7" t="s">
        <v>155</v>
      </c>
      <c r="BK157" s="7">
        <v>300</v>
      </c>
      <c r="BL157" s="20"/>
      <c r="BM157" s="20"/>
      <c r="BN157" s="20">
        <v>1</v>
      </c>
      <c r="BO157" s="20">
        <v>2500</v>
      </c>
      <c r="BP157" s="20">
        <v>2</v>
      </c>
      <c r="BQ157" s="20">
        <v>2500</v>
      </c>
      <c r="BR157" s="20" t="s">
        <v>156</v>
      </c>
    </row>
    <row r="158" s="7" customFormat="1" ht="16.5" spans="1:70">
      <c r="A158" s="7">
        <f>60000000+INDEX(编号表!$B:$B,MATCH(I158,编号表!$A:$A,0))*10000+INDEX(编号表!$B:$B,MATCH(J158,编号表!$C:$C,0))*1000+K158</f>
        <v>60171001</v>
      </c>
      <c r="B158" s="7" t="s">
        <v>519</v>
      </c>
      <c r="C158" s="7" t="s">
        <v>381</v>
      </c>
      <c r="D158" s="7" t="s">
        <v>381</v>
      </c>
      <c r="E158" s="7">
        <v>34</v>
      </c>
      <c r="F158" s="7" t="str" cm="1">
        <f t="array" ref="F158">INDEX(编号表!$E:$E,MATCH(J158,编号表!$C:$C,0))</f>
        <v>白色</v>
      </c>
      <c r="G158" s="7">
        <v>21</v>
      </c>
      <c r="H158" s="7" t="s">
        <v>518</v>
      </c>
      <c r="I158" s="7" t="s">
        <v>518</v>
      </c>
      <c r="J158" s="7" t="s">
        <v>137</v>
      </c>
      <c r="K158" s="7">
        <v>1</v>
      </c>
      <c r="L158" s="7">
        <f>COUNTIFS(I$11:I158,I158,J$11:J158,J158)-1</f>
        <v>1</v>
      </c>
      <c r="O158" s="7">
        <v>10</v>
      </c>
      <c r="P158" s="7">
        <v>300000</v>
      </c>
      <c r="Q158" s="7" t="s">
        <v>138</v>
      </c>
      <c r="R158" s="21">
        <v>40140004</v>
      </c>
      <c r="S158" s="7"/>
      <c r="T158" s="7"/>
      <c r="U158" s="7">
        <v>11010001</v>
      </c>
      <c r="V158" s="7">
        <v>11020001</v>
      </c>
      <c r="X158" s="7" t="s">
        <v>139</v>
      </c>
      <c r="Y158" s="7" t="s">
        <v>384</v>
      </c>
      <c r="Z158" s="7"/>
      <c r="AA158" s="7">
        <v>80</v>
      </c>
      <c r="AB158" s="7">
        <v>80</v>
      </c>
      <c r="AC158" s="7">
        <v>20</v>
      </c>
      <c r="AD158" s="7">
        <v>30</v>
      </c>
      <c r="AE158" s="7" t="s">
        <v>141</v>
      </c>
      <c r="AF158" s="7"/>
      <c r="AG158" s="22"/>
      <c r="AI158" s="23">
        <v>205</v>
      </c>
      <c r="AJ158" s="7" t="s">
        <v>142</v>
      </c>
      <c r="AK158" s="24">
        <v>1700</v>
      </c>
      <c r="AL158" s="7" t="s">
        <v>143</v>
      </c>
      <c r="AM158" s="7">
        <v>20</v>
      </c>
      <c r="AN158" s="7" t="s">
        <v>144</v>
      </c>
      <c r="AO158" s="7">
        <v>28</v>
      </c>
      <c r="AP158" s="7" t="s">
        <v>145</v>
      </c>
      <c r="AQ158" s="7">
        <v>18</v>
      </c>
      <c r="AR158" s="7" t="s">
        <v>146</v>
      </c>
      <c r="AS158" s="7">
        <v>27</v>
      </c>
      <c r="AT158" s="7" t="s">
        <v>147</v>
      </c>
      <c r="AU158" s="7">
        <v>39</v>
      </c>
      <c r="AV158" s="7" t="s">
        <v>148</v>
      </c>
      <c r="AW158" s="7">
        <v>55</v>
      </c>
      <c r="AX158" s="7" t="s">
        <v>149</v>
      </c>
      <c r="AY158" s="7">
        <v>39</v>
      </c>
      <c r="AZ158" s="7" t="s">
        <v>150</v>
      </c>
      <c r="BA158" s="7">
        <v>55</v>
      </c>
      <c r="BB158" s="7" t="s">
        <v>151</v>
      </c>
      <c r="BC158" s="7">
        <v>1</v>
      </c>
      <c r="BD158" s="7" t="s">
        <v>152</v>
      </c>
      <c r="BE158" s="7">
        <v>2</v>
      </c>
      <c r="BF158" s="7" t="s">
        <v>153</v>
      </c>
      <c r="BG158" s="7">
        <v>100</v>
      </c>
      <c r="BH158" s="7" t="s">
        <v>154</v>
      </c>
      <c r="BI158" s="7">
        <v>10</v>
      </c>
      <c r="BJ158" s="7" t="s">
        <v>155</v>
      </c>
      <c r="BK158" s="7">
        <v>300</v>
      </c>
      <c r="BL158" s="20"/>
      <c r="BM158" s="20"/>
      <c r="BN158" s="20">
        <v>1</v>
      </c>
      <c r="BO158" s="20">
        <v>2500</v>
      </c>
      <c r="BP158" s="20">
        <v>2</v>
      </c>
      <c r="BQ158" s="20">
        <v>2500</v>
      </c>
      <c r="BR158" s="20" t="s">
        <v>156</v>
      </c>
    </row>
    <row r="159" s="7" customFormat="1" ht="16.5" spans="1:70">
      <c r="A159" s="7">
        <f>60000000+INDEX(编号表!$B:$B,MATCH(I159,编号表!$A:$A,0))*10000+INDEX(编号表!$B:$B,MATCH(J159,编号表!$C:$C,0))*1000+K159</f>
        <v>60171002</v>
      </c>
      <c r="B159" s="7" t="s">
        <v>520</v>
      </c>
      <c r="C159" s="7" t="s">
        <v>488</v>
      </c>
      <c r="D159" s="7" t="s">
        <v>521</v>
      </c>
      <c r="E159" s="7">
        <v>34</v>
      </c>
      <c r="F159" s="7" t="str" cm="1">
        <f t="array" ref="F159">INDEX(编号表!$E:$E,MATCH(J159,编号表!$C:$C,0))</f>
        <v>白色</v>
      </c>
      <c r="G159" s="7">
        <v>21</v>
      </c>
      <c r="H159" s="7" t="s">
        <v>518</v>
      </c>
      <c r="I159" s="7" t="s">
        <v>518</v>
      </c>
      <c r="J159" s="7" t="s">
        <v>137</v>
      </c>
      <c r="K159" s="7">
        <v>2</v>
      </c>
      <c r="L159" s="7">
        <f>COUNTIFS(I$11:I159,I159,J$11:J159,J159)-1</f>
        <v>2</v>
      </c>
      <c r="O159" s="7">
        <v>10</v>
      </c>
      <c r="P159" s="7">
        <v>150000</v>
      </c>
      <c r="Q159" s="7" t="s">
        <v>138</v>
      </c>
      <c r="R159" s="21">
        <v>40140004</v>
      </c>
      <c r="S159" s="7"/>
      <c r="T159" s="7"/>
      <c r="U159" s="7">
        <v>11010001</v>
      </c>
      <c r="V159" s="7">
        <v>11020001</v>
      </c>
      <c r="X159" s="7" t="s">
        <v>139</v>
      </c>
      <c r="Y159" s="7" t="s">
        <v>489</v>
      </c>
      <c r="Z159" s="7"/>
      <c r="AA159" s="7">
        <v>80</v>
      </c>
      <c r="AB159" s="7">
        <v>80</v>
      </c>
      <c r="AC159" s="7">
        <v>20</v>
      </c>
      <c r="AD159" s="7">
        <v>30</v>
      </c>
      <c r="AE159" s="7" t="s">
        <v>141</v>
      </c>
      <c r="AF159" s="7"/>
      <c r="AG159" s="22"/>
      <c r="AI159" s="23">
        <v>205</v>
      </c>
      <c r="AJ159" s="7" t="s">
        <v>142</v>
      </c>
      <c r="AK159" s="24">
        <v>1100</v>
      </c>
      <c r="AL159" s="7" t="s">
        <v>143</v>
      </c>
      <c r="AM159" s="7">
        <v>13</v>
      </c>
      <c r="AN159" s="7" t="s">
        <v>144</v>
      </c>
      <c r="AO159" s="7">
        <v>18</v>
      </c>
      <c r="AP159" s="7" t="s">
        <v>145</v>
      </c>
      <c r="AQ159" s="7">
        <v>12</v>
      </c>
      <c r="AR159" s="7" t="s">
        <v>146</v>
      </c>
      <c r="AS159" s="7">
        <v>17</v>
      </c>
      <c r="AT159" s="7" t="s">
        <v>147</v>
      </c>
      <c r="AU159" s="7">
        <v>39</v>
      </c>
      <c r="AV159" s="7" t="s">
        <v>148</v>
      </c>
      <c r="AW159" s="7">
        <v>55</v>
      </c>
      <c r="AX159" s="7" t="s">
        <v>149</v>
      </c>
      <c r="AY159" s="7">
        <v>39</v>
      </c>
      <c r="AZ159" s="7" t="s">
        <v>150</v>
      </c>
      <c r="BA159" s="7">
        <v>55</v>
      </c>
      <c r="BB159" s="7" t="s">
        <v>151</v>
      </c>
      <c r="BC159" s="7">
        <v>0</v>
      </c>
      <c r="BD159" s="7" t="s">
        <v>152</v>
      </c>
      <c r="BE159" s="7">
        <v>0</v>
      </c>
      <c r="BF159" s="7" t="s">
        <v>153</v>
      </c>
      <c r="BG159" s="7">
        <v>100</v>
      </c>
      <c r="BH159" s="7" t="s">
        <v>154</v>
      </c>
      <c r="BI159" s="7">
        <v>10</v>
      </c>
      <c r="BJ159" s="7" t="s">
        <v>155</v>
      </c>
      <c r="BK159" s="7">
        <v>300</v>
      </c>
      <c r="BL159" s="20"/>
      <c r="BM159" s="20"/>
      <c r="BN159" s="20">
        <v>1</v>
      </c>
      <c r="BO159" s="20">
        <v>2500</v>
      </c>
      <c r="BP159" s="20">
        <v>2</v>
      </c>
      <c r="BQ159" s="20">
        <v>2500</v>
      </c>
      <c r="BR159" s="20" t="s">
        <v>156</v>
      </c>
    </row>
    <row r="160" s="7" customFormat="1" ht="16.5" spans="1:70">
      <c r="A160" s="7">
        <f>60000000+INDEX(编号表!$B:$B,MATCH(I160,编号表!$A:$A,0))*10000+INDEX(编号表!$B:$B,MATCH(J160,编号表!$C:$C,0))*1000+K160</f>
        <v>60171003</v>
      </c>
      <c r="B160" s="7" t="s">
        <v>522</v>
      </c>
      <c r="C160" s="7" t="s">
        <v>509</v>
      </c>
      <c r="D160" s="7" t="s">
        <v>523</v>
      </c>
      <c r="E160" s="7">
        <v>34</v>
      </c>
      <c r="F160" s="7" t="str" cm="1">
        <f t="array" ref="F160">INDEX(编号表!$E:$E,MATCH(J160,编号表!$C:$C,0))</f>
        <v>白色</v>
      </c>
      <c r="G160" s="7">
        <v>21</v>
      </c>
      <c r="H160" s="7" t="s">
        <v>518</v>
      </c>
      <c r="I160" s="7" t="s">
        <v>518</v>
      </c>
      <c r="J160" s="7" t="s">
        <v>137</v>
      </c>
      <c r="K160" s="7">
        <v>3</v>
      </c>
      <c r="L160" s="7">
        <f>COUNTIFS(I$11:I160,I160,J$11:J160,J160)-1</f>
        <v>3</v>
      </c>
      <c r="O160" s="7">
        <v>10</v>
      </c>
      <c r="P160" s="7">
        <v>150000</v>
      </c>
      <c r="Q160" s="7" t="s">
        <v>138</v>
      </c>
      <c r="R160" s="21">
        <v>40140004</v>
      </c>
      <c r="S160" s="7"/>
      <c r="T160" s="7"/>
      <c r="U160" s="7">
        <v>11010001</v>
      </c>
      <c r="V160" s="7">
        <v>11020001</v>
      </c>
      <c r="X160" s="7" t="s">
        <v>139</v>
      </c>
      <c r="Y160" s="7" t="s">
        <v>510</v>
      </c>
      <c r="Z160" s="7"/>
      <c r="AA160" s="7">
        <v>80</v>
      </c>
      <c r="AB160" s="7">
        <v>80</v>
      </c>
      <c r="AC160" s="7">
        <v>20</v>
      </c>
      <c r="AD160" s="7">
        <v>30</v>
      </c>
      <c r="AE160" s="7" t="s">
        <v>141</v>
      </c>
      <c r="AF160" s="7"/>
      <c r="AG160" s="22"/>
      <c r="AI160" s="23">
        <v>205</v>
      </c>
      <c r="AJ160" s="7" t="s">
        <v>142</v>
      </c>
      <c r="AK160" s="24">
        <v>1100</v>
      </c>
      <c r="AL160" s="7" t="s">
        <v>143</v>
      </c>
      <c r="AM160" s="7">
        <v>13</v>
      </c>
      <c r="AN160" s="7" t="s">
        <v>144</v>
      </c>
      <c r="AO160" s="7">
        <v>18</v>
      </c>
      <c r="AP160" s="7" t="s">
        <v>145</v>
      </c>
      <c r="AQ160" s="7">
        <v>12</v>
      </c>
      <c r="AR160" s="7" t="s">
        <v>146</v>
      </c>
      <c r="AS160" s="7">
        <v>17</v>
      </c>
      <c r="AT160" s="7" t="s">
        <v>147</v>
      </c>
      <c r="AU160" s="7">
        <v>39</v>
      </c>
      <c r="AV160" s="7" t="s">
        <v>148</v>
      </c>
      <c r="AW160" s="7">
        <v>55</v>
      </c>
      <c r="AX160" s="7" t="s">
        <v>149</v>
      </c>
      <c r="AY160" s="7">
        <v>39</v>
      </c>
      <c r="AZ160" s="7" t="s">
        <v>150</v>
      </c>
      <c r="BA160" s="7">
        <v>55</v>
      </c>
      <c r="BB160" s="7" t="s">
        <v>151</v>
      </c>
      <c r="BC160" s="7">
        <v>0</v>
      </c>
      <c r="BD160" s="7" t="s">
        <v>152</v>
      </c>
      <c r="BE160" s="7">
        <v>0</v>
      </c>
      <c r="BF160" s="7" t="s">
        <v>153</v>
      </c>
      <c r="BG160" s="7">
        <v>100</v>
      </c>
      <c r="BH160" s="7" t="s">
        <v>154</v>
      </c>
      <c r="BI160" s="7">
        <v>10</v>
      </c>
      <c r="BJ160" s="7" t="s">
        <v>155</v>
      </c>
      <c r="BK160" s="7">
        <v>300</v>
      </c>
      <c r="BL160" s="20">
        <v>0.05</v>
      </c>
      <c r="BM160" s="20"/>
      <c r="BN160" s="20">
        <v>1</v>
      </c>
      <c r="BO160" s="20">
        <v>2500</v>
      </c>
      <c r="BP160" s="20">
        <v>2</v>
      </c>
      <c r="BQ160" s="20">
        <v>2500</v>
      </c>
      <c r="BR160" s="20" t="s">
        <v>156</v>
      </c>
    </row>
    <row r="161" s="7" customFormat="1" ht="16.5" spans="1:70">
      <c r="A161" s="7">
        <f>60000000+INDEX(编号表!$B:$B,MATCH(I161,编号表!$A:$A,0))*10000+INDEX(编号表!$B:$B,MATCH(J161,编号表!$C:$C,0))*1000+K161</f>
        <v>60172000</v>
      </c>
      <c r="B161" s="7" t="s">
        <v>524</v>
      </c>
      <c r="C161" s="7" t="s">
        <v>381</v>
      </c>
      <c r="D161" s="7" t="s">
        <v>525</v>
      </c>
      <c r="E161" s="7">
        <v>35</v>
      </c>
      <c r="F161" s="7" t="str" cm="1">
        <f t="array" ref="F161">INDEX(编号表!$E:$E,MATCH(J161,编号表!$C:$C,0))</f>
        <v>绿色</v>
      </c>
      <c r="G161" s="7">
        <v>21</v>
      </c>
      <c r="H161" s="7" t="s">
        <v>518</v>
      </c>
      <c r="I161" s="7" t="s">
        <v>518</v>
      </c>
      <c r="J161" s="7" t="s">
        <v>221</v>
      </c>
      <c r="K161" s="7">
        <v>0</v>
      </c>
      <c r="L161" s="7">
        <f>COUNTIFS(I$11:I161,I161,J$11:J161,J161)-1</f>
        <v>0</v>
      </c>
      <c r="O161" s="7">
        <v>10</v>
      </c>
      <c r="P161" s="7">
        <v>300000</v>
      </c>
      <c r="Q161" s="7" t="s">
        <v>138</v>
      </c>
      <c r="R161" s="21">
        <v>40140004</v>
      </c>
      <c r="S161" s="7"/>
      <c r="T161" s="7"/>
      <c r="U161" s="7">
        <v>11010001</v>
      </c>
      <c r="V161" s="7">
        <v>11020001</v>
      </c>
      <c r="X161" s="7" t="s">
        <v>139</v>
      </c>
      <c r="Y161" s="7" t="s">
        <v>384</v>
      </c>
      <c r="Z161" s="7"/>
      <c r="AA161" s="7">
        <v>80</v>
      </c>
      <c r="AB161" s="7">
        <v>80</v>
      </c>
      <c r="AC161" s="7">
        <v>20</v>
      </c>
      <c r="AD161" s="7">
        <v>30</v>
      </c>
      <c r="AE161" s="7" t="s">
        <v>141</v>
      </c>
      <c r="AF161" s="7"/>
      <c r="AG161" s="22" t="s">
        <v>222</v>
      </c>
      <c r="AI161" s="23">
        <v>860</v>
      </c>
      <c r="AJ161" s="7" t="s">
        <v>142</v>
      </c>
      <c r="AK161" s="24">
        <v>9500</v>
      </c>
      <c r="AL161" s="7" t="s">
        <v>143</v>
      </c>
      <c r="AM161" s="7">
        <v>30</v>
      </c>
      <c r="AN161" s="7" t="s">
        <v>144</v>
      </c>
      <c r="AO161" s="7">
        <v>43</v>
      </c>
      <c r="AP161" s="7" t="s">
        <v>145</v>
      </c>
      <c r="AQ161" s="7">
        <v>28</v>
      </c>
      <c r="AR161" s="7" t="s">
        <v>146</v>
      </c>
      <c r="AS161" s="7">
        <v>41</v>
      </c>
      <c r="AT161" s="7" t="s">
        <v>147</v>
      </c>
      <c r="AU161" s="7">
        <v>75</v>
      </c>
      <c r="AV161" s="7" t="s">
        <v>148</v>
      </c>
      <c r="AW161" s="7">
        <v>105</v>
      </c>
      <c r="AX161" s="7" t="s">
        <v>149</v>
      </c>
      <c r="AY161" s="7">
        <v>75</v>
      </c>
      <c r="AZ161" s="7" t="s">
        <v>150</v>
      </c>
      <c r="BA161" s="7">
        <v>105</v>
      </c>
      <c r="BB161" s="7" t="s">
        <v>151</v>
      </c>
      <c r="BC161" s="7">
        <v>1</v>
      </c>
      <c r="BD161" s="7" t="s">
        <v>152</v>
      </c>
      <c r="BE161" s="7">
        <v>2</v>
      </c>
      <c r="BF161" s="7" t="s">
        <v>153</v>
      </c>
      <c r="BG161" s="7">
        <v>100</v>
      </c>
      <c r="BH161" s="7" t="s">
        <v>154</v>
      </c>
      <c r="BI161" s="7">
        <v>10</v>
      </c>
      <c r="BJ161" s="7" t="s">
        <v>155</v>
      </c>
      <c r="BK161" s="7">
        <v>300</v>
      </c>
      <c r="BL161" s="20"/>
      <c r="BM161" s="20"/>
      <c r="BN161" s="20">
        <v>1</v>
      </c>
      <c r="BO161" s="20">
        <v>2500</v>
      </c>
      <c r="BP161" s="20">
        <v>2</v>
      </c>
      <c r="BQ161" s="20">
        <v>2500</v>
      </c>
      <c r="BR161" s="20" t="s">
        <v>156</v>
      </c>
    </row>
    <row r="162" s="7" customFormat="1" ht="16.5" spans="1:70">
      <c r="A162" s="27">
        <f>60000000+INDEX(编号表!$B:$B,MATCH(I162,编号表!$A:$A,0))*10000+INDEX(编号表!$B:$B,MATCH(J162,编号表!$C:$C,0))*1000+K162</f>
        <v>60174000</v>
      </c>
      <c r="B162" s="27" t="s">
        <v>526</v>
      </c>
      <c r="C162" s="27" t="s">
        <v>527</v>
      </c>
      <c r="D162" s="27" t="s">
        <v>527</v>
      </c>
      <c r="E162" s="27">
        <v>36</v>
      </c>
      <c r="F162" s="27" t="str" cm="1">
        <f t="array" ref="F162">INDEX(编号表!$E:$E,MATCH(J162,编号表!$C:$C,0))</f>
        <v>橙色</v>
      </c>
      <c r="G162" s="27">
        <v>21</v>
      </c>
      <c r="H162" s="27" t="s">
        <v>518</v>
      </c>
      <c r="I162" s="27" t="s">
        <v>518</v>
      </c>
      <c r="J162" s="27" t="s">
        <v>233</v>
      </c>
      <c r="K162" s="7">
        <v>0</v>
      </c>
      <c r="L162" s="7">
        <f>COUNTIFS(I$11:I162,I162,J$11:J162,J162)-1</f>
        <v>0</v>
      </c>
      <c r="O162" s="7">
        <v>10</v>
      </c>
      <c r="P162" s="7">
        <v>300000</v>
      </c>
      <c r="Q162" s="7" t="s">
        <v>138</v>
      </c>
      <c r="R162" s="21">
        <v>40140005</v>
      </c>
      <c r="S162" s="7"/>
      <c r="T162" s="7"/>
      <c r="U162" s="7">
        <v>11010001</v>
      </c>
      <c r="V162" s="7">
        <v>11020001</v>
      </c>
      <c r="X162" s="7" t="s">
        <v>139</v>
      </c>
      <c r="Y162" s="7" t="s">
        <v>528</v>
      </c>
      <c r="Z162" s="7">
        <v>1.5</v>
      </c>
      <c r="AA162" s="7">
        <v>100</v>
      </c>
      <c r="AB162" s="7">
        <v>100</v>
      </c>
      <c r="AC162" s="7">
        <v>20</v>
      </c>
      <c r="AD162" s="7">
        <v>30</v>
      </c>
      <c r="AE162" s="7" t="s">
        <v>141</v>
      </c>
      <c r="AF162" s="7"/>
      <c r="AG162" s="22" t="s">
        <v>234</v>
      </c>
      <c r="AI162" s="23">
        <v>4550</v>
      </c>
      <c r="AJ162" s="7" t="s">
        <v>142</v>
      </c>
      <c r="AK162" s="24">
        <v>58000</v>
      </c>
      <c r="AL162" s="7" t="s">
        <v>143</v>
      </c>
      <c r="AM162" s="7">
        <v>43</v>
      </c>
      <c r="AN162" s="7" t="s">
        <v>144</v>
      </c>
      <c r="AO162" s="7">
        <v>60</v>
      </c>
      <c r="AP162" s="7" t="s">
        <v>145</v>
      </c>
      <c r="AQ162" s="7">
        <v>40</v>
      </c>
      <c r="AR162" s="7" t="s">
        <v>146</v>
      </c>
      <c r="AS162" s="7">
        <v>60</v>
      </c>
      <c r="AT162" s="7" t="s">
        <v>147</v>
      </c>
      <c r="AU162" s="7">
        <v>125</v>
      </c>
      <c r="AV162" s="7" t="s">
        <v>148</v>
      </c>
      <c r="AW162" s="7">
        <v>170</v>
      </c>
      <c r="AX162" s="7" t="s">
        <v>149</v>
      </c>
      <c r="AY162" s="7">
        <v>125</v>
      </c>
      <c r="AZ162" s="7" t="s">
        <v>150</v>
      </c>
      <c r="BA162" s="7">
        <v>170</v>
      </c>
      <c r="BB162" s="7" t="s">
        <v>151</v>
      </c>
      <c r="BC162" s="7">
        <v>1</v>
      </c>
      <c r="BD162" s="7" t="s">
        <v>152</v>
      </c>
      <c r="BE162" s="7">
        <v>2</v>
      </c>
      <c r="BF162" s="7" t="s">
        <v>153</v>
      </c>
      <c r="BG162" s="7">
        <v>100</v>
      </c>
      <c r="BH162" s="7" t="s">
        <v>154</v>
      </c>
      <c r="BI162" s="7">
        <v>10</v>
      </c>
      <c r="BJ162" s="7" t="s">
        <v>155</v>
      </c>
      <c r="BK162" s="7">
        <v>300</v>
      </c>
      <c r="BL162" s="20"/>
      <c r="BM162" s="20"/>
      <c r="BN162" s="20">
        <v>1</v>
      </c>
      <c r="BO162" s="20">
        <v>2500</v>
      </c>
      <c r="BP162" s="20">
        <v>2</v>
      </c>
      <c r="BQ162" s="20">
        <v>2500</v>
      </c>
      <c r="BR162" s="20" t="s">
        <v>156</v>
      </c>
    </row>
    <row r="163" s="7" customFormat="1" ht="16.5" spans="1:70">
      <c r="A163" s="7">
        <f>60000000+INDEX(编号表!$B:$B,MATCH(I163,编号表!$A:$A,0))*10000+INDEX(编号表!$B:$B,MATCH(J163,编号表!$C:$C,0))*1000+K163</f>
        <v>60181000</v>
      </c>
      <c r="B163" s="7" t="s">
        <v>529</v>
      </c>
      <c r="C163" s="7" t="s">
        <v>530</v>
      </c>
      <c r="D163" s="7" t="s">
        <v>530</v>
      </c>
      <c r="E163" s="7">
        <v>36</v>
      </c>
      <c r="F163" s="7" t="str" cm="1">
        <f t="array" ref="F163">INDEX(编号表!$E:$E,MATCH(J163,编号表!$C:$C,0))</f>
        <v>白色</v>
      </c>
      <c r="G163" s="7">
        <v>22</v>
      </c>
      <c r="H163" s="7" t="s">
        <v>531</v>
      </c>
      <c r="I163" s="7" t="s">
        <v>531</v>
      </c>
      <c r="J163" s="7" t="s">
        <v>137</v>
      </c>
      <c r="K163" s="7">
        <v>0</v>
      </c>
      <c r="L163" s="7">
        <f>COUNTIFS(I$11:I163,I163,J$11:J163,J163)-1</f>
        <v>0</v>
      </c>
      <c r="O163" s="7">
        <v>10</v>
      </c>
      <c r="P163" s="7">
        <v>300000</v>
      </c>
      <c r="Q163" s="7" t="s">
        <v>138</v>
      </c>
      <c r="R163" s="21">
        <v>40140005</v>
      </c>
      <c r="S163" s="7"/>
      <c r="T163" s="7"/>
      <c r="U163" s="7">
        <v>11010001</v>
      </c>
      <c r="V163" s="7">
        <v>11020001</v>
      </c>
      <c r="X163" s="7" t="s">
        <v>139</v>
      </c>
      <c r="Y163" s="7" t="s">
        <v>532</v>
      </c>
      <c r="Z163" s="7"/>
      <c r="AA163" s="7">
        <v>80</v>
      </c>
      <c r="AB163" s="7">
        <v>80</v>
      </c>
      <c r="AC163" s="7">
        <v>20</v>
      </c>
      <c r="AD163" s="7">
        <v>30</v>
      </c>
      <c r="AE163" s="7" t="s">
        <v>141</v>
      </c>
      <c r="AF163" s="7"/>
      <c r="AG163" s="22"/>
      <c r="AI163" s="23">
        <v>230</v>
      </c>
      <c r="AJ163" s="7" t="s">
        <v>142</v>
      </c>
      <c r="AK163" s="24">
        <v>1250</v>
      </c>
      <c r="AL163" s="7" t="s">
        <v>143</v>
      </c>
      <c r="AM163" s="7">
        <v>14</v>
      </c>
      <c r="AN163" s="7" t="s">
        <v>144</v>
      </c>
      <c r="AO163" s="7">
        <v>20</v>
      </c>
      <c r="AP163" s="7" t="s">
        <v>145</v>
      </c>
      <c r="AQ163" s="7">
        <v>13</v>
      </c>
      <c r="AR163" s="7" t="s">
        <v>146</v>
      </c>
      <c r="AS163" s="7">
        <v>19</v>
      </c>
      <c r="AT163" s="7" t="s">
        <v>147</v>
      </c>
      <c r="AU163" s="7">
        <v>43</v>
      </c>
      <c r="AV163" s="7" t="s">
        <v>148</v>
      </c>
      <c r="AW163" s="7">
        <v>60</v>
      </c>
      <c r="AX163" s="7" t="s">
        <v>149</v>
      </c>
      <c r="AY163" s="7">
        <v>43</v>
      </c>
      <c r="AZ163" s="7" t="s">
        <v>150</v>
      </c>
      <c r="BA163" s="7">
        <v>60</v>
      </c>
      <c r="BB163" s="7" t="s">
        <v>151</v>
      </c>
      <c r="BC163" s="7">
        <v>1</v>
      </c>
      <c r="BD163" s="7" t="s">
        <v>152</v>
      </c>
      <c r="BE163" s="7">
        <v>2</v>
      </c>
      <c r="BF163" s="7" t="s">
        <v>153</v>
      </c>
      <c r="BG163" s="7">
        <v>100</v>
      </c>
      <c r="BH163" s="7" t="s">
        <v>154</v>
      </c>
      <c r="BI163" s="7">
        <v>10</v>
      </c>
      <c r="BJ163" s="7" t="s">
        <v>155</v>
      </c>
      <c r="BK163" s="7">
        <v>300</v>
      </c>
      <c r="BL163" s="20"/>
      <c r="BM163" s="20"/>
      <c r="BN163" s="20">
        <v>1</v>
      </c>
      <c r="BO163" s="20">
        <v>2500</v>
      </c>
      <c r="BP163" s="20">
        <v>2</v>
      </c>
      <c r="BQ163" s="20">
        <v>2500</v>
      </c>
      <c r="BR163" s="20" t="s">
        <v>156</v>
      </c>
    </row>
    <row r="164" s="7" customFormat="1" ht="16.5" spans="1:70">
      <c r="A164" s="7">
        <f>60000000+INDEX(编号表!$B:$B,MATCH(I164,编号表!$A:$A,0))*10000+INDEX(编号表!$B:$B,MATCH(J164,编号表!$C:$C,0))*1000+K164</f>
        <v>60181001</v>
      </c>
      <c r="B164" s="7" t="s">
        <v>533</v>
      </c>
      <c r="C164" s="7" t="s">
        <v>534</v>
      </c>
      <c r="D164" s="7" t="s">
        <v>534</v>
      </c>
      <c r="E164" s="7">
        <v>36</v>
      </c>
      <c r="F164" s="7" t="str" cm="1">
        <f t="array" ref="F164">INDEX(编号表!$E:$E,MATCH(J164,编号表!$C:$C,0))</f>
        <v>白色</v>
      </c>
      <c r="G164" s="7">
        <v>22</v>
      </c>
      <c r="H164" s="7" t="s">
        <v>531</v>
      </c>
      <c r="I164" s="7" t="s">
        <v>531</v>
      </c>
      <c r="J164" s="7" t="s">
        <v>137</v>
      </c>
      <c r="K164" s="7">
        <v>1</v>
      </c>
      <c r="L164" s="7">
        <f>COUNTIFS(I$11:I164,I164,J$11:J164,J164)-1</f>
        <v>1</v>
      </c>
      <c r="O164" s="7">
        <v>10</v>
      </c>
      <c r="P164" s="7">
        <v>300000</v>
      </c>
      <c r="Q164" s="7" t="s">
        <v>138</v>
      </c>
      <c r="R164" s="21">
        <v>40140005</v>
      </c>
      <c r="S164" s="7"/>
      <c r="T164" s="7"/>
      <c r="U164" s="7">
        <v>11010001</v>
      </c>
      <c r="V164" s="7">
        <v>11020001</v>
      </c>
      <c r="X164" s="7" t="s">
        <v>139</v>
      </c>
      <c r="Y164" s="7" t="s">
        <v>535</v>
      </c>
      <c r="Z164" s="7">
        <v>1.5</v>
      </c>
      <c r="AA164" s="7">
        <v>80</v>
      </c>
      <c r="AB164" s="7">
        <v>80</v>
      </c>
      <c r="AC164" s="7">
        <v>20</v>
      </c>
      <c r="AD164" s="7">
        <v>30</v>
      </c>
      <c r="AE164" s="7" t="s">
        <v>141</v>
      </c>
      <c r="AF164" s="7"/>
      <c r="AG164" s="22"/>
      <c r="AI164" s="23">
        <v>230</v>
      </c>
      <c r="AJ164" s="7" t="s">
        <v>142</v>
      </c>
      <c r="AK164" s="24">
        <v>1900</v>
      </c>
      <c r="AL164" s="7" t="s">
        <v>143</v>
      </c>
      <c r="AM164" s="7">
        <v>21</v>
      </c>
      <c r="AN164" s="7" t="s">
        <v>144</v>
      </c>
      <c r="AO164" s="7">
        <v>31</v>
      </c>
      <c r="AP164" s="7" t="s">
        <v>145</v>
      </c>
      <c r="AQ164" s="7">
        <v>20</v>
      </c>
      <c r="AR164" s="7" t="s">
        <v>146</v>
      </c>
      <c r="AS164" s="7">
        <v>29</v>
      </c>
      <c r="AT164" s="7" t="s">
        <v>147</v>
      </c>
      <c r="AU164" s="7">
        <v>43</v>
      </c>
      <c r="AV164" s="7" t="s">
        <v>148</v>
      </c>
      <c r="AW164" s="7">
        <v>60</v>
      </c>
      <c r="AX164" s="7" t="s">
        <v>149</v>
      </c>
      <c r="AY164" s="7">
        <v>43</v>
      </c>
      <c r="AZ164" s="7" t="s">
        <v>150</v>
      </c>
      <c r="BA164" s="7">
        <v>60</v>
      </c>
      <c r="BB164" s="7" t="s">
        <v>151</v>
      </c>
      <c r="BC164" s="7">
        <v>1</v>
      </c>
      <c r="BD164" s="7" t="s">
        <v>152</v>
      </c>
      <c r="BE164" s="7">
        <v>2</v>
      </c>
      <c r="BF164" s="7" t="s">
        <v>153</v>
      </c>
      <c r="BG164" s="7">
        <v>100</v>
      </c>
      <c r="BH164" s="7" t="s">
        <v>154</v>
      </c>
      <c r="BI164" s="7">
        <v>10</v>
      </c>
      <c r="BJ164" s="7" t="s">
        <v>155</v>
      </c>
      <c r="BK164" s="7">
        <v>300</v>
      </c>
      <c r="BL164" s="20"/>
      <c r="BM164" s="20"/>
      <c r="BN164" s="20">
        <v>1</v>
      </c>
      <c r="BO164" s="20">
        <v>2500</v>
      </c>
      <c r="BP164" s="20">
        <v>2</v>
      </c>
      <c r="BQ164" s="20">
        <v>2500</v>
      </c>
      <c r="BR164" s="20" t="s">
        <v>156</v>
      </c>
    </row>
    <row r="165" s="7" customFormat="1" ht="16.5" spans="1:70">
      <c r="A165" s="7">
        <f>60000000+INDEX(编号表!$B:$B,MATCH(I165,编号表!$A:$A,0))*10000+INDEX(编号表!$B:$B,MATCH(J165,编号表!$C:$C,0))*1000+K165</f>
        <v>60181002</v>
      </c>
      <c r="B165" s="7" t="s">
        <v>536</v>
      </c>
      <c r="C165" s="7" t="s">
        <v>537</v>
      </c>
      <c r="D165" s="7" t="s">
        <v>537</v>
      </c>
      <c r="E165" s="7">
        <v>36</v>
      </c>
      <c r="F165" s="7" t="str" cm="1">
        <f t="array" ref="F165">INDEX(编号表!$E:$E,MATCH(J165,编号表!$C:$C,0))</f>
        <v>白色</v>
      </c>
      <c r="G165" s="7">
        <v>22</v>
      </c>
      <c r="H165" s="7" t="s">
        <v>531</v>
      </c>
      <c r="I165" s="7" t="s">
        <v>531</v>
      </c>
      <c r="J165" s="7" t="s">
        <v>137</v>
      </c>
      <c r="K165" s="7">
        <v>2</v>
      </c>
      <c r="L165" s="7">
        <f>COUNTIFS(I$11:I165,I165,J$11:J165,J165)-1</f>
        <v>2</v>
      </c>
      <c r="O165" s="7">
        <v>10</v>
      </c>
      <c r="P165" s="7">
        <v>300000</v>
      </c>
      <c r="Q165" s="7" t="s">
        <v>138</v>
      </c>
      <c r="R165" s="21">
        <v>40140005</v>
      </c>
      <c r="S165" s="7"/>
      <c r="T165" s="7"/>
      <c r="U165" s="7">
        <v>11010001</v>
      </c>
      <c r="V165" s="7">
        <v>11020001</v>
      </c>
      <c r="X165" s="7" t="s">
        <v>139</v>
      </c>
      <c r="Y165" s="7" t="s">
        <v>538</v>
      </c>
      <c r="Z165" s="7">
        <v>1.5</v>
      </c>
      <c r="AA165" s="7">
        <v>80</v>
      </c>
      <c r="AB165" s="7">
        <v>80</v>
      </c>
      <c r="AC165" s="7">
        <v>20</v>
      </c>
      <c r="AD165" s="7">
        <v>30</v>
      </c>
      <c r="AE165" s="7" t="s">
        <v>141</v>
      </c>
      <c r="AF165" s="7"/>
      <c r="AG165" s="22"/>
      <c r="AI165" s="23">
        <v>230</v>
      </c>
      <c r="AJ165" s="7" t="s">
        <v>142</v>
      </c>
      <c r="AK165" s="24">
        <v>1650</v>
      </c>
      <c r="AL165" s="7" t="s">
        <v>143</v>
      </c>
      <c r="AM165" s="7">
        <v>19</v>
      </c>
      <c r="AN165" s="7" t="s">
        <v>144</v>
      </c>
      <c r="AO165" s="7">
        <v>27</v>
      </c>
      <c r="AP165" s="7" t="s">
        <v>145</v>
      </c>
      <c r="AQ165" s="7">
        <v>17</v>
      </c>
      <c r="AR165" s="7" t="s">
        <v>146</v>
      </c>
      <c r="AS165" s="7">
        <v>25</v>
      </c>
      <c r="AT165" s="7" t="s">
        <v>147</v>
      </c>
      <c r="AU165" s="7">
        <v>41</v>
      </c>
      <c r="AV165" s="7" t="s">
        <v>148</v>
      </c>
      <c r="AW165" s="7">
        <v>55</v>
      </c>
      <c r="AX165" s="7" t="s">
        <v>149</v>
      </c>
      <c r="AY165" s="7">
        <v>41</v>
      </c>
      <c r="AZ165" s="7" t="s">
        <v>150</v>
      </c>
      <c r="BA165" s="7">
        <v>55</v>
      </c>
      <c r="BB165" s="7" t="s">
        <v>151</v>
      </c>
      <c r="BC165" s="7">
        <v>1</v>
      </c>
      <c r="BD165" s="7" t="s">
        <v>152</v>
      </c>
      <c r="BE165" s="7">
        <v>2</v>
      </c>
      <c r="BF165" s="7" t="s">
        <v>153</v>
      </c>
      <c r="BG165" s="7">
        <v>100</v>
      </c>
      <c r="BH165" s="7" t="s">
        <v>154</v>
      </c>
      <c r="BI165" s="7">
        <v>10</v>
      </c>
      <c r="BJ165" s="7" t="s">
        <v>155</v>
      </c>
      <c r="BK165" s="7">
        <v>300</v>
      </c>
      <c r="BL165" s="20"/>
      <c r="BM165" s="20"/>
      <c r="BN165" s="20">
        <v>1</v>
      </c>
      <c r="BO165" s="20">
        <v>2500</v>
      </c>
      <c r="BP165" s="20">
        <v>2</v>
      </c>
      <c r="BQ165" s="20">
        <v>2500</v>
      </c>
      <c r="BR165" s="20" t="s">
        <v>156</v>
      </c>
    </row>
    <row r="166" s="7" customFormat="1" ht="16.5" spans="1:70">
      <c r="A166" s="7">
        <f>60000000+INDEX(编号表!$B:$B,MATCH(I166,编号表!$A:$A,0))*10000+INDEX(编号表!$B:$B,MATCH(J166,编号表!$C:$C,0))*1000+K166</f>
        <v>60182000</v>
      </c>
      <c r="B166" s="7" t="s">
        <v>539</v>
      </c>
      <c r="C166" s="7" t="s">
        <v>537</v>
      </c>
      <c r="D166" s="7" t="s">
        <v>540</v>
      </c>
      <c r="E166" s="7">
        <v>37</v>
      </c>
      <c r="F166" s="7" t="str" cm="1">
        <f t="array" ref="F166">INDEX(编号表!$E:$E,MATCH(J166,编号表!$C:$C,0))</f>
        <v>绿色</v>
      </c>
      <c r="G166" s="7">
        <v>22</v>
      </c>
      <c r="H166" s="7" t="s">
        <v>531</v>
      </c>
      <c r="I166" s="7" t="s">
        <v>531</v>
      </c>
      <c r="J166" s="7" t="s">
        <v>221</v>
      </c>
      <c r="K166" s="7">
        <v>0</v>
      </c>
      <c r="L166" s="7">
        <f>COUNTIFS(I$11:I166,I166,J$11:J166,J166)-1</f>
        <v>0</v>
      </c>
      <c r="O166" s="7">
        <v>10</v>
      </c>
      <c r="P166" s="7">
        <v>300000</v>
      </c>
      <c r="Q166" s="7" t="s">
        <v>138</v>
      </c>
      <c r="R166" s="21">
        <v>40140005</v>
      </c>
      <c r="S166" s="7"/>
      <c r="T166" s="7"/>
      <c r="U166" s="7">
        <v>11010001</v>
      </c>
      <c r="V166" s="7">
        <v>11020001</v>
      </c>
      <c r="X166" s="7" t="s">
        <v>139</v>
      </c>
      <c r="Y166" s="7" t="s">
        <v>538</v>
      </c>
      <c r="Z166" s="7">
        <v>1.5</v>
      </c>
      <c r="AA166" s="7">
        <v>80</v>
      </c>
      <c r="AB166" s="7">
        <v>80</v>
      </c>
      <c r="AC166" s="7">
        <v>20</v>
      </c>
      <c r="AD166" s="7">
        <v>30</v>
      </c>
      <c r="AE166" s="7" t="s">
        <v>141</v>
      </c>
      <c r="AF166" s="7"/>
      <c r="AG166" s="22" t="s">
        <v>222</v>
      </c>
      <c r="AI166" s="23">
        <v>960</v>
      </c>
      <c r="AJ166" s="7" t="s">
        <v>142</v>
      </c>
      <c r="AK166" s="24">
        <v>9200</v>
      </c>
      <c r="AL166" s="7" t="s">
        <v>143</v>
      </c>
      <c r="AM166" s="7">
        <v>28</v>
      </c>
      <c r="AN166" s="7" t="s">
        <v>144</v>
      </c>
      <c r="AO166" s="7">
        <v>41</v>
      </c>
      <c r="AP166" s="7" t="s">
        <v>145</v>
      </c>
      <c r="AQ166" s="7">
        <v>26</v>
      </c>
      <c r="AR166" s="7" t="s">
        <v>146</v>
      </c>
      <c r="AS166" s="7">
        <v>39</v>
      </c>
      <c r="AT166" s="7" t="s">
        <v>147</v>
      </c>
      <c r="AU166" s="7">
        <v>80</v>
      </c>
      <c r="AV166" s="7" t="s">
        <v>148</v>
      </c>
      <c r="AW166" s="7">
        <v>110</v>
      </c>
      <c r="AX166" s="7" t="s">
        <v>149</v>
      </c>
      <c r="AY166" s="7">
        <v>80</v>
      </c>
      <c r="AZ166" s="7" t="s">
        <v>150</v>
      </c>
      <c r="BA166" s="7">
        <v>110</v>
      </c>
      <c r="BB166" s="7" t="s">
        <v>151</v>
      </c>
      <c r="BC166" s="7">
        <v>1</v>
      </c>
      <c r="BD166" s="7" t="s">
        <v>152</v>
      </c>
      <c r="BE166" s="7">
        <v>2</v>
      </c>
      <c r="BF166" s="7" t="s">
        <v>153</v>
      </c>
      <c r="BG166" s="7">
        <v>100</v>
      </c>
      <c r="BH166" s="7" t="s">
        <v>154</v>
      </c>
      <c r="BI166" s="7">
        <v>10</v>
      </c>
      <c r="BJ166" s="7" t="s">
        <v>155</v>
      </c>
      <c r="BK166" s="7">
        <v>300</v>
      </c>
      <c r="BL166" s="20"/>
      <c r="BM166" s="20"/>
      <c r="BN166" s="20">
        <v>1</v>
      </c>
      <c r="BO166" s="20">
        <v>2500</v>
      </c>
      <c r="BP166" s="20">
        <v>2</v>
      </c>
      <c r="BQ166" s="20">
        <v>2500</v>
      </c>
      <c r="BR166" s="20" t="s">
        <v>156</v>
      </c>
    </row>
    <row r="167" s="7" customFormat="1" ht="16.5" spans="1:70">
      <c r="A167" s="16">
        <f>60000000+INDEX(编号表!$B:$B,MATCH(I167,编号表!$A:$A,0))*10000+INDEX(编号表!$B:$B,MATCH(J167,编号表!$C:$C,0))*1000+K167</f>
        <v>60191000</v>
      </c>
      <c r="B167" s="16" t="s">
        <v>541</v>
      </c>
      <c r="C167" s="16" t="s">
        <v>542</v>
      </c>
      <c r="D167" s="16" t="s">
        <v>543</v>
      </c>
      <c r="E167" s="27">
        <v>37</v>
      </c>
      <c r="F167" s="27" t="str" cm="1">
        <f t="array" ref="F167">INDEX(编号表!$E:$E,MATCH(J167,编号表!$C:$C,0))</f>
        <v>白色</v>
      </c>
      <c r="G167" s="27">
        <v>23</v>
      </c>
      <c r="H167" s="27" t="s">
        <v>544</v>
      </c>
      <c r="I167" s="27" t="s">
        <v>544</v>
      </c>
      <c r="J167" s="7" t="s">
        <v>137</v>
      </c>
      <c r="K167" s="7">
        <v>0</v>
      </c>
      <c r="L167" s="7">
        <f>COUNTIFS(I$11:I167,I167,J$11:J167,J167)-1</f>
        <v>0</v>
      </c>
      <c r="O167" s="7">
        <v>10</v>
      </c>
      <c r="P167" s="7">
        <v>300000</v>
      </c>
      <c r="Q167" s="7" t="s">
        <v>138</v>
      </c>
      <c r="R167" s="21">
        <v>40140005</v>
      </c>
      <c r="S167" s="7"/>
      <c r="T167" s="7"/>
      <c r="U167" s="7">
        <v>11010001</v>
      </c>
      <c r="V167" s="7">
        <v>11020001</v>
      </c>
      <c r="X167" s="7" t="s">
        <v>139</v>
      </c>
      <c r="Y167" s="7" t="s">
        <v>545</v>
      </c>
      <c r="Z167" s="7"/>
      <c r="AA167" s="7">
        <v>80</v>
      </c>
      <c r="AB167" s="7">
        <v>80</v>
      </c>
      <c r="AC167" s="7">
        <v>20</v>
      </c>
      <c r="AD167" s="7">
        <v>30</v>
      </c>
      <c r="AE167" s="7" t="s">
        <v>141</v>
      </c>
      <c r="AF167" s="7"/>
      <c r="AG167" s="22"/>
      <c r="AI167" s="23">
        <v>245</v>
      </c>
      <c r="AJ167" s="7" t="s">
        <v>142</v>
      </c>
      <c r="AK167" s="24">
        <v>2050</v>
      </c>
      <c r="AL167" s="7" t="s">
        <v>143</v>
      </c>
      <c r="AM167" s="7">
        <v>22</v>
      </c>
      <c r="AN167" s="7" t="s">
        <v>144</v>
      </c>
      <c r="AO167" s="7">
        <v>32</v>
      </c>
      <c r="AP167" s="7" t="s">
        <v>145</v>
      </c>
      <c r="AQ167" s="7">
        <v>21</v>
      </c>
      <c r="AR167" s="7" t="s">
        <v>146</v>
      </c>
      <c r="AS167" s="7">
        <v>30</v>
      </c>
      <c r="AT167" s="7" t="s">
        <v>147</v>
      </c>
      <c r="AU167" s="7">
        <v>45</v>
      </c>
      <c r="AV167" s="7" t="s">
        <v>148</v>
      </c>
      <c r="AW167" s="7">
        <v>60</v>
      </c>
      <c r="AX167" s="7" t="s">
        <v>149</v>
      </c>
      <c r="AY167" s="7">
        <v>45</v>
      </c>
      <c r="AZ167" s="7" t="s">
        <v>150</v>
      </c>
      <c r="BA167" s="7">
        <v>60</v>
      </c>
      <c r="BB167" s="7" t="s">
        <v>151</v>
      </c>
      <c r="BC167" s="7">
        <v>1</v>
      </c>
      <c r="BD167" s="7" t="s">
        <v>152</v>
      </c>
      <c r="BE167" s="7">
        <v>2</v>
      </c>
      <c r="BF167" s="7" t="s">
        <v>153</v>
      </c>
      <c r="BG167" s="7">
        <v>100</v>
      </c>
      <c r="BH167" s="7" t="s">
        <v>154</v>
      </c>
      <c r="BI167" s="7">
        <v>10</v>
      </c>
      <c r="BJ167" s="7" t="s">
        <v>155</v>
      </c>
      <c r="BK167" s="7">
        <v>300</v>
      </c>
      <c r="BL167" s="20"/>
      <c r="BM167" s="20"/>
      <c r="BN167" s="20">
        <v>1</v>
      </c>
      <c r="BO167" s="20">
        <v>2500</v>
      </c>
      <c r="BP167" s="20">
        <v>2</v>
      </c>
      <c r="BQ167" s="20">
        <v>2500</v>
      </c>
      <c r="BR167" s="20" t="s">
        <v>156</v>
      </c>
    </row>
    <row r="168" s="7" customFormat="1" ht="16.5" spans="1:70">
      <c r="A168" s="16">
        <f>60000000+INDEX(编号表!$B:$B,MATCH(I168,编号表!$A:$A,0))*10000+INDEX(编号表!$B:$B,MATCH(J168,编号表!$C:$C,0))*1000+K168</f>
        <v>60191001</v>
      </c>
      <c r="B168" s="16" t="s">
        <v>546</v>
      </c>
      <c r="C168" s="16" t="s">
        <v>542</v>
      </c>
      <c r="D168" s="16" t="s">
        <v>543</v>
      </c>
      <c r="E168" s="27">
        <v>37</v>
      </c>
      <c r="F168" s="27" t="str" cm="1">
        <f t="array" ref="F168">INDEX(编号表!$E:$E,MATCH(J168,编号表!$C:$C,0))</f>
        <v>白色</v>
      </c>
      <c r="G168" s="27">
        <v>23</v>
      </c>
      <c r="H168" s="27" t="s">
        <v>544</v>
      </c>
      <c r="I168" s="27" t="s">
        <v>544</v>
      </c>
      <c r="J168" s="7" t="s">
        <v>137</v>
      </c>
      <c r="K168" s="7">
        <v>1</v>
      </c>
      <c r="L168" s="7">
        <f>COUNTIFS(I$11:I168,I168,J$11:J168,J168)-1</f>
        <v>1</v>
      </c>
      <c r="O168" s="7">
        <v>10</v>
      </c>
      <c r="P168" s="7">
        <v>300000</v>
      </c>
      <c r="Q168" s="7" t="s">
        <v>138</v>
      </c>
      <c r="R168" s="21">
        <v>40140005</v>
      </c>
      <c r="S168" s="7"/>
      <c r="T168" s="7"/>
      <c r="U168" s="7">
        <v>11010001</v>
      </c>
      <c r="V168" s="7">
        <v>11020001</v>
      </c>
      <c r="X168" s="7" t="s">
        <v>139</v>
      </c>
      <c r="Y168" s="7" t="s">
        <v>545</v>
      </c>
      <c r="Z168" s="7"/>
      <c r="AA168" s="7">
        <v>80</v>
      </c>
      <c r="AB168" s="7">
        <v>80</v>
      </c>
      <c r="AC168" s="7">
        <v>20</v>
      </c>
      <c r="AD168" s="7">
        <v>30</v>
      </c>
      <c r="AE168" s="7" t="s">
        <v>141</v>
      </c>
      <c r="AF168" s="7"/>
      <c r="AG168" s="22"/>
      <c r="AI168" s="23">
        <v>245</v>
      </c>
      <c r="AJ168" s="7" t="s">
        <v>142</v>
      </c>
      <c r="AK168" s="24">
        <v>2050</v>
      </c>
      <c r="AL168" s="7" t="s">
        <v>143</v>
      </c>
      <c r="AM168" s="7">
        <v>22</v>
      </c>
      <c r="AN168" s="7" t="s">
        <v>144</v>
      </c>
      <c r="AO168" s="7">
        <v>32</v>
      </c>
      <c r="AP168" s="7" t="s">
        <v>145</v>
      </c>
      <c r="AQ168" s="7">
        <v>21</v>
      </c>
      <c r="AR168" s="7" t="s">
        <v>146</v>
      </c>
      <c r="AS168" s="7">
        <v>30</v>
      </c>
      <c r="AT168" s="7" t="s">
        <v>147</v>
      </c>
      <c r="AU168" s="7">
        <v>45</v>
      </c>
      <c r="AV168" s="7" t="s">
        <v>148</v>
      </c>
      <c r="AW168" s="7">
        <v>60</v>
      </c>
      <c r="AX168" s="7" t="s">
        <v>149</v>
      </c>
      <c r="AY168" s="7">
        <v>45</v>
      </c>
      <c r="AZ168" s="7" t="s">
        <v>150</v>
      </c>
      <c r="BA168" s="7">
        <v>60</v>
      </c>
      <c r="BB168" s="7" t="s">
        <v>151</v>
      </c>
      <c r="BC168" s="7">
        <v>1</v>
      </c>
      <c r="BD168" s="7" t="s">
        <v>152</v>
      </c>
      <c r="BE168" s="7">
        <v>2</v>
      </c>
      <c r="BF168" s="7" t="s">
        <v>153</v>
      </c>
      <c r="BG168" s="7">
        <v>100</v>
      </c>
      <c r="BH168" s="7" t="s">
        <v>154</v>
      </c>
      <c r="BI168" s="7">
        <v>10</v>
      </c>
      <c r="BJ168" s="7" t="s">
        <v>155</v>
      </c>
      <c r="BK168" s="7">
        <v>300</v>
      </c>
      <c r="BL168" s="20"/>
      <c r="BM168" s="20"/>
      <c r="BN168" s="20">
        <v>1</v>
      </c>
      <c r="BO168" s="20">
        <v>2500</v>
      </c>
      <c r="BP168" s="20">
        <v>2</v>
      </c>
      <c r="BQ168" s="20">
        <v>2500</v>
      </c>
      <c r="BR168" s="20" t="s">
        <v>156</v>
      </c>
    </row>
    <row r="169" s="7" customFormat="1" ht="16.5" spans="1:70">
      <c r="A169" s="16">
        <f>60000000+INDEX(编号表!$B:$B,MATCH(I169,编号表!$A:$A,0))*10000+INDEX(编号表!$B:$B,MATCH(J169,编号表!$C:$C,0))*1000+K169</f>
        <v>60192000</v>
      </c>
      <c r="B169" s="16" t="s">
        <v>547</v>
      </c>
      <c r="C169" s="16" t="s">
        <v>542</v>
      </c>
      <c r="D169" s="16" t="s">
        <v>543</v>
      </c>
      <c r="E169" s="27">
        <v>37</v>
      </c>
      <c r="F169" s="27" t="str" cm="1">
        <f t="array" ref="F169">INDEX(编号表!$E:$E,MATCH(J169,编号表!$C:$C,0))</f>
        <v>绿色</v>
      </c>
      <c r="G169" s="27">
        <v>23</v>
      </c>
      <c r="H169" s="27" t="s">
        <v>544</v>
      </c>
      <c r="I169" s="27" t="s">
        <v>544</v>
      </c>
      <c r="J169" s="7" t="s">
        <v>221</v>
      </c>
      <c r="K169" s="7">
        <v>0</v>
      </c>
      <c r="L169" s="7">
        <f>COUNTIFS(I$11:I169,I169,J$11:J169,J169)-1</f>
        <v>0</v>
      </c>
      <c r="O169" s="7">
        <v>10</v>
      </c>
      <c r="P169" s="7">
        <v>300000</v>
      </c>
      <c r="Q169" s="7" t="s">
        <v>138</v>
      </c>
      <c r="R169" s="21">
        <v>40140005</v>
      </c>
      <c r="S169" s="7"/>
      <c r="T169" s="7"/>
      <c r="U169" s="7">
        <v>11010001</v>
      </c>
      <c r="V169" s="7">
        <v>11020001</v>
      </c>
      <c r="X169" s="7" t="s">
        <v>139</v>
      </c>
      <c r="Y169" s="7" t="s">
        <v>545</v>
      </c>
      <c r="Z169" s="7"/>
      <c r="AA169" s="7">
        <v>80</v>
      </c>
      <c r="AB169" s="7">
        <v>80</v>
      </c>
      <c r="AC169" s="7">
        <v>20</v>
      </c>
      <c r="AD169" s="7">
        <v>30</v>
      </c>
      <c r="AE169" s="7" t="s">
        <v>141</v>
      </c>
      <c r="AF169" s="7"/>
      <c r="AG169" s="22" t="s">
        <v>234</v>
      </c>
      <c r="AI169" s="23">
        <v>980</v>
      </c>
      <c r="AJ169" s="7" t="s">
        <v>142</v>
      </c>
      <c r="AK169" s="24">
        <v>11100</v>
      </c>
      <c r="AL169" s="7" t="s">
        <v>143</v>
      </c>
      <c r="AM169" s="7">
        <v>34</v>
      </c>
      <c r="AN169" s="7" t="s">
        <v>144</v>
      </c>
      <c r="AO169" s="7">
        <v>48</v>
      </c>
      <c r="AP169" s="7" t="s">
        <v>145</v>
      </c>
      <c r="AQ169" s="7">
        <v>31</v>
      </c>
      <c r="AR169" s="7" t="s">
        <v>146</v>
      </c>
      <c r="AS169" s="7">
        <v>46</v>
      </c>
      <c r="AT169" s="7" t="s">
        <v>147</v>
      </c>
      <c r="AU169" s="7">
        <v>85</v>
      </c>
      <c r="AV169" s="7" t="s">
        <v>148</v>
      </c>
      <c r="AW169" s="7">
        <v>115</v>
      </c>
      <c r="AX169" s="7" t="s">
        <v>149</v>
      </c>
      <c r="AY169" s="7">
        <v>85</v>
      </c>
      <c r="AZ169" s="7" t="s">
        <v>150</v>
      </c>
      <c r="BA169" s="7">
        <v>115</v>
      </c>
      <c r="BB169" s="7" t="s">
        <v>151</v>
      </c>
      <c r="BC169" s="7">
        <v>1</v>
      </c>
      <c r="BD169" s="7" t="s">
        <v>152</v>
      </c>
      <c r="BE169" s="7">
        <v>2</v>
      </c>
      <c r="BF169" s="7" t="s">
        <v>153</v>
      </c>
      <c r="BG169" s="7">
        <v>100</v>
      </c>
      <c r="BH169" s="7" t="s">
        <v>154</v>
      </c>
      <c r="BI169" s="7">
        <v>10</v>
      </c>
      <c r="BJ169" s="7" t="s">
        <v>155</v>
      </c>
      <c r="BK169" s="7">
        <v>300</v>
      </c>
      <c r="BL169" s="20"/>
      <c r="BM169" s="20"/>
      <c r="BN169" s="20">
        <v>1</v>
      </c>
      <c r="BO169" s="20">
        <v>2500</v>
      </c>
      <c r="BP169" s="20">
        <v>2</v>
      </c>
      <c r="BQ169" s="20">
        <v>2500</v>
      </c>
      <c r="BR169" s="20" t="s">
        <v>156</v>
      </c>
    </row>
    <row r="170" s="7" customFormat="1" ht="16.5" spans="1:70">
      <c r="A170" s="16">
        <f>60000000+INDEX(编号表!$B:$B,MATCH(I170,编号表!$A:$A,0))*10000+INDEX(编号表!$B:$B,MATCH(J170,编号表!$C:$C,0))*1000+K170</f>
        <v>60192001</v>
      </c>
      <c r="B170" s="16" t="s">
        <v>548</v>
      </c>
      <c r="C170" s="16" t="s">
        <v>542</v>
      </c>
      <c r="D170" s="16" t="s">
        <v>543</v>
      </c>
      <c r="E170" s="27">
        <v>37</v>
      </c>
      <c r="F170" s="27" t="str" cm="1">
        <f t="array" ref="F170">INDEX(编号表!$E:$E,MATCH(J170,编号表!$C:$C,0))</f>
        <v>绿色</v>
      </c>
      <c r="G170" s="27">
        <v>23</v>
      </c>
      <c r="H170" s="27" t="s">
        <v>544</v>
      </c>
      <c r="I170" s="27" t="s">
        <v>544</v>
      </c>
      <c r="J170" s="7" t="s">
        <v>221</v>
      </c>
      <c r="K170" s="7">
        <v>1</v>
      </c>
      <c r="L170" s="7">
        <f>COUNTIFS(I$11:I170,I170,J$11:J170,J170)-1</f>
        <v>1</v>
      </c>
      <c r="O170" s="7">
        <v>10</v>
      </c>
      <c r="P170" s="7">
        <v>300000</v>
      </c>
      <c r="Q170" s="7" t="s">
        <v>138</v>
      </c>
      <c r="R170" s="21">
        <v>40140005</v>
      </c>
      <c r="S170" s="7"/>
      <c r="T170" s="7"/>
      <c r="U170" s="7">
        <v>11010001</v>
      </c>
      <c r="V170" s="7">
        <v>11020001</v>
      </c>
      <c r="X170" s="7" t="s">
        <v>139</v>
      </c>
      <c r="Y170" s="7" t="s">
        <v>545</v>
      </c>
      <c r="Z170" s="7"/>
      <c r="AA170" s="7">
        <v>80</v>
      </c>
      <c r="AB170" s="7">
        <v>80</v>
      </c>
      <c r="AC170" s="7">
        <v>20</v>
      </c>
      <c r="AD170" s="7">
        <v>30</v>
      </c>
      <c r="AE170" s="7" t="s">
        <v>141</v>
      </c>
      <c r="AF170" s="7"/>
      <c r="AG170" s="22" t="s">
        <v>234</v>
      </c>
      <c r="AI170" s="23">
        <v>980</v>
      </c>
      <c r="AJ170" s="7" t="s">
        <v>142</v>
      </c>
      <c r="AK170" s="24">
        <v>11100</v>
      </c>
      <c r="AL170" s="7" t="s">
        <v>143</v>
      </c>
      <c r="AM170" s="7">
        <v>34</v>
      </c>
      <c r="AN170" s="7" t="s">
        <v>144</v>
      </c>
      <c r="AO170" s="7">
        <v>48</v>
      </c>
      <c r="AP170" s="7" t="s">
        <v>145</v>
      </c>
      <c r="AQ170" s="7">
        <v>31</v>
      </c>
      <c r="AR170" s="7" t="s">
        <v>146</v>
      </c>
      <c r="AS170" s="7">
        <v>46</v>
      </c>
      <c r="AT170" s="7" t="s">
        <v>147</v>
      </c>
      <c r="AU170" s="7">
        <v>85</v>
      </c>
      <c r="AV170" s="7" t="s">
        <v>148</v>
      </c>
      <c r="AW170" s="7">
        <v>115</v>
      </c>
      <c r="AX170" s="7" t="s">
        <v>149</v>
      </c>
      <c r="AY170" s="7">
        <v>85</v>
      </c>
      <c r="AZ170" s="7" t="s">
        <v>150</v>
      </c>
      <c r="BA170" s="7">
        <v>115</v>
      </c>
      <c r="BB170" s="7" t="s">
        <v>151</v>
      </c>
      <c r="BC170" s="7">
        <v>1</v>
      </c>
      <c r="BD170" s="7" t="s">
        <v>152</v>
      </c>
      <c r="BE170" s="7">
        <v>2</v>
      </c>
      <c r="BF170" s="7" t="s">
        <v>153</v>
      </c>
      <c r="BG170" s="7">
        <v>100</v>
      </c>
      <c r="BH170" s="7" t="s">
        <v>154</v>
      </c>
      <c r="BI170" s="7">
        <v>10</v>
      </c>
      <c r="BJ170" s="7" t="s">
        <v>155</v>
      </c>
      <c r="BK170" s="7">
        <v>300</v>
      </c>
      <c r="BL170" s="20"/>
      <c r="BM170" s="20"/>
      <c r="BN170" s="20">
        <v>1</v>
      </c>
      <c r="BO170" s="20">
        <v>2500</v>
      </c>
      <c r="BP170" s="20">
        <v>2</v>
      </c>
      <c r="BQ170" s="20">
        <v>2500</v>
      </c>
      <c r="BR170" s="20" t="s">
        <v>156</v>
      </c>
    </row>
    <row r="171" s="7" customFormat="1" ht="16.5" spans="1:70">
      <c r="A171" s="27">
        <f>60000000+INDEX(编号表!$B:$B,MATCH(I171,编号表!$A:$A,0))*10000+INDEX(编号表!$B:$B,MATCH(J171,编号表!$C:$C,0))*1000+K171</f>
        <v>60194000</v>
      </c>
      <c r="B171" s="27" t="s">
        <v>549</v>
      </c>
      <c r="C171" s="27" t="s">
        <v>542</v>
      </c>
      <c r="D171" s="27" t="s">
        <v>542</v>
      </c>
      <c r="E171" s="27">
        <v>37</v>
      </c>
      <c r="F171" s="27" t="str" cm="1">
        <f t="array" ref="F171">INDEX(编号表!$E:$E,MATCH(J171,编号表!$C:$C,0))</f>
        <v>橙色</v>
      </c>
      <c r="G171" s="27">
        <v>23</v>
      </c>
      <c r="H171" s="27" t="s">
        <v>544</v>
      </c>
      <c r="I171" s="27" t="s">
        <v>544</v>
      </c>
      <c r="J171" s="27" t="s">
        <v>233</v>
      </c>
      <c r="K171" s="7">
        <v>0</v>
      </c>
      <c r="L171" s="7">
        <f>COUNTIFS(I$11:I171,I171,J$11:J171,J171)-1</f>
        <v>0</v>
      </c>
      <c r="O171" s="7">
        <v>10</v>
      </c>
      <c r="P171" s="7">
        <v>300000</v>
      </c>
      <c r="Q171" s="7" t="s">
        <v>138</v>
      </c>
      <c r="R171" s="21">
        <v>40140005</v>
      </c>
      <c r="S171" s="7"/>
      <c r="T171" s="7"/>
      <c r="U171" s="7">
        <v>11010001</v>
      </c>
      <c r="V171" s="7">
        <v>11020001</v>
      </c>
      <c r="X171" s="7" t="s">
        <v>139</v>
      </c>
      <c r="Y171" s="7" t="s">
        <v>545</v>
      </c>
      <c r="Z171" s="7">
        <v>1.5</v>
      </c>
      <c r="AA171" s="7">
        <v>80</v>
      </c>
      <c r="AB171" s="7">
        <v>80</v>
      </c>
      <c r="AC171" s="7">
        <v>20</v>
      </c>
      <c r="AD171" s="7">
        <v>30</v>
      </c>
      <c r="AE171" s="7" t="s">
        <v>141</v>
      </c>
      <c r="AF171" s="7"/>
      <c r="AG171" s="22" t="s">
        <v>234</v>
      </c>
      <c r="AI171" s="23">
        <v>4900</v>
      </c>
      <c r="AJ171" s="7" t="s">
        <v>142</v>
      </c>
      <c r="AK171" s="24">
        <v>84500</v>
      </c>
      <c r="AL171" s="7" t="s">
        <v>143</v>
      </c>
      <c r="AM171" s="7">
        <v>50</v>
      </c>
      <c r="AN171" s="7" t="s">
        <v>144</v>
      </c>
      <c r="AO171" s="7">
        <v>70</v>
      </c>
      <c r="AP171" s="7" t="s">
        <v>145</v>
      </c>
      <c r="AQ171" s="7">
        <v>47</v>
      </c>
      <c r="AR171" s="7" t="s">
        <v>146</v>
      </c>
      <c r="AS171" s="7">
        <v>70</v>
      </c>
      <c r="AT171" s="7" t="s">
        <v>147</v>
      </c>
      <c r="AU171" s="7">
        <v>155</v>
      </c>
      <c r="AV171" s="7" t="s">
        <v>148</v>
      </c>
      <c r="AW171" s="7">
        <v>210</v>
      </c>
      <c r="AX171" s="7" t="s">
        <v>149</v>
      </c>
      <c r="AY171" s="7">
        <v>155</v>
      </c>
      <c r="AZ171" s="7" t="s">
        <v>150</v>
      </c>
      <c r="BA171" s="7">
        <v>210</v>
      </c>
      <c r="BB171" s="7" t="s">
        <v>151</v>
      </c>
      <c r="BC171" s="7">
        <v>1</v>
      </c>
      <c r="BD171" s="7" t="s">
        <v>152</v>
      </c>
      <c r="BE171" s="7">
        <v>2</v>
      </c>
      <c r="BF171" s="7" t="s">
        <v>153</v>
      </c>
      <c r="BG171" s="7">
        <v>100</v>
      </c>
      <c r="BH171" s="7" t="s">
        <v>154</v>
      </c>
      <c r="BI171" s="7">
        <v>10</v>
      </c>
      <c r="BJ171" s="7" t="s">
        <v>155</v>
      </c>
      <c r="BK171" s="7">
        <v>300</v>
      </c>
      <c r="BL171" s="20"/>
      <c r="BM171" s="20"/>
      <c r="BN171" s="20">
        <v>1</v>
      </c>
      <c r="BO171" s="20">
        <v>2500</v>
      </c>
      <c r="BP171" s="20">
        <v>2</v>
      </c>
      <c r="BQ171" s="20">
        <v>2500</v>
      </c>
      <c r="BR171" s="20" t="s">
        <v>156</v>
      </c>
    </row>
    <row r="172" s="7" customFormat="1" ht="16.5" spans="1:70">
      <c r="A172" s="7">
        <f>60000000+INDEX(编号表!$B:$B,MATCH(I172,编号表!$A:$A,0))*10000+INDEX(编号表!$B:$B,MATCH(J172,编号表!$C:$C,0))*1000+K172</f>
        <v>60201000</v>
      </c>
      <c r="B172" s="7" t="s">
        <v>550</v>
      </c>
      <c r="C172" s="7" t="s">
        <v>551</v>
      </c>
      <c r="D172" s="7" t="s">
        <v>551</v>
      </c>
      <c r="E172" s="7">
        <v>37</v>
      </c>
      <c r="F172" s="7" t="str" cm="1">
        <f t="array" ref="F172">INDEX(编号表!$E:$E,MATCH(J172,编号表!$C:$C,0))</f>
        <v>白色</v>
      </c>
      <c r="G172" s="7">
        <v>24</v>
      </c>
      <c r="H172" s="7" t="s">
        <v>552</v>
      </c>
      <c r="I172" s="7" t="s">
        <v>552</v>
      </c>
      <c r="J172" s="7" t="s">
        <v>137</v>
      </c>
      <c r="K172" s="7">
        <v>0</v>
      </c>
      <c r="L172" s="7">
        <f>COUNTIFS(I$11:I172,I172,J$11:J172,J172)-1</f>
        <v>0</v>
      </c>
      <c r="O172" s="7">
        <v>10</v>
      </c>
      <c r="P172" s="7">
        <v>150000</v>
      </c>
      <c r="Q172" s="7" t="s">
        <v>138</v>
      </c>
      <c r="R172" s="21">
        <v>40140005</v>
      </c>
      <c r="S172" s="7"/>
      <c r="T172" s="7"/>
      <c r="U172" s="7">
        <v>11010001</v>
      </c>
      <c r="V172" s="7">
        <v>11020001</v>
      </c>
      <c r="X172" s="7" t="s">
        <v>139</v>
      </c>
      <c r="Y172" s="7" t="s">
        <v>553</v>
      </c>
      <c r="Z172" s="7"/>
      <c r="AA172" s="7">
        <v>80</v>
      </c>
      <c r="AB172" s="7">
        <v>80</v>
      </c>
      <c r="AC172" s="7">
        <v>20</v>
      </c>
      <c r="AD172" s="7">
        <v>30</v>
      </c>
      <c r="AE172" s="7" t="s">
        <v>141</v>
      </c>
      <c r="AF172" s="7"/>
      <c r="AG172" s="22"/>
      <c r="AI172" s="23">
        <v>250</v>
      </c>
      <c r="AJ172" s="7" t="s">
        <v>142</v>
      </c>
      <c r="AK172" s="24">
        <v>1850</v>
      </c>
      <c r="AL172" s="7" t="s">
        <v>143</v>
      </c>
      <c r="AM172" s="7">
        <v>20</v>
      </c>
      <c r="AN172" s="7" t="s">
        <v>144</v>
      </c>
      <c r="AO172" s="7">
        <v>29</v>
      </c>
      <c r="AP172" s="7" t="s">
        <v>145</v>
      </c>
      <c r="AQ172" s="7">
        <v>19</v>
      </c>
      <c r="AR172" s="7" t="s">
        <v>146</v>
      </c>
      <c r="AS172" s="7">
        <v>27</v>
      </c>
      <c r="AT172" s="7" t="s">
        <v>147</v>
      </c>
      <c r="AU172" s="7">
        <v>44</v>
      </c>
      <c r="AV172" s="7" t="s">
        <v>148</v>
      </c>
      <c r="AW172" s="7">
        <v>60</v>
      </c>
      <c r="AX172" s="7" t="s">
        <v>149</v>
      </c>
      <c r="AY172" s="7">
        <v>44</v>
      </c>
      <c r="AZ172" s="7" t="s">
        <v>150</v>
      </c>
      <c r="BA172" s="7">
        <v>60</v>
      </c>
      <c r="BB172" s="7" t="s">
        <v>151</v>
      </c>
      <c r="BC172" s="7">
        <v>0</v>
      </c>
      <c r="BD172" s="7" t="s">
        <v>152</v>
      </c>
      <c r="BE172" s="7">
        <v>0</v>
      </c>
      <c r="BF172" s="7" t="s">
        <v>153</v>
      </c>
      <c r="BG172" s="7">
        <v>100</v>
      </c>
      <c r="BH172" s="7" t="s">
        <v>154</v>
      </c>
      <c r="BI172" s="7">
        <v>10</v>
      </c>
      <c r="BJ172" s="7" t="s">
        <v>155</v>
      </c>
      <c r="BK172" s="7">
        <v>300</v>
      </c>
      <c r="BL172" s="20"/>
      <c r="BM172" s="20"/>
      <c r="BN172" s="20">
        <v>1</v>
      </c>
      <c r="BO172" s="20">
        <v>2500</v>
      </c>
      <c r="BP172" s="20">
        <v>2</v>
      </c>
      <c r="BQ172" s="20">
        <v>2500</v>
      </c>
      <c r="BR172" s="20" t="s">
        <v>156</v>
      </c>
    </row>
    <row r="173" s="7" customFormat="1" ht="16.5" spans="1:70">
      <c r="A173" s="7">
        <f>60000000+INDEX(编号表!$B:$B,MATCH(I173,编号表!$A:$A,0))*10000+INDEX(编号表!$B:$B,MATCH(J173,编号表!$C:$C,0))*1000+K173</f>
        <v>60201001</v>
      </c>
      <c r="B173" s="7" t="s">
        <v>554</v>
      </c>
      <c r="C173" s="7" t="s">
        <v>464</v>
      </c>
      <c r="D173" s="7" t="s">
        <v>555</v>
      </c>
      <c r="E173" s="7">
        <v>37</v>
      </c>
      <c r="F173" s="7" t="str" cm="1">
        <f t="array" ref="F173">INDEX(编号表!$E:$E,MATCH(J173,编号表!$C:$C,0))</f>
        <v>白色</v>
      </c>
      <c r="G173" s="7">
        <v>24</v>
      </c>
      <c r="H173" s="7" t="s">
        <v>552</v>
      </c>
      <c r="I173" s="7" t="s">
        <v>552</v>
      </c>
      <c r="J173" s="7" t="s">
        <v>137</v>
      </c>
      <c r="K173" s="7">
        <v>1</v>
      </c>
      <c r="L173" s="7">
        <f>COUNTIFS(I$11:I173,I173,J$11:J173,J173)-1</f>
        <v>1</v>
      </c>
      <c r="O173" s="7">
        <v>10</v>
      </c>
      <c r="P173" s="7">
        <v>150000</v>
      </c>
      <c r="Q173" s="7" t="s">
        <v>138</v>
      </c>
      <c r="R173" s="21">
        <v>40140005</v>
      </c>
      <c r="S173" s="7"/>
      <c r="T173" s="7"/>
      <c r="U173" s="7">
        <v>11010001</v>
      </c>
      <c r="V173" s="7">
        <v>11020001</v>
      </c>
      <c r="X173" s="7" t="s">
        <v>139</v>
      </c>
      <c r="Y173" s="7" t="s">
        <v>465</v>
      </c>
      <c r="Z173" s="7"/>
      <c r="AA173" s="7">
        <v>80</v>
      </c>
      <c r="AB173" s="7">
        <v>80</v>
      </c>
      <c r="AC173" s="7">
        <v>20</v>
      </c>
      <c r="AD173" s="7">
        <v>30</v>
      </c>
      <c r="AE173" s="7" t="s">
        <v>141</v>
      </c>
      <c r="AF173" s="7"/>
      <c r="AG173" s="22"/>
      <c r="AI173" s="23">
        <v>250</v>
      </c>
      <c r="AJ173" s="7" t="s">
        <v>142</v>
      </c>
      <c r="AK173" s="24">
        <v>1400</v>
      </c>
      <c r="AL173" s="7" t="s">
        <v>143</v>
      </c>
      <c r="AM173" s="7">
        <v>15</v>
      </c>
      <c r="AN173" s="7" t="s">
        <v>144</v>
      </c>
      <c r="AO173" s="7">
        <v>21</v>
      </c>
      <c r="AP173" s="7" t="s">
        <v>145</v>
      </c>
      <c r="AQ173" s="7">
        <v>14</v>
      </c>
      <c r="AR173" s="7" t="s">
        <v>146</v>
      </c>
      <c r="AS173" s="7">
        <v>20</v>
      </c>
      <c r="AT173" s="7" t="s">
        <v>147</v>
      </c>
      <c r="AU173" s="7">
        <v>46</v>
      </c>
      <c r="AV173" s="7" t="s">
        <v>148</v>
      </c>
      <c r="AW173" s="7">
        <v>60</v>
      </c>
      <c r="AX173" s="7" t="s">
        <v>149</v>
      </c>
      <c r="AY173" s="7">
        <v>46</v>
      </c>
      <c r="AZ173" s="7" t="s">
        <v>150</v>
      </c>
      <c r="BA173" s="7">
        <v>60</v>
      </c>
      <c r="BB173" s="7" t="s">
        <v>151</v>
      </c>
      <c r="BC173" s="7">
        <v>0</v>
      </c>
      <c r="BD173" s="7" t="s">
        <v>152</v>
      </c>
      <c r="BE173" s="7">
        <v>0</v>
      </c>
      <c r="BF173" s="7" t="s">
        <v>153</v>
      </c>
      <c r="BG173" s="7">
        <v>100</v>
      </c>
      <c r="BH173" s="7" t="s">
        <v>154</v>
      </c>
      <c r="BI173" s="7">
        <v>10</v>
      </c>
      <c r="BJ173" s="7" t="s">
        <v>155</v>
      </c>
      <c r="BK173" s="7">
        <v>300</v>
      </c>
      <c r="BL173" s="20">
        <v>0.05</v>
      </c>
      <c r="BM173" s="20"/>
      <c r="BN173" s="20">
        <v>1</v>
      </c>
      <c r="BO173" s="20">
        <v>2500</v>
      </c>
      <c r="BP173" s="20">
        <v>2</v>
      </c>
      <c r="BQ173" s="20">
        <v>2500</v>
      </c>
      <c r="BR173" s="20" t="s">
        <v>156</v>
      </c>
    </row>
    <row r="174" s="7" customFormat="1" ht="16.5" spans="1:70">
      <c r="A174" s="7">
        <f>60000000+INDEX(编号表!$B:$B,MATCH(I174,编号表!$A:$A,0))*10000+INDEX(编号表!$B:$B,MATCH(J174,编号表!$C:$C,0))*1000+K174</f>
        <v>60201002</v>
      </c>
      <c r="B174" s="7" t="s">
        <v>556</v>
      </c>
      <c r="C174" s="7" t="s">
        <v>557</v>
      </c>
      <c r="D174" s="7" t="s">
        <v>557</v>
      </c>
      <c r="E174" s="7">
        <v>37</v>
      </c>
      <c r="F174" s="7" t="str" cm="1">
        <f t="array" ref="F174">INDEX(编号表!$E:$E,MATCH(J174,编号表!$C:$C,0))</f>
        <v>白色</v>
      </c>
      <c r="G174" s="7">
        <v>24</v>
      </c>
      <c r="H174" s="7" t="s">
        <v>552</v>
      </c>
      <c r="I174" s="7" t="s">
        <v>552</v>
      </c>
      <c r="J174" s="7" t="s">
        <v>137</v>
      </c>
      <c r="K174" s="7">
        <v>2</v>
      </c>
      <c r="L174" s="7">
        <f>COUNTIFS(I$11:I174,I174,J$11:J174,J174)-1</f>
        <v>2</v>
      </c>
      <c r="O174" s="7">
        <v>10</v>
      </c>
      <c r="P174" s="7">
        <v>150000</v>
      </c>
      <c r="Q174" s="7" t="s">
        <v>138</v>
      </c>
      <c r="R174" s="21">
        <v>40140005</v>
      </c>
      <c r="S174" s="7"/>
      <c r="T174" s="7"/>
      <c r="U174" s="7">
        <v>11010001</v>
      </c>
      <c r="V174" s="7">
        <v>11020001</v>
      </c>
      <c r="X174" s="7" t="s">
        <v>139</v>
      </c>
      <c r="Y174" s="7" t="s">
        <v>558</v>
      </c>
      <c r="Z174" s="7">
        <v>1.5</v>
      </c>
      <c r="AA174" s="7">
        <v>80</v>
      </c>
      <c r="AB174" s="7">
        <v>80</v>
      </c>
      <c r="AC174" s="7">
        <v>20</v>
      </c>
      <c r="AD174" s="7">
        <v>30</v>
      </c>
      <c r="AE174" s="7" t="s">
        <v>141</v>
      </c>
      <c r="AF174" s="7"/>
      <c r="AG174" s="22"/>
      <c r="AI174" s="23">
        <v>250</v>
      </c>
      <c r="AJ174" s="7" t="s">
        <v>142</v>
      </c>
      <c r="AK174" s="24">
        <v>2100</v>
      </c>
      <c r="AL174" s="7" t="s">
        <v>143</v>
      </c>
      <c r="AM174" s="7">
        <v>23</v>
      </c>
      <c r="AN174" s="7" t="s">
        <v>144</v>
      </c>
      <c r="AO174" s="7">
        <v>33</v>
      </c>
      <c r="AP174" s="7" t="s">
        <v>145</v>
      </c>
      <c r="AQ174" s="7">
        <v>21</v>
      </c>
      <c r="AR174" s="7" t="s">
        <v>146</v>
      </c>
      <c r="AS174" s="7">
        <v>31</v>
      </c>
      <c r="AT174" s="7" t="s">
        <v>147</v>
      </c>
      <c r="AU174" s="7">
        <v>46</v>
      </c>
      <c r="AV174" s="7" t="s">
        <v>148</v>
      </c>
      <c r="AW174" s="7">
        <v>60</v>
      </c>
      <c r="AX174" s="7" t="s">
        <v>149</v>
      </c>
      <c r="AY174" s="7">
        <v>46</v>
      </c>
      <c r="AZ174" s="7" t="s">
        <v>150</v>
      </c>
      <c r="BA174" s="7">
        <v>60</v>
      </c>
      <c r="BB174" s="7" t="s">
        <v>151</v>
      </c>
      <c r="BC174" s="7">
        <v>0</v>
      </c>
      <c r="BD174" s="7" t="s">
        <v>152</v>
      </c>
      <c r="BE174" s="7">
        <v>0</v>
      </c>
      <c r="BF174" s="7" t="s">
        <v>153</v>
      </c>
      <c r="BG174" s="7">
        <v>100</v>
      </c>
      <c r="BH174" s="7" t="s">
        <v>154</v>
      </c>
      <c r="BI174" s="7">
        <v>10</v>
      </c>
      <c r="BJ174" s="7" t="s">
        <v>155</v>
      </c>
      <c r="BK174" s="7">
        <v>300</v>
      </c>
      <c r="BL174" s="20"/>
      <c r="BM174" s="20"/>
      <c r="BN174" s="20">
        <v>1</v>
      </c>
      <c r="BO174" s="20">
        <v>2500</v>
      </c>
      <c r="BP174" s="20">
        <v>2</v>
      </c>
      <c r="BQ174" s="20">
        <v>2500</v>
      </c>
      <c r="BR174" s="20" t="s">
        <v>156</v>
      </c>
    </row>
    <row r="175" s="7" customFormat="1" ht="16.5" spans="1:70">
      <c r="A175" s="7">
        <f>60000000+INDEX(编号表!$B:$B,MATCH(I175,编号表!$A:$A,0))*10000+INDEX(编号表!$B:$B,MATCH(J175,编号表!$C:$C,0))*1000+K175</f>
        <v>60201003</v>
      </c>
      <c r="B175" s="7" t="s">
        <v>559</v>
      </c>
      <c r="C175" s="7" t="s">
        <v>560</v>
      </c>
      <c r="D175" s="7" t="s">
        <v>560</v>
      </c>
      <c r="E175" s="7">
        <v>37</v>
      </c>
      <c r="F175" s="7" t="str" cm="1">
        <f t="array" ref="F175">INDEX(编号表!$E:$E,MATCH(J175,编号表!$C:$C,0))</f>
        <v>白色</v>
      </c>
      <c r="G175" s="7">
        <v>24</v>
      </c>
      <c r="H175" s="7" t="s">
        <v>552</v>
      </c>
      <c r="I175" s="7" t="s">
        <v>552</v>
      </c>
      <c r="J175" s="7" t="s">
        <v>137</v>
      </c>
      <c r="K175" s="7">
        <v>3</v>
      </c>
      <c r="L175" s="7">
        <f>COUNTIFS(I$11:I175,I175,J$11:J175,J175)-1</f>
        <v>3</v>
      </c>
      <c r="O175" s="7">
        <v>10</v>
      </c>
      <c r="P175" s="7">
        <v>150000</v>
      </c>
      <c r="Q175" s="7" t="s">
        <v>138</v>
      </c>
      <c r="R175" s="21">
        <v>40140005</v>
      </c>
      <c r="S175" s="7"/>
      <c r="T175" s="7"/>
      <c r="U175" s="7">
        <v>11010001</v>
      </c>
      <c r="V175" s="7">
        <v>11020001</v>
      </c>
      <c r="X175" s="7" t="s">
        <v>139</v>
      </c>
      <c r="Y175" s="7" t="s">
        <v>561</v>
      </c>
      <c r="Z175" s="7">
        <v>1.5</v>
      </c>
      <c r="AA175" s="7">
        <v>80</v>
      </c>
      <c r="AB175" s="7">
        <v>80</v>
      </c>
      <c r="AC175" s="7">
        <v>20</v>
      </c>
      <c r="AD175" s="7">
        <v>30</v>
      </c>
      <c r="AE175" s="7" t="s">
        <v>206</v>
      </c>
      <c r="AF175" s="7" t="s">
        <v>562</v>
      </c>
      <c r="AG175" s="22"/>
      <c r="AI175" s="23">
        <v>250</v>
      </c>
      <c r="AJ175" s="7" t="s">
        <v>142</v>
      </c>
      <c r="AK175" s="24">
        <v>1700</v>
      </c>
      <c r="AL175" s="7" t="s">
        <v>143</v>
      </c>
      <c r="AM175" s="7">
        <v>18</v>
      </c>
      <c r="AN175" s="7" t="s">
        <v>144</v>
      </c>
      <c r="AO175" s="7">
        <v>26</v>
      </c>
      <c r="AP175" s="7" t="s">
        <v>145</v>
      </c>
      <c r="AQ175" s="7">
        <v>17</v>
      </c>
      <c r="AR175" s="7" t="s">
        <v>146</v>
      </c>
      <c r="AS175" s="7">
        <v>24</v>
      </c>
      <c r="AT175" s="7" t="s">
        <v>147</v>
      </c>
      <c r="AU175" s="7">
        <v>49</v>
      </c>
      <c r="AV175" s="7" t="s">
        <v>148</v>
      </c>
      <c r="AW175" s="7">
        <v>65</v>
      </c>
      <c r="AX175" s="7" t="s">
        <v>149</v>
      </c>
      <c r="AY175" s="7">
        <v>49</v>
      </c>
      <c r="AZ175" s="7" t="s">
        <v>150</v>
      </c>
      <c r="BA175" s="7">
        <v>65</v>
      </c>
      <c r="BB175" s="7" t="s">
        <v>151</v>
      </c>
      <c r="BC175" s="7">
        <v>0</v>
      </c>
      <c r="BD175" s="7" t="s">
        <v>152</v>
      </c>
      <c r="BE175" s="7">
        <v>0</v>
      </c>
      <c r="BF175" s="7" t="s">
        <v>153</v>
      </c>
      <c r="BG175" s="7">
        <v>100</v>
      </c>
      <c r="BH175" s="7" t="s">
        <v>154</v>
      </c>
      <c r="BI175" s="7">
        <v>300</v>
      </c>
      <c r="BJ175" s="7" t="s">
        <v>155</v>
      </c>
      <c r="BK175" s="7">
        <v>300</v>
      </c>
      <c r="BL175" s="20"/>
      <c r="BM175" s="20"/>
      <c r="BN175" s="20">
        <v>1</v>
      </c>
      <c r="BO175" s="20">
        <v>2500</v>
      </c>
      <c r="BP175" s="20">
        <v>2</v>
      </c>
      <c r="BQ175" s="20">
        <v>2500</v>
      </c>
      <c r="BR175" s="20" t="s">
        <v>156</v>
      </c>
    </row>
    <row r="176" s="7" customFormat="1" ht="16.5" spans="1:70">
      <c r="A176" s="7">
        <f>60000000+INDEX(编号表!$B:$B,MATCH(I176,编号表!$A:$A,0))*10000+INDEX(编号表!$B:$B,MATCH(J176,编号表!$C:$C,0))*1000+K176</f>
        <v>60202000</v>
      </c>
      <c r="B176" s="7" t="s">
        <v>563</v>
      </c>
      <c r="C176" s="7" t="s">
        <v>557</v>
      </c>
      <c r="D176" s="7" t="s">
        <v>564</v>
      </c>
      <c r="E176" s="7">
        <v>38</v>
      </c>
      <c r="F176" s="7" t="str" cm="1">
        <f t="array" ref="F176">INDEX(编号表!$E:$E,MATCH(J176,编号表!$C:$C,0))</f>
        <v>绿色</v>
      </c>
      <c r="G176" s="7">
        <v>24</v>
      </c>
      <c r="H176" s="7" t="s">
        <v>552</v>
      </c>
      <c r="I176" s="7" t="s">
        <v>552</v>
      </c>
      <c r="J176" s="7" t="s">
        <v>221</v>
      </c>
      <c r="K176" s="7">
        <v>0</v>
      </c>
      <c r="L176" s="7">
        <f>COUNTIFS(I$11:I176,I176,J$11:J176,J176)-1</f>
        <v>0</v>
      </c>
      <c r="O176" s="7">
        <v>10</v>
      </c>
      <c r="P176" s="7">
        <v>150000</v>
      </c>
      <c r="Q176" s="7" t="s">
        <v>138</v>
      </c>
      <c r="R176" s="21">
        <v>40140005</v>
      </c>
      <c r="S176" s="7"/>
      <c r="T176" s="7"/>
      <c r="U176" s="7">
        <v>11010001</v>
      </c>
      <c r="V176" s="7">
        <v>11020001</v>
      </c>
      <c r="X176" s="7" t="s">
        <v>139</v>
      </c>
      <c r="Y176" s="7" t="s">
        <v>558</v>
      </c>
      <c r="Z176" s="7">
        <v>1.5</v>
      </c>
      <c r="AA176" s="7">
        <v>80</v>
      </c>
      <c r="AB176" s="7">
        <v>80</v>
      </c>
      <c r="AC176" s="7">
        <v>20</v>
      </c>
      <c r="AD176" s="7">
        <v>30</v>
      </c>
      <c r="AE176" s="7" t="s">
        <v>141</v>
      </c>
      <c r="AF176" s="7"/>
      <c r="AG176" s="22" t="s">
        <v>222</v>
      </c>
      <c r="AI176" s="23">
        <v>1040</v>
      </c>
      <c r="AJ176" s="7" t="s">
        <v>142</v>
      </c>
      <c r="AK176" s="24">
        <v>12000</v>
      </c>
      <c r="AL176" s="7" t="s">
        <v>143</v>
      </c>
      <c r="AM176" s="7">
        <v>36</v>
      </c>
      <c r="AN176" s="7" t="s">
        <v>144</v>
      </c>
      <c r="AO176" s="7">
        <v>50</v>
      </c>
      <c r="AP176" s="7" t="s">
        <v>145</v>
      </c>
      <c r="AQ176" s="7">
        <v>33</v>
      </c>
      <c r="AR176" s="7" t="s">
        <v>146</v>
      </c>
      <c r="AS176" s="7">
        <v>48</v>
      </c>
      <c r="AT176" s="7" t="s">
        <v>147</v>
      </c>
      <c r="AU176" s="7">
        <v>90</v>
      </c>
      <c r="AV176" s="7" t="s">
        <v>148</v>
      </c>
      <c r="AW176" s="7">
        <v>125</v>
      </c>
      <c r="AX176" s="7" t="s">
        <v>149</v>
      </c>
      <c r="AY176" s="7">
        <v>90</v>
      </c>
      <c r="AZ176" s="7" t="s">
        <v>150</v>
      </c>
      <c r="BA176" s="7">
        <v>125</v>
      </c>
      <c r="BB176" s="7" t="s">
        <v>151</v>
      </c>
      <c r="BC176" s="7">
        <v>0</v>
      </c>
      <c r="BD176" s="7" t="s">
        <v>152</v>
      </c>
      <c r="BE176" s="7">
        <v>0</v>
      </c>
      <c r="BF176" s="7" t="s">
        <v>153</v>
      </c>
      <c r="BG176" s="7">
        <v>100</v>
      </c>
      <c r="BH176" s="7" t="s">
        <v>154</v>
      </c>
      <c r="BI176" s="7">
        <v>10</v>
      </c>
      <c r="BJ176" s="7" t="s">
        <v>155</v>
      </c>
      <c r="BK176" s="7">
        <v>300</v>
      </c>
      <c r="BL176" s="20"/>
      <c r="BM176" s="20"/>
      <c r="BN176" s="20">
        <v>1</v>
      </c>
      <c r="BO176" s="20">
        <v>2500</v>
      </c>
      <c r="BP176" s="20">
        <v>2</v>
      </c>
      <c r="BQ176" s="20">
        <v>2500</v>
      </c>
      <c r="BR176" s="20" t="s">
        <v>156</v>
      </c>
    </row>
    <row r="177" s="7" customFormat="1" ht="16.5" spans="1:70">
      <c r="A177" s="15">
        <f>60000000+INDEX(编号表!$B:$B,MATCH(I177,编号表!$A:$A,0))*10000+INDEX(编号表!$B:$B,MATCH(J177,编号表!$C:$C,0))*1000+K177</f>
        <v>60204000</v>
      </c>
      <c r="B177" s="15" t="s">
        <v>565</v>
      </c>
      <c r="C177" s="15" t="s">
        <v>557</v>
      </c>
      <c r="D177" s="15" t="s">
        <v>564</v>
      </c>
      <c r="E177" s="15">
        <v>38</v>
      </c>
      <c r="F177" s="15" t="str" cm="1">
        <f t="array" ref="F177">INDEX(编号表!$E:$E,MATCH(J177,编号表!$C:$C,0))</f>
        <v>橙色</v>
      </c>
      <c r="G177" s="15">
        <v>24</v>
      </c>
      <c r="H177" s="15" t="s">
        <v>552</v>
      </c>
      <c r="I177" s="15" t="s">
        <v>552</v>
      </c>
      <c r="J177" s="15" t="s">
        <v>233</v>
      </c>
      <c r="K177" s="7">
        <v>0</v>
      </c>
      <c r="L177" s="7">
        <f>COUNTIFS(I$11:I177,I177,J$11:J177,J177)-1</f>
        <v>0</v>
      </c>
      <c r="O177" s="7">
        <v>10</v>
      </c>
      <c r="P177" s="7">
        <v>150000</v>
      </c>
      <c r="Q177" s="7" t="s">
        <v>138</v>
      </c>
      <c r="R177" s="21">
        <v>40140005</v>
      </c>
      <c r="S177" s="7"/>
      <c r="T177" s="7"/>
      <c r="U177" s="7">
        <v>11010001</v>
      </c>
      <c r="V177" s="7">
        <v>11020001</v>
      </c>
      <c r="X177" s="7" t="s">
        <v>139</v>
      </c>
      <c r="Y177" s="7" t="s">
        <v>558</v>
      </c>
      <c r="Z177" s="7">
        <v>1.5</v>
      </c>
      <c r="AA177" s="7">
        <v>80</v>
      </c>
      <c r="AB177" s="7">
        <v>80</v>
      </c>
      <c r="AC177" s="7">
        <v>20</v>
      </c>
      <c r="AD177" s="7">
        <v>30</v>
      </c>
      <c r="AE177" s="7" t="s">
        <v>141</v>
      </c>
      <c r="AF177" s="7"/>
      <c r="AG177" s="22" t="s">
        <v>234</v>
      </c>
      <c r="AI177" s="23">
        <v>5200</v>
      </c>
      <c r="AJ177" s="7" t="s">
        <v>142</v>
      </c>
      <c r="AK177" s="24">
        <v>74000</v>
      </c>
      <c r="AL177" s="7" t="s">
        <v>143</v>
      </c>
      <c r="AM177" s="7">
        <v>50</v>
      </c>
      <c r="AN177" s="7" t="s">
        <v>144</v>
      </c>
      <c r="AO177" s="7">
        <v>70</v>
      </c>
      <c r="AP177" s="7" t="s">
        <v>145</v>
      </c>
      <c r="AQ177" s="7">
        <v>46</v>
      </c>
      <c r="AR177" s="7" t="s">
        <v>146</v>
      </c>
      <c r="AS177" s="7">
        <v>65</v>
      </c>
      <c r="AT177" s="7" t="s">
        <v>147</v>
      </c>
      <c r="AU177" s="7">
        <v>145</v>
      </c>
      <c r="AV177" s="7" t="s">
        <v>148</v>
      </c>
      <c r="AW177" s="7">
        <v>195</v>
      </c>
      <c r="AX177" s="7" t="s">
        <v>149</v>
      </c>
      <c r="AY177" s="7">
        <v>145</v>
      </c>
      <c r="AZ177" s="7" t="s">
        <v>150</v>
      </c>
      <c r="BA177" s="7">
        <v>195</v>
      </c>
      <c r="BB177" s="7" t="s">
        <v>151</v>
      </c>
      <c r="BC177" s="7">
        <v>0</v>
      </c>
      <c r="BD177" s="7" t="s">
        <v>152</v>
      </c>
      <c r="BE177" s="7">
        <v>0</v>
      </c>
      <c r="BF177" s="7" t="s">
        <v>153</v>
      </c>
      <c r="BG177" s="7">
        <v>100</v>
      </c>
      <c r="BH177" s="7" t="s">
        <v>154</v>
      </c>
      <c r="BI177" s="7">
        <v>10</v>
      </c>
      <c r="BJ177" s="7" t="s">
        <v>155</v>
      </c>
      <c r="BK177" s="7">
        <v>300</v>
      </c>
      <c r="BL177" s="20"/>
      <c r="BM177" s="20"/>
      <c r="BN177" s="20">
        <v>1</v>
      </c>
      <c r="BO177" s="20">
        <v>2500</v>
      </c>
      <c r="BP177" s="20">
        <v>2</v>
      </c>
      <c r="BQ177" s="20">
        <v>2500</v>
      </c>
      <c r="BR177" s="20" t="s">
        <v>156</v>
      </c>
    </row>
    <row r="178" s="7" customFormat="1" ht="16.5" spans="1:70">
      <c r="A178" s="7">
        <f>60000000+INDEX(编号表!$B:$B,MATCH(I178,编号表!$A:$A,0))*10000+INDEX(编号表!$B:$B,MATCH(J178,编号表!$C:$C,0))*1000+K178</f>
        <v>60211000</v>
      </c>
      <c r="B178" s="7" t="s">
        <v>566</v>
      </c>
      <c r="C178" s="7" t="s">
        <v>464</v>
      </c>
      <c r="D178" s="7" t="s">
        <v>567</v>
      </c>
      <c r="E178" s="7">
        <v>38</v>
      </c>
      <c r="F178" s="7" t="str" cm="1">
        <f t="array" ref="F178">INDEX(编号表!$E:$E,MATCH(J178,编号表!$C:$C,0))</f>
        <v>白色</v>
      </c>
      <c r="G178" s="7">
        <v>25</v>
      </c>
      <c r="H178" s="7" t="s">
        <v>568</v>
      </c>
      <c r="I178" s="7" t="s">
        <v>568</v>
      </c>
      <c r="J178" s="7" t="s">
        <v>137</v>
      </c>
      <c r="K178" s="7">
        <v>0</v>
      </c>
      <c r="L178" s="7">
        <f>COUNTIFS(I$11:I178,I178,J$11:J178,J178)-1</f>
        <v>0</v>
      </c>
      <c r="O178" s="7">
        <v>10</v>
      </c>
      <c r="P178" s="7">
        <v>150000</v>
      </c>
      <c r="Q178" s="7" t="s">
        <v>138</v>
      </c>
      <c r="R178" s="21">
        <v>40140005</v>
      </c>
      <c r="S178" s="7"/>
      <c r="T178" s="7"/>
      <c r="U178" s="7">
        <v>11010001</v>
      </c>
      <c r="V178" s="7">
        <v>11020001</v>
      </c>
      <c r="X178" s="7" t="s">
        <v>139</v>
      </c>
      <c r="Y178" s="7" t="s">
        <v>465</v>
      </c>
      <c r="Z178" s="7"/>
      <c r="AA178" s="7">
        <v>80</v>
      </c>
      <c r="AB178" s="7">
        <v>80</v>
      </c>
      <c r="AC178" s="7">
        <v>20</v>
      </c>
      <c r="AD178" s="7">
        <v>30</v>
      </c>
      <c r="AE178" s="7" t="s">
        <v>141</v>
      </c>
      <c r="AF178" s="7"/>
      <c r="AG178" s="22"/>
      <c r="AI178" s="23">
        <v>265</v>
      </c>
      <c r="AJ178" s="7" t="s">
        <v>142</v>
      </c>
      <c r="AK178" s="24">
        <v>1450</v>
      </c>
      <c r="AL178" s="7" t="s">
        <v>143</v>
      </c>
      <c r="AM178" s="7">
        <v>16</v>
      </c>
      <c r="AN178" s="7" t="s">
        <v>144</v>
      </c>
      <c r="AO178" s="7">
        <v>22</v>
      </c>
      <c r="AP178" s="7" t="s">
        <v>145</v>
      </c>
      <c r="AQ178" s="7">
        <v>15</v>
      </c>
      <c r="AR178" s="7" t="s">
        <v>146</v>
      </c>
      <c r="AS178" s="7">
        <v>21</v>
      </c>
      <c r="AT178" s="7" t="s">
        <v>147</v>
      </c>
      <c r="AU178" s="7">
        <v>48</v>
      </c>
      <c r="AV178" s="7" t="s">
        <v>148</v>
      </c>
      <c r="AW178" s="7">
        <v>65</v>
      </c>
      <c r="AX178" s="7" t="s">
        <v>149</v>
      </c>
      <c r="AY178" s="7">
        <v>48</v>
      </c>
      <c r="AZ178" s="7" t="s">
        <v>150</v>
      </c>
      <c r="BA178" s="7">
        <v>65</v>
      </c>
      <c r="BB178" s="7" t="s">
        <v>151</v>
      </c>
      <c r="BC178" s="7">
        <v>0</v>
      </c>
      <c r="BD178" s="7" t="s">
        <v>152</v>
      </c>
      <c r="BE178" s="7">
        <v>0</v>
      </c>
      <c r="BF178" s="7" t="s">
        <v>153</v>
      </c>
      <c r="BG178" s="7">
        <v>100</v>
      </c>
      <c r="BH178" s="7" t="s">
        <v>154</v>
      </c>
      <c r="BI178" s="7">
        <v>10</v>
      </c>
      <c r="BJ178" s="7" t="s">
        <v>155</v>
      </c>
      <c r="BK178" s="7">
        <v>300</v>
      </c>
      <c r="BL178" s="20">
        <v>0.05</v>
      </c>
      <c r="BM178" s="20"/>
      <c r="BN178" s="20">
        <v>1</v>
      </c>
      <c r="BO178" s="20">
        <v>2500</v>
      </c>
      <c r="BP178" s="20">
        <v>2</v>
      </c>
      <c r="BQ178" s="20">
        <v>2500</v>
      </c>
      <c r="BR178" s="20" t="s">
        <v>156</v>
      </c>
    </row>
    <row r="179" s="7" customFormat="1" ht="16.5" spans="1:70">
      <c r="A179" s="7">
        <f>60000000+INDEX(编号表!$B:$B,MATCH(I179,编号表!$A:$A,0))*10000+INDEX(编号表!$B:$B,MATCH(J179,编号表!$C:$C,0))*1000+K179</f>
        <v>60211001</v>
      </c>
      <c r="B179" s="7" t="s">
        <v>569</v>
      </c>
      <c r="C179" s="7" t="s">
        <v>557</v>
      </c>
      <c r="D179" s="7" t="s">
        <v>570</v>
      </c>
      <c r="E179" s="7">
        <v>38</v>
      </c>
      <c r="F179" s="7" t="str" cm="1">
        <f t="array" ref="F179">INDEX(编号表!$E:$E,MATCH(J179,编号表!$C:$C,0))</f>
        <v>白色</v>
      </c>
      <c r="G179" s="7">
        <v>25</v>
      </c>
      <c r="H179" s="7" t="s">
        <v>568</v>
      </c>
      <c r="I179" s="7" t="s">
        <v>568</v>
      </c>
      <c r="J179" s="7" t="s">
        <v>137</v>
      </c>
      <c r="K179" s="7">
        <v>1</v>
      </c>
      <c r="L179" s="7">
        <f>COUNTIFS(I$11:I179,I179,J$11:J179,J179)-1</f>
        <v>1</v>
      </c>
      <c r="O179" s="7">
        <v>10</v>
      </c>
      <c r="P179" s="7">
        <v>150000</v>
      </c>
      <c r="Q179" s="7" t="s">
        <v>138</v>
      </c>
      <c r="R179" s="21">
        <v>40140005</v>
      </c>
      <c r="S179" s="7"/>
      <c r="T179" s="7"/>
      <c r="U179" s="7">
        <v>11010001</v>
      </c>
      <c r="V179" s="7">
        <v>11020001</v>
      </c>
      <c r="X179" s="7" t="s">
        <v>139</v>
      </c>
      <c r="Y179" s="7" t="s">
        <v>558</v>
      </c>
      <c r="Z179" s="7">
        <v>1.5</v>
      </c>
      <c r="AA179" s="7">
        <v>80</v>
      </c>
      <c r="AB179" s="7">
        <v>80</v>
      </c>
      <c r="AC179" s="7">
        <v>20</v>
      </c>
      <c r="AD179" s="7">
        <v>30</v>
      </c>
      <c r="AE179" s="7" t="s">
        <v>141</v>
      </c>
      <c r="AF179" s="7"/>
      <c r="AG179" s="22"/>
      <c r="AI179" s="23">
        <v>265</v>
      </c>
      <c r="AJ179" s="7" t="s">
        <v>142</v>
      </c>
      <c r="AK179" s="24">
        <v>2250</v>
      </c>
      <c r="AL179" s="7" t="s">
        <v>143</v>
      </c>
      <c r="AM179" s="7">
        <v>24</v>
      </c>
      <c r="AN179" s="7" t="s">
        <v>144</v>
      </c>
      <c r="AO179" s="7">
        <v>34</v>
      </c>
      <c r="AP179" s="7" t="s">
        <v>145</v>
      </c>
      <c r="AQ179" s="7">
        <v>22</v>
      </c>
      <c r="AR179" s="7" t="s">
        <v>146</v>
      </c>
      <c r="AS179" s="7">
        <v>33</v>
      </c>
      <c r="AT179" s="7" t="s">
        <v>147</v>
      </c>
      <c r="AU179" s="7">
        <v>48</v>
      </c>
      <c r="AV179" s="7" t="s">
        <v>148</v>
      </c>
      <c r="AW179" s="7">
        <v>65</v>
      </c>
      <c r="AX179" s="7" t="s">
        <v>149</v>
      </c>
      <c r="AY179" s="7">
        <v>48</v>
      </c>
      <c r="AZ179" s="7" t="s">
        <v>150</v>
      </c>
      <c r="BA179" s="7">
        <v>65</v>
      </c>
      <c r="BB179" s="7" t="s">
        <v>151</v>
      </c>
      <c r="BC179" s="7">
        <v>0</v>
      </c>
      <c r="BD179" s="7" t="s">
        <v>152</v>
      </c>
      <c r="BE179" s="7">
        <v>0</v>
      </c>
      <c r="BF179" s="7" t="s">
        <v>153</v>
      </c>
      <c r="BG179" s="7">
        <v>100</v>
      </c>
      <c r="BH179" s="7" t="s">
        <v>154</v>
      </c>
      <c r="BI179" s="7">
        <v>10</v>
      </c>
      <c r="BJ179" s="7" t="s">
        <v>155</v>
      </c>
      <c r="BK179" s="7">
        <v>300</v>
      </c>
      <c r="BL179" s="20"/>
      <c r="BM179" s="20"/>
      <c r="BN179" s="20">
        <v>1</v>
      </c>
      <c r="BO179" s="20">
        <v>2500</v>
      </c>
      <c r="BP179" s="20">
        <v>2</v>
      </c>
      <c r="BQ179" s="20">
        <v>2500</v>
      </c>
      <c r="BR179" s="20" t="s">
        <v>156</v>
      </c>
    </row>
    <row r="180" s="7" customFormat="1" ht="16.5" spans="1:70">
      <c r="A180" s="7">
        <f>60000000+INDEX(编号表!$B:$B,MATCH(I180,编号表!$A:$A,0))*10000+INDEX(编号表!$B:$B,MATCH(J180,编号表!$C:$C,0))*1000+K180</f>
        <v>60211002</v>
      </c>
      <c r="B180" s="7" t="s">
        <v>571</v>
      </c>
      <c r="C180" s="7" t="s">
        <v>560</v>
      </c>
      <c r="D180" s="7" t="s">
        <v>572</v>
      </c>
      <c r="E180" s="7">
        <v>38</v>
      </c>
      <c r="F180" s="7" t="str" cm="1">
        <f t="array" ref="F180">INDEX(编号表!$E:$E,MATCH(J180,编号表!$C:$C,0))</f>
        <v>白色</v>
      </c>
      <c r="G180" s="7">
        <v>25</v>
      </c>
      <c r="H180" s="7" t="s">
        <v>568</v>
      </c>
      <c r="I180" s="7" t="s">
        <v>568</v>
      </c>
      <c r="J180" s="7" t="s">
        <v>137</v>
      </c>
      <c r="K180" s="7">
        <v>2</v>
      </c>
      <c r="L180" s="7">
        <f>COUNTIFS(I$11:I180,I180,J$11:J180,J180)-1</f>
        <v>2</v>
      </c>
      <c r="O180" s="7">
        <v>10</v>
      </c>
      <c r="P180" s="7">
        <v>150000</v>
      </c>
      <c r="Q180" s="7" t="s">
        <v>138</v>
      </c>
      <c r="R180" s="21">
        <v>40140005</v>
      </c>
      <c r="S180" s="7"/>
      <c r="T180" s="7"/>
      <c r="U180" s="7">
        <v>11010001</v>
      </c>
      <c r="V180" s="7">
        <v>11020001</v>
      </c>
      <c r="X180" s="7" t="s">
        <v>139</v>
      </c>
      <c r="Y180" s="7" t="s">
        <v>561</v>
      </c>
      <c r="Z180" s="7">
        <v>1.5</v>
      </c>
      <c r="AA180" s="7">
        <v>80</v>
      </c>
      <c r="AB180" s="7">
        <v>80</v>
      </c>
      <c r="AC180" s="7">
        <v>20</v>
      </c>
      <c r="AD180" s="7">
        <v>30</v>
      </c>
      <c r="AE180" s="7" t="s">
        <v>206</v>
      </c>
      <c r="AF180" s="7" t="s">
        <v>562</v>
      </c>
      <c r="AG180" s="22"/>
      <c r="AI180" s="23">
        <v>265</v>
      </c>
      <c r="AJ180" s="7" t="s">
        <v>142</v>
      </c>
      <c r="AK180" s="24">
        <v>1800</v>
      </c>
      <c r="AL180" s="7" t="s">
        <v>143</v>
      </c>
      <c r="AM180" s="7">
        <v>19</v>
      </c>
      <c r="AN180" s="7" t="s">
        <v>144</v>
      </c>
      <c r="AO180" s="7">
        <v>27</v>
      </c>
      <c r="AP180" s="7" t="s">
        <v>145</v>
      </c>
      <c r="AQ180" s="7">
        <v>17</v>
      </c>
      <c r="AR180" s="7" t="s">
        <v>146</v>
      </c>
      <c r="AS180" s="7">
        <v>26</v>
      </c>
      <c r="AT180" s="7" t="s">
        <v>147</v>
      </c>
      <c r="AU180" s="7">
        <v>50</v>
      </c>
      <c r="AV180" s="7" t="s">
        <v>148</v>
      </c>
      <c r="AW180" s="7">
        <v>70</v>
      </c>
      <c r="AX180" s="7" t="s">
        <v>149</v>
      </c>
      <c r="AY180" s="7">
        <v>50</v>
      </c>
      <c r="AZ180" s="7" t="s">
        <v>150</v>
      </c>
      <c r="BA180" s="7">
        <v>70</v>
      </c>
      <c r="BB180" s="7" t="s">
        <v>151</v>
      </c>
      <c r="BC180" s="7">
        <v>0</v>
      </c>
      <c r="BD180" s="7" t="s">
        <v>152</v>
      </c>
      <c r="BE180" s="7">
        <v>0</v>
      </c>
      <c r="BF180" s="7" t="s">
        <v>153</v>
      </c>
      <c r="BG180" s="7">
        <v>100</v>
      </c>
      <c r="BH180" s="7" t="s">
        <v>154</v>
      </c>
      <c r="BI180" s="7">
        <v>300</v>
      </c>
      <c r="BJ180" s="7" t="s">
        <v>155</v>
      </c>
      <c r="BK180" s="7">
        <v>300</v>
      </c>
      <c r="BL180" s="20"/>
      <c r="BM180" s="20"/>
      <c r="BN180" s="20">
        <v>1</v>
      </c>
      <c r="BO180" s="20">
        <v>2500</v>
      </c>
      <c r="BP180" s="20">
        <v>2</v>
      </c>
      <c r="BQ180" s="20">
        <v>2500</v>
      </c>
      <c r="BR180" s="20" t="s">
        <v>156</v>
      </c>
    </row>
    <row r="181" s="7" customFormat="1" ht="16.5" spans="1:70">
      <c r="A181" s="7">
        <f>60000000+INDEX(编号表!$B:$B,MATCH(I181,编号表!$A:$A,0))*10000+INDEX(编号表!$B:$B,MATCH(J181,编号表!$C:$C,0))*1000+K181</f>
        <v>60211003</v>
      </c>
      <c r="B181" s="7" t="s">
        <v>573</v>
      </c>
      <c r="C181" s="7" t="s">
        <v>574</v>
      </c>
      <c r="D181" s="7" t="s">
        <v>574</v>
      </c>
      <c r="E181" s="7">
        <v>38</v>
      </c>
      <c r="F181" s="7" t="str" cm="1">
        <f t="array" ref="F181">INDEX(编号表!$E:$E,MATCH(J181,编号表!$C:$C,0))</f>
        <v>白色</v>
      </c>
      <c r="G181" s="7">
        <v>25</v>
      </c>
      <c r="H181" s="7" t="s">
        <v>568</v>
      </c>
      <c r="I181" s="7" t="s">
        <v>568</v>
      </c>
      <c r="J181" s="7" t="s">
        <v>137</v>
      </c>
      <c r="K181" s="7">
        <v>3</v>
      </c>
      <c r="L181" s="7">
        <f>COUNTIFS(I$11:I181,I181,J$11:J181,J181)-1</f>
        <v>3</v>
      </c>
      <c r="O181" s="7">
        <v>10</v>
      </c>
      <c r="P181" s="7">
        <v>150000</v>
      </c>
      <c r="Q181" s="7" t="s">
        <v>138</v>
      </c>
      <c r="R181" s="21">
        <v>40140005</v>
      </c>
      <c r="S181" s="7"/>
      <c r="T181" s="7"/>
      <c r="U181" s="7">
        <v>11010001</v>
      </c>
      <c r="V181" s="7">
        <v>11020001</v>
      </c>
      <c r="X181" s="7" t="s">
        <v>139</v>
      </c>
      <c r="Y181" s="7" t="s">
        <v>575</v>
      </c>
      <c r="Z181" s="7">
        <v>1.5</v>
      </c>
      <c r="AA181" s="7">
        <v>80</v>
      </c>
      <c r="AB181" s="7">
        <v>80</v>
      </c>
      <c r="AC181" s="7">
        <v>20</v>
      </c>
      <c r="AD181" s="7">
        <v>30</v>
      </c>
      <c r="AE181" s="7" t="s">
        <v>141</v>
      </c>
      <c r="AF181" s="7"/>
      <c r="AG181" s="22"/>
      <c r="AI181" s="23">
        <v>265</v>
      </c>
      <c r="AJ181" s="7" t="s">
        <v>142</v>
      </c>
      <c r="AK181" s="24">
        <v>1950</v>
      </c>
      <c r="AL181" s="7" t="s">
        <v>143</v>
      </c>
      <c r="AM181" s="7">
        <v>21</v>
      </c>
      <c r="AN181" s="7" t="s">
        <v>144</v>
      </c>
      <c r="AO181" s="7">
        <v>30</v>
      </c>
      <c r="AP181" s="7" t="s">
        <v>145</v>
      </c>
      <c r="AQ181" s="7">
        <v>19</v>
      </c>
      <c r="AR181" s="7" t="s">
        <v>146</v>
      </c>
      <c r="AS181" s="7">
        <v>28</v>
      </c>
      <c r="AT181" s="7" t="s">
        <v>147</v>
      </c>
      <c r="AU181" s="7">
        <v>46</v>
      </c>
      <c r="AV181" s="7" t="s">
        <v>148</v>
      </c>
      <c r="AW181" s="7">
        <v>60</v>
      </c>
      <c r="AX181" s="7" t="s">
        <v>149</v>
      </c>
      <c r="AY181" s="7">
        <v>46</v>
      </c>
      <c r="AZ181" s="7" t="s">
        <v>150</v>
      </c>
      <c r="BA181" s="7">
        <v>60</v>
      </c>
      <c r="BB181" s="7" t="s">
        <v>151</v>
      </c>
      <c r="BC181" s="7">
        <v>0</v>
      </c>
      <c r="BD181" s="7" t="s">
        <v>152</v>
      </c>
      <c r="BE181" s="7">
        <v>0</v>
      </c>
      <c r="BF181" s="7" t="s">
        <v>153</v>
      </c>
      <c r="BG181" s="7">
        <v>100</v>
      </c>
      <c r="BH181" s="7" t="s">
        <v>154</v>
      </c>
      <c r="BI181" s="7">
        <v>10</v>
      </c>
      <c r="BJ181" s="7" t="s">
        <v>155</v>
      </c>
      <c r="BK181" s="7">
        <v>300</v>
      </c>
      <c r="BL181" s="20"/>
      <c r="BM181" s="20"/>
      <c r="BN181" s="20">
        <v>1</v>
      </c>
      <c r="BO181" s="20">
        <v>2500</v>
      </c>
      <c r="BP181" s="20">
        <v>2</v>
      </c>
      <c r="BQ181" s="20">
        <v>2500</v>
      </c>
      <c r="BR181" s="20" t="s">
        <v>156</v>
      </c>
    </row>
    <row r="182" s="7" customFormat="1" ht="16.5" spans="1:70">
      <c r="A182" s="7">
        <f>60000000+INDEX(编号表!$B:$B,MATCH(I182,编号表!$A:$A,0))*10000+INDEX(编号表!$B:$B,MATCH(J182,编号表!$C:$C,0))*1000+K182</f>
        <v>60212000</v>
      </c>
      <c r="B182" s="7" t="s">
        <v>576</v>
      </c>
      <c r="C182" s="7" t="s">
        <v>557</v>
      </c>
      <c r="D182" s="7" t="s">
        <v>577</v>
      </c>
      <c r="E182" s="7">
        <v>39</v>
      </c>
      <c r="F182" s="7" t="str" cm="1">
        <f t="array" ref="F182">INDEX(编号表!$E:$E,MATCH(J182,编号表!$C:$C,0))</f>
        <v>绿色</v>
      </c>
      <c r="G182" s="7">
        <v>25</v>
      </c>
      <c r="H182" s="7" t="s">
        <v>568</v>
      </c>
      <c r="I182" s="7" t="s">
        <v>568</v>
      </c>
      <c r="J182" s="7" t="s">
        <v>221</v>
      </c>
      <c r="K182" s="7">
        <v>0</v>
      </c>
      <c r="L182" s="7">
        <f>COUNTIFS(I$11:I182,I182,J$11:J182,J182)-1</f>
        <v>0</v>
      </c>
      <c r="O182" s="7">
        <v>10</v>
      </c>
      <c r="P182" s="7">
        <v>150000</v>
      </c>
      <c r="Q182" s="7" t="s">
        <v>138</v>
      </c>
      <c r="R182" s="21">
        <v>40140005</v>
      </c>
      <c r="S182" s="7"/>
      <c r="T182" s="7"/>
      <c r="U182" s="7">
        <v>11010001</v>
      </c>
      <c r="V182" s="7">
        <v>11020001</v>
      </c>
      <c r="X182" s="7" t="s">
        <v>139</v>
      </c>
      <c r="Y182" s="7" t="s">
        <v>558</v>
      </c>
      <c r="Z182" s="7">
        <v>1.5</v>
      </c>
      <c r="AA182" s="7">
        <v>80</v>
      </c>
      <c r="AB182" s="7">
        <v>80</v>
      </c>
      <c r="AC182" s="7">
        <v>20</v>
      </c>
      <c r="AD182" s="7">
        <v>30</v>
      </c>
      <c r="AE182" s="7" t="s">
        <v>141</v>
      </c>
      <c r="AF182" s="7"/>
      <c r="AG182" s="22" t="s">
        <v>222</v>
      </c>
      <c r="AI182" s="23">
        <v>1100</v>
      </c>
      <c r="AJ182" s="7" t="s">
        <v>142</v>
      </c>
      <c r="AK182" s="24">
        <v>12900</v>
      </c>
      <c r="AL182" s="7" t="s">
        <v>143</v>
      </c>
      <c r="AM182" s="7">
        <v>37</v>
      </c>
      <c r="AN182" s="7" t="s">
        <v>144</v>
      </c>
      <c r="AO182" s="7">
        <v>55</v>
      </c>
      <c r="AP182" s="7" t="s">
        <v>145</v>
      </c>
      <c r="AQ182" s="7">
        <v>35</v>
      </c>
      <c r="AR182" s="7" t="s">
        <v>146</v>
      </c>
      <c r="AS182" s="7">
        <v>50</v>
      </c>
      <c r="AT182" s="7" t="s">
        <v>147</v>
      </c>
      <c r="AU182" s="7">
        <v>95</v>
      </c>
      <c r="AV182" s="7" t="s">
        <v>148</v>
      </c>
      <c r="AW182" s="7">
        <v>130</v>
      </c>
      <c r="AX182" s="7" t="s">
        <v>149</v>
      </c>
      <c r="AY182" s="7">
        <v>95</v>
      </c>
      <c r="AZ182" s="7" t="s">
        <v>150</v>
      </c>
      <c r="BA182" s="7">
        <v>130</v>
      </c>
      <c r="BB182" s="7" t="s">
        <v>151</v>
      </c>
      <c r="BC182" s="7">
        <v>0</v>
      </c>
      <c r="BD182" s="7" t="s">
        <v>152</v>
      </c>
      <c r="BE182" s="7">
        <v>0</v>
      </c>
      <c r="BF182" s="7" t="s">
        <v>153</v>
      </c>
      <c r="BG182" s="7">
        <v>100</v>
      </c>
      <c r="BH182" s="7" t="s">
        <v>154</v>
      </c>
      <c r="BI182" s="7">
        <v>10</v>
      </c>
      <c r="BJ182" s="7" t="s">
        <v>155</v>
      </c>
      <c r="BK182" s="7">
        <v>300</v>
      </c>
      <c r="BL182" s="20"/>
      <c r="BM182" s="20"/>
      <c r="BN182" s="20">
        <v>1</v>
      </c>
      <c r="BO182" s="20">
        <v>2500</v>
      </c>
      <c r="BP182" s="20">
        <v>2</v>
      </c>
      <c r="BQ182" s="20">
        <v>2500</v>
      </c>
      <c r="BR182" s="20" t="s">
        <v>156</v>
      </c>
    </row>
    <row r="183" s="15" customFormat="1" ht="16.5" spans="1:70">
      <c r="A183" s="15">
        <f>60000000+INDEX(编号表!$B:$B,MATCH(I183,编号表!$A:$A,0))*10000+INDEX(编号表!$B:$B,MATCH(J183,编号表!$C:$C,0))*1000+K183</f>
        <v>60214000</v>
      </c>
      <c r="B183" s="15" t="s">
        <v>578</v>
      </c>
      <c r="C183" s="15" t="s">
        <v>557</v>
      </c>
      <c r="D183" s="15" t="s">
        <v>577</v>
      </c>
      <c r="E183" s="15">
        <v>39</v>
      </c>
      <c r="F183" s="15" t="str" cm="1">
        <f t="array" ref="F183">INDEX(编号表!$E:$E,MATCH(J183,编号表!$C:$C,0))</f>
        <v>橙色</v>
      </c>
      <c r="G183" s="15">
        <v>25</v>
      </c>
      <c r="H183" s="15" t="s">
        <v>568</v>
      </c>
      <c r="I183" s="15" t="s">
        <v>568</v>
      </c>
      <c r="J183" s="15" t="s">
        <v>233</v>
      </c>
      <c r="K183" s="15">
        <v>0</v>
      </c>
      <c r="L183" s="15">
        <f>COUNTIFS(I$11:I183,I183,J$11:J183,J183)-1</f>
        <v>0</v>
      </c>
      <c r="O183" s="7">
        <v>10</v>
      </c>
      <c r="P183" s="7">
        <v>150000</v>
      </c>
      <c r="Q183" s="15" t="s">
        <v>138</v>
      </c>
      <c r="R183" s="21">
        <v>40140005</v>
      </c>
      <c r="S183" s="15"/>
      <c r="T183" s="15"/>
      <c r="U183" s="15">
        <v>11010001</v>
      </c>
      <c r="V183" s="15">
        <v>11020001</v>
      </c>
      <c r="X183" s="15" t="s">
        <v>139</v>
      </c>
      <c r="Y183" s="15" t="s">
        <v>558</v>
      </c>
      <c r="Z183" s="7">
        <v>1.5</v>
      </c>
      <c r="AA183" s="7">
        <v>80</v>
      </c>
      <c r="AB183" s="7">
        <v>80</v>
      </c>
      <c r="AC183" s="7">
        <v>20</v>
      </c>
      <c r="AD183" s="7">
        <v>30</v>
      </c>
      <c r="AE183" s="15" t="s">
        <v>141</v>
      </c>
      <c r="AF183" s="15"/>
      <c r="AG183" s="22" t="s">
        <v>234</v>
      </c>
      <c r="AH183" s="15"/>
      <c r="AI183" s="23">
        <v>5500</v>
      </c>
      <c r="AJ183" s="15" t="s">
        <v>142</v>
      </c>
      <c r="AK183" s="24">
        <v>80500</v>
      </c>
      <c r="AL183" s="15" t="s">
        <v>143</v>
      </c>
      <c r="AM183" s="15">
        <v>50</v>
      </c>
      <c r="AN183" s="15" t="s">
        <v>144</v>
      </c>
      <c r="AO183" s="15">
        <v>75</v>
      </c>
      <c r="AP183" s="15" t="s">
        <v>145</v>
      </c>
      <c r="AQ183" s="15">
        <v>49</v>
      </c>
      <c r="AR183" s="15" t="s">
        <v>146</v>
      </c>
      <c r="AS183" s="15">
        <v>70</v>
      </c>
      <c r="AT183" s="15" t="s">
        <v>147</v>
      </c>
      <c r="AU183" s="15">
        <v>155</v>
      </c>
      <c r="AV183" s="15" t="s">
        <v>148</v>
      </c>
      <c r="AW183" s="15">
        <v>210</v>
      </c>
      <c r="AX183" s="15" t="s">
        <v>149</v>
      </c>
      <c r="AY183" s="15">
        <v>155</v>
      </c>
      <c r="AZ183" s="15" t="s">
        <v>150</v>
      </c>
      <c r="BA183" s="15">
        <v>210</v>
      </c>
      <c r="BB183" s="15" t="s">
        <v>151</v>
      </c>
      <c r="BC183" s="15">
        <v>0</v>
      </c>
      <c r="BD183" s="15" t="s">
        <v>152</v>
      </c>
      <c r="BE183" s="15">
        <v>0</v>
      </c>
      <c r="BF183" s="15" t="s">
        <v>153</v>
      </c>
      <c r="BG183" s="15">
        <v>100</v>
      </c>
      <c r="BH183" s="15" t="s">
        <v>154</v>
      </c>
      <c r="BI183" s="15">
        <v>10</v>
      </c>
      <c r="BJ183" s="15" t="s">
        <v>155</v>
      </c>
      <c r="BK183" s="7">
        <v>300</v>
      </c>
      <c r="BL183" s="25"/>
      <c r="BM183" s="25"/>
      <c r="BN183" s="20">
        <v>1</v>
      </c>
      <c r="BO183" s="20">
        <v>2500</v>
      </c>
      <c r="BP183" s="20">
        <v>2</v>
      </c>
      <c r="BQ183" s="20">
        <v>2500</v>
      </c>
      <c r="BR183" s="25" t="s">
        <v>156</v>
      </c>
    </row>
    <row r="184" s="7" customFormat="1" ht="16.5" spans="1:70">
      <c r="A184" s="7">
        <f>60000000+INDEX(编号表!$B:$B,MATCH(I184,编号表!$A:$A,0))*10000+INDEX(编号表!$B:$B,MATCH(J184,编号表!$C:$C,0))*1000+K184</f>
        <v>60221000</v>
      </c>
      <c r="B184" s="7" t="s">
        <v>579</v>
      </c>
      <c r="C184" s="7" t="s">
        <v>551</v>
      </c>
      <c r="D184" s="7" t="s">
        <v>580</v>
      </c>
      <c r="E184" s="7">
        <v>39</v>
      </c>
      <c r="F184" s="7" t="str" cm="1">
        <f t="array" ref="F184">INDEX(编号表!$E:$E,MATCH(J184,编号表!$C:$C,0))</f>
        <v>白色</v>
      </c>
      <c r="G184" s="7">
        <v>26</v>
      </c>
      <c r="H184" s="7" t="s">
        <v>581</v>
      </c>
      <c r="I184" s="7" t="s">
        <v>581</v>
      </c>
      <c r="J184" s="7" t="s">
        <v>137</v>
      </c>
      <c r="K184" s="7">
        <v>0</v>
      </c>
      <c r="L184" s="7">
        <f>COUNTIFS(I$11:I184,I184,J$11:J184,J184)-1</f>
        <v>0</v>
      </c>
      <c r="O184" s="7">
        <v>10</v>
      </c>
      <c r="P184" s="7">
        <v>150000</v>
      </c>
      <c r="Q184" s="7" t="s">
        <v>138</v>
      </c>
      <c r="R184" s="21">
        <v>40140005</v>
      </c>
      <c r="S184" s="7"/>
      <c r="T184" s="7"/>
      <c r="U184" s="7">
        <v>11010001</v>
      </c>
      <c r="V184" s="7">
        <v>11020001</v>
      </c>
      <c r="X184" s="7" t="s">
        <v>139</v>
      </c>
      <c r="Y184" s="7" t="s">
        <v>553</v>
      </c>
      <c r="Z184" s="7"/>
      <c r="AA184" s="7">
        <v>80</v>
      </c>
      <c r="AB184" s="7">
        <v>80</v>
      </c>
      <c r="AC184" s="7">
        <v>20</v>
      </c>
      <c r="AD184" s="7">
        <v>30</v>
      </c>
      <c r="AE184" s="7" t="s">
        <v>141</v>
      </c>
      <c r="AF184" s="7"/>
      <c r="AG184" s="22"/>
      <c r="AI184" s="23">
        <v>280</v>
      </c>
      <c r="AJ184" s="7" t="s">
        <v>142</v>
      </c>
      <c r="AK184" s="24">
        <v>2100</v>
      </c>
      <c r="AL184" s="7" t="s">
        <v>143</v>
      </c>
      <c r="AM184" s="7">
        <v>22</v>
      </c>
      <c r="AN184" s="7" t="s">
        <v>144</v>
      </c>
      <c r="AO184" s="7">
        <v>31</v>
      </c>
      <c r="AP184" s="7" t="s">
        <v>145</v>
      </c>
      <c r="AQ184" s="7">
        <v>20</v>
      </c>
      <c r="AR184" s="7" t="s">
        <v>146</v>
      </c>
      <c r="AS184" s="7">
        <v>30</v>
      </c>
      <c r="AT184" s="7" t="s">
        <v>147</v>
      </c>
      <c r="AU184" s="7">
        <v>48</v>
      </c>
      <c r="AV184" s="7" t="s">
        <v>148</v>
      </c>
      <c r="AW184" s="7">
        <v>65</v>
      </c>
      <c r="AX184" s="7" t="s">
        <v>149</v>
      </c>
      <c r="AY184" s="7">
        <v>48</v>
      </c>
      <c r="AZ184" s="7" t="s">
        <v>150</v>
      </c>
      <c r="BA184" s="7">
        <v>65</v>
      </c>
      <c r="BB184" s="7" t="s">
        <v>151</v>
      </c>
      <c r="BC184" s="7">
        <v>0</v>
      </c>
      <c r="BD184" s="7" t="s">
        <v>152</v>
      </c>
      <c r="BE184" s="7">
        <v>0</v>
      </c>
      <c r="BF184" s="7" t="s">
        <v>153</v>
      </c>
      <c r="BG184" s="7">
        <v>100</v>
      </c>
      <c r="BH184" s="7" t="s">
        <v>154</v>
      </c>
      <c r="BI184" s="7">
        <v>10</v>
      </c>
      <c r="BJ184" s="7" t="s">
        <v>155</v>
      </c>
      <c r="BK184" s="7">
        <v>300</v>
      </c>
      <c r="BL184" s="20"/>
      <c r="BM184" s="20"/>
      <c r="BN184" s="20">
        <v>1</v>
      </c>
      <c r="BO184" s="20">
        <v>2500</v>
      </c>
      <c r="BP184" s="20">
        <v>2</v>
      </c>
      <c r="BQ184" s="20">
        <v>2500</v>
      </c>
      <c r="BR184" s="20" t="s">
        <v>156</v>
      </c>
    </row>
    <row r="185" s="7" customFormat="1" ht="16.5" spans="1:70">
      <c r="A185" s="7">
        <f>60000000+INDEX(编号表!$B:$B,MATCH(I185,编号表!$A:$A,0))*10000+INDEX(编号表!$B:$B,MATCH(J185,编号表!$C:$C,0))*1000+K185</f>
        <v>60221001</v>
      </c>
      <c r="B185" s="7" t="s">
        <v>582</v>
      </c>
      <c r="C185" s="7" t="s">
        <v>464</v>
      </c>
      <c r="D185" s="7" t="s">
        <v>583</v>
      </c>
      <c r="E185" s="7">
        <v>39</v>
      </c>
      <c r="F185" s="7" t="str" cm="1">
        <f t="array" ref="F185">INDEX(编号表!$E:$E,MATCH(J185,编号表!$C:$C,0))</f>
        <v>白色</v>
      </c>
      <c r="G185" s="7">
        <v>26</v>
      </c>
      <c r="H185" s="7" t="s">
        <v>581</v>
      </c>
      <c r="I185" s="7" t="s">
        <v>581</v>
      </c>
      <c r="J185" s="7" t="s">
        <v>137</v>
      </c>
      <c r="K185" s="7">
        <v>1</v>
      </c>
      <c r="L185" s="7">
        <f>COUNTIFS(I$11:I185,I185,J$11:J185,J185)-1</f>
        <v>1</v>
      </c>
      <c r="O185" s="7">
        <v>10</v>
      </c>
      <c r="P185" s="7">
        <v>150000</v>
      </c>
      <c r="Q185" s="7" t="s">
        <v>138</v>
      </c>
      <c r="R185" s="21">
        <v>40140005</v>
      </c>
      <c r="S185" s="7"/>
      <c r="T185" s="7"/>
      <c r="U185" s="7">
        <v>11010001</v>
      </c>
      <c r="V185" s="7">
        <v>11020001</v>
      </c>
      <c r="X185" s="7" t="s">
        <v>139</v>
      </c>
      <c r="Y185" s="7" t="s">
        <v>465</v>
      </c>
      <c r="Z185" s="7"/>
      <c r="AA185" s="7">
        <v>80</v>
      </c>
      <c r="AB185" s="7">
        <v>80</v>
      </c>
      <c r="AC185" s="7">
        <v>20</v>
      </c>
      <c r="AD185" s="7">
        <v>30</v>
      </c>
      <c r="AE185" s="7" t="s">
        <v>141</v>
      </c>
      <c r="AF185" s="7"/>
      <c r="AG185" s="22"/>
      <c r="AI185" s="23">
        <v>280</v>
      </c>
      <c r="AJ185" s="7" t="s">
        <v>142</v>
      </c>
      <c r="AK185" s="24">
        <v>1550</v>
      </c>
      <c r="AL185" s="7" t="s">
        <v>143</v>
      </c>
      <c r="AM185" s="7">
        <v>16</v>
      </c>
      <c r="AN185" s="7" t="s">
        <v>144</v>
      </c>
      <c r="AO185" s="7">
        <v>23</v>
      </c>
      <c r="AP185" s="7" t="s">
        <v>145</v>
      </c>
      <c r="AQ185" s="7">
        <v>15</v>
      </c>
      <c r="AR185" s="7" t="s">
        <v>146</v>
      </c>
      <c r="AS185" s="7">
        <v>22</v>
      </c>
      <c r="AT185" s="7" t="s">
        <v>147</v>
      </c>
      <c r="AU185" s="7">
        <v>50</v>
      </c>
      <c r="AV185" s="7" t="s">
        <v>148</v>
      </c>
      <c r="AW185" s="7">
        <v>70</v>
      </c>
      <c r="AX185" s="7" t="s">
        <v>149</v>
      </c>
      <c r="AY185" s="7">
        <v>50</v>
      </c>
      <c r="AZ185" s="7" t="s">
        <v>150</v>
      </c>
      <c r="BA185" s="7">
        <v>70</v>
      </c>
      <c r="BB185" s="7" t="s">
        <v>151</v>
      </c>
      <c r="BC185" s="7">
        <v>0</v>
      </c>
      <c r="BD185" s="7" t="s">
        <v>152</v>
      </c>
      <c r="BE185" s="7">
        <v>0</v>
      </c>
      <c r="BF185" s="7" t="s">
        <v>153</v>
      </c>
      <c r="BG185" s="7">
        <v>100</v>
      </c>
      <c r="BH185" s="7" t="s">
        <v>154</v>
      </c>
      <c r="BI185" s="7">
        <v>10</v>
      </c>
      <c r="BJ185" s="7" t="s">
        <v>155</v>
      </c>
      <c r="BK185" s="7">
        <v>300</v>
      </c>
      <c r="BL185" s="20">
        <v>0.05</v>
      </c>
      <c r="BM185" s="20"/>
      <c r="BN185" s="20">
        <v>1</v>
      </c>
      <c r="BO185" s="20">
        <v>2500</v>
      </c>
      <c r="BP185" s="20">
        <v>2</v>
      </c>
      <c r="BQ185" s="20">
        <v>2500</v>
      </c>
      <c r="BR185" s="20" t="s">
        <v>156</v>
      </c>
    </row>
    <row r="186" s="7" customFormat="1" ht="16.5" spans="1:70">
      <c r="A186" s="7">
        <f>60000000+INDEX(编号表!$B:$B,MATCH(I186,编号表!$A:$A,0))*10000+INDEX(编号表!$B:$B,MATCH(J186,编号表!$C:$C,0))*1000+K186</f>
        <v>60221002</v>
      </c>
      <c r="B186" s="7" t="s">
        <v>584</v>
      </c>
      <c r="C186" s="7" t="s">
        <v>557</v>
      </c>
      <c r="D186" s="7" t="s">
        <v>585</v>
      </c>
      <c r="E186" s="7">
        <v>39</v>
      </c>
      <c r="F186" s="7" t="str" cm="1">
        <f t="array" ref="F186">INDEX(编号表!$E:$E,MATCH(J186,编号表!$C:$C,0))</f>
        <v>白色</v>
      </c>
      <c r="G186" s="7">
        <v>26</v>
      </c>
      <c r="H186" s="7" t="s">
        <v>581</v>
      </c>
      <c r="I186" s="7" t="s">
        <v>581</v>
      </c>
      <c r="J186" s="7" t="s">
        <v>137</v>
      </c>
      <c r="K186" s="7">
        <v>2</v>
      </c>
      <c r="L186" s="7">
        <f>COUNTIFS(I$11:I186,I186,J$11:J186,J186)-1</f>
        <v>2</v>
      </c>
      <c r="O186" s="7">
        <v>10</v>
      </c>
      <c r="P186" s="7">
        <v>150000</v>
      </c>
      <c r="Q186" s="7" t="s">
        <v>138</v>
      </c>
      <c r="R186" s="21">
        <v>40140005</v>
      </c>
      <c r="S186" s="7"/>
      <c r="T186" s="7"/>
      <c r="U186" s="7">
        <v>11010001</v>
      </c>
      <c r="V186" s="7">
        <v>11020001</v>
      </c>
      <c r="X186" s="7" t="s">
        <v>139</v>
      </c>
      <c r="Y186" s="7" t="s">
        <v>558</v>
      </c>
      <c r="Z186" s="7">
        <v>1.5</v>
      </c>
      <c r="AA186" s="7">
        <v>80</v>
      </c>
      <c r="AB186" s="7">
        <v>80</v>
      </c>
      <c r="AC186" s="7">
        <v>20</v>
      </c>
      <c r="AD186" s="7">
        <v>30</v>
      </c>
      <c r="AE186" s="7" t="s">
        <v>141</v>
      </c>
      <c r="AF186" s="7"/>
      <c r="AG186" s="22"/>
      <c r="AI186" s="23">
        <v>280</v>
      </c>
      <c r="AJ186" s="7" t="s">
        <v>142</v>
      </c>
      <c r="AK186" s="24">
        <v>2400</v>
      </c>
      <c r="AL186" s="7" t="s">
        <v>143</v>
      </c>
      <c r="AM186" s="7">
        <v>25</v>
      </c>
      <c r="AN186" s="7" t="s">
        <v>144</v>
      </c>
      <c r="AO186" s="7">
        <v>36</v>
      </c>
      <c r="AP186" s="7" t="s">
        <v>145</v>
      </c>
      <c r="AQ186" s="7">
        <v>23</v>
      </c>
      <c r="AR186" s="7" t="s">
        <v>146</v>
      </c>
      <c r="AS186" s="7">
        <v>34</v>
      </c>
      <c r="AT186" s="7" t="s">
        <v>147</v>
      </c>
      <c r="AU186" s="7">
        <v>50</v>
      </c>
      <c r="AV186" s="7" t="s">
        <v>148</v>
      </c>
      <c r="AW186" s="7">
        <v>70</v>
      </c>
      <c r="AX186" s="7" t="s">
        <v>149</v>
      </c>
      <c r="AY186" s="7">
        <v>50</v>
      </c>
      <c r="AZ186" s="7" t="s">
        <v>150</v>
      </c>
      <c r="BA186" s="7">
        <v>70</v>
      </c>
      <c r="BB186" s="7" t="s">
        <v>151</v>
      </c>
      <c r="BC186" s="7">
        <v>0</v>
      </c>
      <c r="BD186" s="7" t="s">
        <v>152</v>
      </c>
      <c r="BE186" s="7">
        <v>0</v>
      </c>
      <c r="BF186" s="7" t="s">
        <v>153</v>
      </c>
      <c r="BG186" s="7">
        <v>100</v>
      </c>
      <c r="BH186" s="7" t="s">
        <v>154</v>
      </c>
      <c r="BI186" s="7">
        <v>10</v>
      </c>
      <c r="BJ186" s="7" t="s">
        <v>155</v>
      </c>
      <c r="BK186" s="7">
        <v>300</v>
      </c>
      <c r="BL186" s="20"/>
      <c r="BM186" s="20"/>
      <c r="BN186" s="20">
        <v>1</v>
      </c>
      <c r="BO186" s="20">
        <v>2500</v>
      </c>
      <c r="BP186" s="20">
        <v>2</v>
      </c>
      <c r="BQ186" s="20">
        <v>2500</v>
      </c>
      <c r="BR186" s="20" t="s">
        <v>156</v>
      </c>
    </row>
    <row r="187" s="7" customFormat="1" ht="16.5" spans="1:70">
      <c r="A187" s="7">
        <f>60000000+INDEX(编号表!$B:$B,MATCH(I187,编号表!$A:$A,0))*10000+INDEX(编号表!$B:$B,MATCH(J187,编号表!$C:$C,0))*1000+K187</f>
        <v>60221003</v>
      </c>
      <c r="B187" s="7" t="s">
        <v>586</v>
      </c>
      <c r="C187" s="7" t="s">
        <v>560</v>
      </c>
      <c r="D187" s="7" t="s">
        <v>587</v>
      </c>
      <c r="E187" s="7">
        <v>39</v>
      </c>
      <c r="F187" s="7" t="str" cm="1">
        <f t="array" ref="F187">INDEX(编号表!$E:$E,MATCH(J187,编号表!$C:$C,0))</f>
        <v>白色</v>
      </c>
      <c r="G187" s="7">
        <v>26</v>
      </c>
      <c r="H187" s="7" t="s">
        <v>581</v>
      </c>
      <c r="I187" s="7" t="s">
        <v>581</v>
      </c>
      <c r="J187" s="7" t="s">
        <v>137</v>
      </c>
      <c r="K187" s="7">
        <v>3</v>
      </c>
      <c r="L187" s="7">
        <f>COUNTIFS(I$11:I187,I187,J$11:J187,J187)-1</f>
        <v>3</v>
      </c>
      <c r="O187" s="7">
        <v>10</v>
      </c>
      <c r="P187" s="7">
        <v>150000</v>
      </c>
      <c r="Q187" s="7" t="s">
        <v>138</v>
      </c>
      <c r="R187" s="21">
        <v>40140005</v>
      </c>
      <c r="S187" s="7"/>
      <c r="T187" s="7"/>
      <c r="U187" s="7">
        <v>11010001</v>
      </c>
      <c r="V187" s="7">
        <v>11020001</v>
      </c>
      <c r="X187" s="7" t="s">
        <v>139</v>
      </c>
      <c r="Y187" s="7" t="s">
        <v>561</v>
      </c>
      <c r="Z187" s="7">
        <v>1.5</v>
      </c>
      <c r="AA187" s="7">
        <v>80</v>
      </c>
      <c r="AB187" s="7">
        <v>80</v>
      </c>
      <c r="AC187" s="7">
        <v>20</v>
      </c>
      <c r="AD187" s="7">
        <v>30</v>
      </c>
      <c r="AE187" s="7" t="s">
        <v>206</v>
      </c>
      <c r="AF187" s="7" t="s">
        <v>562</v>
      </c>
      <c r="AG187" s="22"/>
      <c r="AI187" s="23">
        <v>280</v>
      </c>
      <c r="AJ187" s="7" t="s">
        <v>142</v>
      </c>
      <c r="AK187" s="24">
        <v>1900</v>
      </c>
      <c r="AL187" s="7" t="s">
        <v>143</v>
      </c>
      <c r="AM187" s="7">
        <v>20</v>
      </c>
      <c r="AN187" s="7" t="s">
        <v>144</v>
      </c>
      <c r="AO187" s="7">
        <v>28</v>
      </c>
      <c r="AP187" s="7" t="s">
        <v>145</v>
      </c>
      <c r="AQ187" s="7">
        <v>18</v>
      </c>
      <c r="AR187" s="7" t="s">
        <v>146</v>
      </c>
      <c r="AS187" s="7">
        <v>27</v>
      </c>
      <c r="AT187" s="7" t="s">
        <v>147</v>
      </c>
      <c r="AU187" s="7">
        <v>55</v>
      </c>
      <c r="AV187" s="7" t="s">
        <v>148</v>
      </c>
      <c r="AW187" s="7">
        <v>70</v>
      </c>
      <c r="AX187" s="7" t="s">
        <v>149</v>
      </c>
      <c r="AY187" s="7">
        <v>55</v>
      </c>
      <c r="AZ187" s="7" t="s">
        <v>150</v>
      </c>
      <c r="BA187" s="7">
        <v>70</v>
      </c>
      <c r="BB187" s="7" t="s">
        <v>151</v>
      </c>
      <c r="BC187" s="7">
        <v>0</v>
      </c>
      <c r="BD187" s="7" t="s">
        <v>152</v>
      </c>
      <c r="BE187" s="7">
        <v>0</v>
      </c>
      <c r="BF187" s="7" t="s">
        <v>153</v>
      </c>
      <c r="BG187" s="7">
        <v>100</v>
      </c>
      <c r="BH187" s="7" t="s">
        <v>154</v>
      </c>
      <c r="BI187" s="7">
        <v>300</v>
      </c>
      <c r="BJ187" s="7" t="s">
        <v>155</v>
      </c>
      <c r="BK187" s="7">
        <v>300</v>
      </c>
      <c r="BL187" s="20"/>
      <c r="BM187" s="20"/>
      <c r="BN187" s="20">
        <v>1</v>
      </c>
      <c r="BO187" s="20">
        <v>2500</v>
      </c>
      <c r="BP187" s="20">
        <v>2</v>
      </c>
      <c r="BQ187" s="20">
        <v>2500</v>
      </c>
      <c r="BR187" s="20" t="s">
        <v>156</v>
      </c>
    </row>
    <row r="188" s="7" customFormat="1" ht="16.5" spans="1:70">
      <c r="A188" s="7">
        <f>60000000+INDEX(编号表!$B:$B,MATCH(I188,编号表!$A:$A,0))*10000+INDEX(编号表!$B:$B,MATCH(J188,编号表!$C:$C,0))*1000+K188</f>
        <v>60221004</v>
      </c>
      <c r="B188" s="7" t="s">
        <v>588</v>
      </c>
      <c r="C188" s="7" t="s">
        <v>574</v>
      </c>
      <c r="D188" s="7" t="s">
        <v>589</v>
      </c>
      <c r="E188" s="7">
        <v>39</v>
      </c>
      <c r="F188" s="7" t="str" cm="1">
        <f t="array" ref="F188">INDEX(编号表!$E:$E,MATCH(J188,编号表!$C:$C,0))</f>
        <v>白色</v>
      </c>
      <c r="G188" s="7">
        <v>26</v>
      </c>
      <c r="H188" s="7" t="s">
        <v>581</v>
      </c>
      <c r="I188" s="7" t="s">
        <v>581</v>
      </c>
      <c r="J188" s="7" t="s">
        <v>137</v>
      </c>
      <c r="K188" s="7">
        <v>4</v>
      </c>
      <c r="L188" s="7">
        <f>COUNTIFS(I$11:I188,I188,J$11:J188,J188)-1</f>
        <v>4</v>
      </c>
      <c r="O188" s="7">
        <v>10</v>
      </c>
      <c r="P188" s="7">
        <v>150000</v>
      </c>
      <c r="Q188" s="7" t="s">
        <v>138</v>
      </c>
      <c r="R188" s="21">
        <v>40140005</v>
      </c>
      <c r="S188" s="7"/>
      <c r="T188" s="7"/>
      <c r="U188" s="7">
        <v>11010001</v>
      </c>
      <c r="V188" s="7">
        <v>11020001</v>
      </c>
      <c r="X188" s="7" t="s">
        <v>139</v>
      </c>
      <c r="Y188" s="7" t="s">
        <v>575</v>
      </c>
      <c r="Z188" s="7">
        <v>1.5</v>
      </c>
      <c r="AA188" s="7">
        <v>80</v>
      </c>
      <c r="AB188" s="7">
        <v>80</v>
      </c>
      <c r="AC188" s="7">
        <v>20</v>
      </c>
      <c r="AD188" s="7">
        <v>30</v>
      </c>
      <c r="AE188" s="7" t="s">
        <v>141</v>
      </c>
      <c r="AF188" s="7"/>
      <c r="AG188" s="22"/>
      <c r="AI188" s="23">
        <v>280</v>
      </c>
      <c r="AJ188" s="7" t="s">
        <v>142</v>
      </c>
      <c r="AK188" s="24">
        <v>2100</v>
      </c>
      <c r="AL188" s="7" t="s">
        <v>143</v>
      </c>
      <c r="AM188" s="7">
        <v>22</v>
      </c>
      <c r="AN188" s="7" t="s">
        <v>144</v>
      </c>
      <c r="AO188" s="7">
        <v>31</v>
      </c>
      <c r="AP188" s="7" t="s">
        <v>145</v>
      </c>
      <c r="AQ188" s="7">
        <v>20</v>
      </c>
      <c r="AR188" s="7" t="s">
        <v>146</v>
      </c>
      <c r="AS188" s="7">
        <v>30</v>
      </c>
      <c r="AT188" s="7" t="s">
        <v>147</v>
      </c>
      <c r="AU188" s="7">
        <v>48</v>
      </c>
      <c r="AV188" s="7" t="s">
        <v>148</v>
      </c>
      <c r="AW188" s="7">
        <v>65</v>
      </c>
      <c r="AX188" s="7" t="s">
        <v>149</v>
      </c>
      <c r="AY188" s="7">
        <v>48</v>
      </c>
      <c r="AZ188" s="7" t="s">
        <v>150</v>
      </c>
      <c r="BA188" s="7">
        <v>65</v>
      </c>
      <c r="BB188" s="7" t="s">
        <v>151</v>
      </c>
      <c r="BC188" s="7">
        <v>0</v>
      </c>
      <c r="BD188" s="7" t="s">
        <v>152</v>
      </c>
      <c r="BE188" s="7">
        <v>0</v>
      </c>
      <c r="BF188" s="7" t="s">
        <v>153</v>
      </c>
      <c r="BG188" s="7">
        <v>100</v>
      </c>
      <c r="BH188" s="7" t="s">
        <v>154</v>
      </c>
      <c r="BI188" s="7">
        <v>10</v>
      </c>
      <c r="BJ188" s="7" t="s">
        <v>155</v>
      </c>
      <c r="BK188" s="7">
        <v>300</v>
      </c>
      <c r="BL188" s="20"/>
      <c r="BM188" s="20"/>
      <c r="BN188" s="20">
        <v>1</v>
      </c>
      <c r="BO188" s="20">
        <v>2500</v>
      </c>
      <c r="BP188" s="20">
        <v>2</v>
      </c>
      <c r="BQ188" s="20">
        <v>2500</v>
      </c>
      <c r="BR188" s="20" t="s">
        <v>156</v>
      </c>
    </row>
    <row r="189" s="7" customFormat="1" ht="16.5" spans="1:70">
      <c r="A189" s="7">
        <f>60000000+INDEX(编号表!$B:$B,MATCH(I189,编号表!$A:$A,0))*10000+INDEX(编号表!$B:$B,MATCH(J189,编号表!$C:$C,0))*1000+K189</f>
        <v>60222000</v>
      </c>
      <c r="B189" s="7" t="s">
        <v>590</v>
      </c>
      <c r="C189" s="7" t="s">
        <v>557</v>
      </c>
      <c r="D189" s="7" t="s">
        <v>591</v>
      </c>
      <c r="E189" s="7">
        <v>40</v>
      </c>
      <c r="F189" s="7" t="str" cm="1">
        <f t="array" ref="F189">INDEX(编号表!$E:$E,MATCH(J189,编号表!$C:$C,0))</f>
        <v>绿色</v>
      </c>
      <c r="G189" s="7">
        <v>26</v>
      </c>
      <c r="H189" s="7" t="s">
        <v>581</v>
      </c>
      <c r="I189" s="7" t="s">
        <v>581</v>
      </c>
      <c r="J189" s="7" t="s">
        <v>221</v>
      </c>
      <c r="K189" s="7">
        <v>0</v>
      </c>
      <c r="L189" s="7">
        <f>COUNTIFS(I$11:I189,I189,J$11:J189,J189)-1</f>
        <v>0</v>
      </c>
      <c r="O189" s="7">
        <v>10</v>
      </c>
      <c r="P189" s="7">
        <v>150000</v>
      </c>
      <c r="Q189" s="7" t="s">
        <v>138</v>
      </c>
      <c r="R189" s="21">
        <v>40140005</v>
      </c>
      <c r="S189" s="7"/>
      <c r="T189" s="7"/>
      <c r="U189" s="7">
        <v>11010001</v>
      </c>
      <c r="V189" s="7">
        <v>11020001</v>
      </c>
      <c r="X189" s="7" t="s">
        <v>139</v>
      </c>
      <c r="Y189" s="7" t="s">
        <v>558</v>
      </c>
      <c r="Z189" s="7">
        <v>1.5</v>
      </c>
      <c r="AA189" s="7">
        <v>80</v>
      </c>
      <c r="AB189" s="7">
        <v>80</v>
      </c>
      <c r="AC189" s="7">
        <v>20</v>
      </c>
      <c r="AD189" s="7">
        <v>30</v>
      </c>
      <c r="AE189" s="7" t="s">
        <v>141</v>
      </c>
      <c r="AF189" s="7"/>
      <c r="AG189" s="22" t="s">
        <v>222</v>
      </c>
      <c r="AI189" s="23">
        <v>1160</v>
      </c>
      <c r="AJ189" s="7" t="s">
        <v>142</v>
      </c>
      <c r="AK189" s="24">
        <v>13800</v>
      </c>
      <c r="AL189" s="7" t="s">
        <v>143</v>
      </c>
      <c r="AM189" s="7">
        <v>39</v>
      </c>
      <c r="AN189" s="7" t="s">
        <v>144</v>
      </c>
      <c r="AO189" s="7">
        <v>55</v>
      </c>
      <c r="AP189" s="7" t="s">
        <v>145</v>
      </c>
      <c r="AQ189" s="7">
        <v>36</v>
      </c>
      <c r="AR189" s="7" t="s">
        <v>146</v>
      </c>
      <c r="AS189" s="7">
        <v>55</v>
      </c>
      <c r="AT189" s="7" t="s">
        <v>147</v>
      </c>
      <c r="AU189" s="7">
        <v>100</v>
      </c>
      <c r="AV189" s="7" t="s">
        <v>148</v>
      </c>
      <c r="AW189" s="7">
        <v>140</v>
      </c>
      <c r="AX189" s="7" t="s">
        <v>149</v>
      </c>
      <c r="AY189" s="7">
        <v>100</v>
      </c>
      <c r="AZ189" s="7" t="s">
        <v>150</v>
      </c>
      <c r="BA189" s="7">
        <v>140</v>
      </c>
      <c r="BB189" s="7" t="s">
        <v>151</v>
      </c>
      <c r="BC189" s="7">
        <v>0</v>
      </c>
      <c r="BD189" s="7" t="s">
        <v>152</v>
      </c>
      <c r="BE189" s="7">
        <v>0</v>
      </c>
      <c r="BF189" s="7" t="s">
        <v>153</v>
      </c>
      <c r="BG189" s="7">
        <v>100</v>
      </c>
      <c r="BH189" s="7" t="s">
        <v>154</v>
      </c>
      <c r="BI189" s="7">
        <v>10</v>
      </c>
      <c r="BJ189" s="7" t="s">
        <v>155</v>
      </c>
      <c r="BK189" s="7">
        <v>300</v>
      </c>
      <c r="BL189" s="20"/>
      <c r="BM189" s="20"/>
      <c r="BN189" s="20">
        <v>1</v>
      </c>
      <c r="BO189" s="20">
        <v>2500</v>
      </c>
      <c r="BP189" s="20">
        <v>2</v>
      </c>
      <c r="BQ189" s="20">
        <v>2500</v>
      </c>
      <c r="BR189" s="20" t="s">
        <v>156</v>
      </c>
    </row>
    <row r="190" s="15" customFormat="1" ht="16.5" spans="1:70">
      <c r="A190" s="15">
        <f>60000000+INDEX(编号表!$B:$B,MATCH(I190,编号表!$A:$A,0))*10000+INDEX(编号表!$B:$B,MATCH(J190,编号表!$C:$C,0))*1000+K190</f>
        <v>60224000</v>
      </c>
      <c r="B190" s="15" t="s">
        <v>592</v>
      </c>
      <c r="C190" s="15" t="s">
        <v>557</v>
      </c>
      <c r="D190" s="15" t="s">
        <v>591</v>
      </c>
      <c r="E190" s="15">
        <v>40</v>
      </c>
      <c r="F190" s="15" t="str" cm="1">
        <f t="array" ref="F190">INDEX(编号表!$E:$E,MATCH(J190,编号表!$C:$C,0))</f>
        <v>橙色</v>
      </c>
      <c r="G190" s="15">
        <v>26</v>
      </c>
      <c r="H190" s="15" t="s">
        <v>581</v>
      </c>
      <c r="I190" s="15" t="s">
        <v>581</v>
      </c>
      <c r="J190" s="15" t="s">
        <v>233</v>
      </c>
      <c r="K190" s="15">
        <v>0</v>
      </c>
      <c r="L190" s="15">
        <f>COUNTIFS(I$11:I190,I190,J$11:J190,J190)-1</f>
        <v>0</v>
      </c>
      <c r="O190" s="7">
        <v>10</v>
      </c>
      <c r="P190" s="7">
        <v>150000</v>
      </c>
      <c r="Q190" s="15" t="s">
        <v>138</v>
      </c>
      <c r="R190" s="21">
        <v>40140005</v>
      </c>
      <c r="S190" s="15"/>
      <c r="T190" s="15"/>
      <c r="U190" s="15">
        <v>11010001</v>
      </c>
      <c r="V190" s="15">
        <v>11020001</v>
      </c>
      <c r="X190" s="15" t="s">
        <v>139</v>
      </c>
      <c r="Y190" s="15" t="s">
        <v>558</v>
      </c>
      <c r="Z190" s="7">
        <v>1.5</v>
      </c>
      <c r="AA190" s="7">
        <v>80</v>
      </c>
      <c r="AB190" s="7">
        <v>80</v>
      </c>
      <c r="AC190" s="7">
        <v>20</v>
      </c>
      <c r="AD190" s="7">
        <v>30</v>
      </c>
      <c r="AE190" s="15" t="s">
        <v>141</v>
      </c>
      <c r="AF190" s="15"/>
      <c r="AG190" s="22" t="s">
        <v>234</v>
      </c>
      <c r="AH190" s="15"/>
      <c r="AI190" s="23">
        <v>5850</v>
      </c>
      <c r="AJ190" s="15" t="s">
        <v>142</v>
      </c>
      <c r="AK190" s="24">
        <v>87500</v>
      </c>
      <c r="AL190" s="15" t="s">
        <v>143</v>
      </c>
      <c r="AM190" s="15">
        <v>55</v>
      </c>
      <c r="AN190" s="15" t="s">
        <v>144</v>
      </c>
      <c r="AO190" s="15">
        <v>80</v>
      </c>
      <c r="AP190" s="15" t="s">
        <v>145</v>
      </c>
      <c r="AQ190" s="15">
        <v>50</v>
      </c>
      <c r="AR190" s="15" t="s">
        <v>146</v>
      </c>
      <c r="AS190" s="15">
        <v>75</v>
      </c>
      <c r="AT190" s="15" t="s">
        <v>147</v>
      </c>
      <c r="AU190" s="15">
        <v>160</v>
      </c>
      <c r="AV190" s="15" t="s">
        <v>148</v>
      </c>
      <c r="AW190" s="15">
        <v>220</v>
      </c>
      <c r="AX190" s="15" t="s">
        <v>149</v>
      </c>
      <c r="AY190" s="15">
        <v>160</v>
      </c>
      <c r="AZ190" s="15" t="s">
        <v>150</v>
      </c>
      <c r="BA190" s="15">
        <v>220</v>
      </c>
      <c r="BB190" s="15" t="s">
        <v>151</v>
      </c>
      <c r="BC190" s="15">
        <v>0</v>
      </c>
      <c r="BD190" s="15" t="s">
        <v>152</v>
      </c>
      <c r="BE190" s="15">
        <v>0</v>
      </c>
      <c r="BF190" s="15" t="s">
        <v>153</v>
      </c>
      <c r="BG190" s="15">
        <v>100</v>
      </c>
      <c r="BH190" s="15" t="s">
        <v>154</v>
      </c>
      <c r="BI190" s="15">
        <v>10</v>
      </c>
      <c r="BJ190" s="15" t="s">
        <v>155</v>
      </c>
      <c r="BK190" s="7">
        <v>300</v>
      </c>
      <c r="BL190" s="25"/>
      <c r="BM190" s="25"/>
      <c r="BN190" s="20">
        <v>1</v>
      </c>
      <c r="BO190" s="20">
        <v>2500</v>
      </c>
      <c r="BP190" s="20">
        <v>2</v>
      </c>
      <c r="BQ190" s="20">
        <v>2500</v>
      </c>
      <c r="BR190" s="25" t="s">
        <v>156</v>
      </c>
    </row>
    <row r="191" s="7" customFormat="1" ht="16.5" spans="1:70">
      <c r="A191" s="7">
        <f>60000000+INDEX(编号表!$B:$B,MATCH(I191,编号表!$A:$A,0))*10000+INDEX(编号表!$B:$B,MATCH(J191,编号表!$C:$C,0))*1000+K191</f>
        <v>60231000</v>
      </c>
      <c r="B191" s="7" t="s">
        <v>593</v>
      </c>
      <c r="C191" s="7" t="s">
        <v>464</v>
      </c>
      <c r="D191" s="7" t="s">
        <v>594</v>
      </c>
      <c r="E191" s="7">
        <v>40</v>
      </c>
      <c r="F191" s="7" t="str" cm="1">
        <f t="array" ref="F191">INDEX(编号表!$E:$E,MATCH(J191,编号表!$C:$C,0))</f>
        <v>白色</v>
      </c>
      <c r="G191" s="7">
        <v>27</v>
      </c>
      <c r="H191" s="7" t="s">
        <v>595</v>
      </c>
      <c r="I191" s="7" t="s">
        <v>595</v>
      </c>
      <c r="J191" s="7" t="s">
        <v>137</v>
      </c>
      <c r="K191" s="7">
        <v>0</v>
      </c>
      <c r="L191" s="7">
        <f>COUNTIFS(I$11:I191,I191,J$11:J191,J191)-1</f>
        <v>0</v>
      </c>
      <c r="O191" s="7">
        <v>10</v>
      </c>
      <c r="P191" s="7">
        <v>150000</v>
      </c>
      <c r="Q191" s="7" t="s">
        <v>138</v>
      </c>
      <c r="R191" s="21">
        <v>40140005</v>
      </c>
      <c r="S191" s="7"/>
      <c r="T191" s="7"/>
      <c r="U191" s="7">
        <v>11010001</v>
      </c>
      <c r="V191" s="7">
        <v>11020001</v>
      </c>
      <c r="X191" s="7" t="s">
        <v>139</v>
      </c>
      <c r="Y191" s="7" t="s">
        <v>465</v>
      </c>
      <c r="Z191" s="7"/>
      <c r="AA191" s="7">
        <v>80</v>
      </c>
      <c r="AB191" s="7">
        <v>80</v>
      </c>
      <c r="AC191" s="7">
        <v>20</v>
      </c>
      <c r="AD191" s="7">
        <v>30</v>
      </c>
      <c r="AE191" s="7" t="s">
        <v>141</v>
      </c>
      <c r="AF191" s="7"/>
      <c r="AG191" s="22"/>
      <c r="AI191" s="23">
        <v>295</v>
      </c>
      <c r="AJ191" s="7" t="s">
        <v>142</v>
      </c>
      <c r="AK191" s="24">
        <v>1650</v>
      </c>
      <c r="AL191" s="7" t="s">
        <v>143</v>
      </c>
      <c r="AM191" s="7">
        <v>17</v>
      </c>
      <c r="AN191" s="7" t="s">
        <v>144</v>
      </c>
      <c r="AO191" s="7">
        <v>24</v>
      </c>
      <c r="AP191" s="7" t="s">
        <v>145</v>
      </c>
      <c r="AQ191" s="7">
        <v>16</v>
      </c>
      <c r="AR191" s="7" t="s">
        <v>146</v>
      </c>
      <c r="AS191" s="7">
        <v>23</v>
      </c>
      <c r="AT191" s="7" t="s">
        <v>147</v>
      </c>
      <c r="AU191" s="7">
        <v>50</v>
      </c>
      <c r="AV191" s="7" t="s">
        <v>148</v>
      </c>
      <c r="AW191" s="7">
        <v>70</v>
      </c>
      <c r="AX191" s="7" t="s">
        <v>149</v>
      </c>
      <c r="AY191" s="7">
        <v>50</v>
      </c>
      <c r="AZ191" s="7" t="s">
        <v>150</v>
      </c>
      <c r="BA191" s="7">
        <v>70</v>
      </c>
      <c r="BB191" s="7" t="s">
        <v>151</v>
      </c>
      <c r="BC191" s="7">
        <v>0</v>
      </c>
      <c r="BD191" s="7" t="s">
        <v>152</v>
      </c>
      <c r="BE191" s="7">
        <v>0</v>
      </c>
      <c r="BF191" s="7" t="s">
        <v>153</v>
      </c>
      <c r="BG191" s="7">
        <v>100</v>
      </c>
      <c r="BH191" s="7" t="s">
        <v>154</v>
      </c>
      <c r="BI191" s="7">
        <v>10</v>
      </c>
      <c r="BJ191" s="7" t="s">
        <v>155</v>
      </c>
      <c r="BK191" s="7">
        <v>300</v>
      </c>
      <c r="BL191" s="20">
        <v>0.05</v>
      </c>
      <c r="BM191" s="20"/>
      <c r="BN191" s="20">
        <v>1</v>
      </c>
      <c r="BO191" s="20">
        <v>2500</v>
      </c>
      <c r="BP191" s="20">
        <v>2</v>
      </c>
      <c r="BQ191" s="20">
        <v>2500</v>
      </c>
      <c r="BR191" s="20" t="s">
        <v>156</v>
      </c>
    </row>
    <row r="192" s="7" customFormat="1" ht="16.5" spans="1:70">
      <c r="A192" s="7">
        <f>60000000+INDEX(编号表!$B:$B,MATCH(I192,编号表!$A:$A,0))*10000+INDEX(编号表!$B:$B,MATCH(J192,编号表!$C:$C,0))*1000+K192</f>
        <v>60231001</v>
      </c>
      <c r="B192" s="7" t="s">
        <v>596</v>
      </c>
      <c r="C192" s="7" t="s">
        <v>488</v>
      </c>
      <c r="D192" s="7" t="s">
        <v>597</v>
      </c>
      <c r="E192" s="7">
        <v>40</v>
      </c>
      <c r="F192" s="7" t="str" cm="1">
        <f t="array" ref="F192">INDEX(编号表!$E:$E,MATCH(J192,编号表!$C:$C,0))</f>
        <v>白色</v>
      </c>
      <c r="G192" s="7">
        <v>27</v>
      </c>
      <c r="H192" s="7" t="s">
        <v>595</v>
      </c>
      <c r="I192" s="7" t="s">
        <v>595</v>
      </c>
      <c r="J192" s="7" t="s">
        <v>137</v>
      </c>
      <c r="K192" s="7">
        <v>1</v>
      </c>
      <c r="L192" s="7">
        <f>COUNTIFS(I$11:I192,I192,J$11:J192,J192)-1</f>
        <v>1</v>
      </c>
      <c r="O192" s="7">
        <v>10</v>
      </c>
      <c r="P192" s="7">
        <v>150000</v>
      </c>
      <c r="Q192" s="7" t="s">
        <v>138</v>
      </c>
      <c r="R192" s="21">
        <v>40140005</v>
      </c>
      <c r="S192" s="7"/>
      <c r="T192" s="7"/>
      <c r="U192" s="7">
        <v>11010001</v>
      </c>
      <c r="V192" s="7">
        <v>11020001</v>
      </c>
      <c r="X192" s="7" t="s">
        <v>139</v>
      </c>
      <c r="Y192" s="7" t="s">
        <v>489</v>
      </c>
      <c r="Z192" s="7"/>
      <c r="AA192" s="7">
        <v>80</v>
      </c>
      <c r="AB192" s="7">
        <v>80</v>
      </c>
      <c r="AC192" s="7">
        <v>20</v>
      </c>
      <c r="AD192" s="7">
        <v>30</v>
      </c>
      <c r="AE192" s="7" t="s">
        <v>141</v>
      </c>
      <c r="AF192" s="7"/>
      <c r="AG192" s="22"/>
      <c r="AI192" s="23">
        <v>295</v>
      </c>
      <c r="AJ192" s="7" t="s">
        <v>142</v>
      </c>
      <c r="AK192" s="24">
        <v>1650</v>
      </c>
      <c r="AL192" s="7" t="s">
        <v>143</v>
      </c>
      <c r="AM192" s="7">
        <v>17</v>
      </c>
      <c r="AN192" s="7" t="s">
        <v>144</v>
      </c>
      <c r="AO192" s="7">
        <v>24</v>
      </c>
      <c r="AP192" s="7" t="s">
        <v>145</v>
      </c>
      <c r="AQ192" s="7">
        <v>16</v>
      </c>
      <c r="AR192" s="7" t="s">
        <v>146</v>
      </c>
      <c r="AS192" s="7">
        <v>23</v>
      </c>
      <c r="AT192" s="7" t="s">
        <v>147</v>
      </c>
      <c r="AU192" s="7">
        <v>50</v>
      </c>
      <c r="AV192" s="7" t="s">
        <v>148</v>
      </c>
      <c r="AW192" s="7">
        <v>70</v>
      </c>
      <c r="AX192" s="7" t="s">
        <v>149</v>
      </c>
      <c r="AY192" s="7">
        <v>50</v>
      </c>
      <c r="AZ192" s="7" t="s">
        <v>150</v>
      </c>
      <c r="BA192" s="7">
        <v>70</v>
      </c>
      <c r="BB192" s="7" t="s">
        <v>151</v>
      </c>
      <c r="BC192" s="7">
        <v>0</v>
      </c>
      <c r="BD192" s="7" t="s">
        <v>152</v>
      </c>
      <c r="BE192" s="7">
        <v>0</v>
      </c>
      <c r="BF192" s="7" t="s">
        <v>153</v>
      </c>
      <c r="BG192" s="7">
        <v>100</v>
      </c>
      <c r="BH192" s="7" t="s">
        <v>154</v>
      </c>
      <c r="BI192" s="7">
        <v>10</v>
      </c>
      <c r="BJ192" s="7" t="s">
        <v>155</v>
      </c>
      <c r="BK192" s="7">
        <v>300</v>
      </c>
      <c r="BL192" s="20"/>
      <c r="BM192" s="20"/>
      <c r="BN192" s="20">
        <v>1</v>
      </c>
      <c r="BO192" s="20">
        <v>2500</v>
      </c>
      <c r="BP192" s="20">
        <v>2</v>
      </c>
      <c r="BQ192" s="20">
        <v>2500</v>
      </c>
      <c r="BR192" s="20" t="s">
        <v>156</v>
      </c>
    </row>
    <row r="193" s="7" customFormat="1" ht="16.5" spans="1:70">
      <c r="A193" s="7">
        <f>60000000+INDEX(编号表!$B:$B,MATCH(I193,编号表!$A:$A,0))*10000+INDEX(编号表!$B:$B,MATCH(J193,编号表!$C:$C,0))*1000+K193</f>
        <v>60231002</v>
      </c>
      <c r="B193" s="7" t="s">
        <v>598</v>
      </c>
      <c r="C193" s="7" t="s">
        <v>560</v>
      </c>
      <c r="D193" s="7" t="s">
        <v>599</v>
      </c>
      <c r="E193" s="7">
        <v>40</v>
      </c>
      <c r="F193" s="7" t="str" cm="1">
        <f t="array" ref="F193">INDEX(编号表!$E:$E,MATCH(J193,编号表!$C:$C,0))</f>
        <v>白色</v>
      </c>
      <c r="G193" s="7">
        <v>27</v>
      </c>
      <c r="H193" s="7" t="s">
        <v>595</v>
      </c>
      <c r="I193" s="7" t="s">
        <v>595</v>
      </c>
      <c r="J193" s="7" t="s">
        <v>137</v>
      </c>
      <c r="K193" s="7">
        <v>2</v>
      </c>
      <c r="L193" s="7">
        <f>COUNTIFS(I$11:I193,I193,J$11:J193,J193)-1</f>
        <v>2</v>
      </c>
      <c r="O193" s="7">
        <v>10</v>
      </c>
      <c r="P193" s="7">
        <v>150000</v>
      </c>
      <c r="Q193" s="7" t="s">
        <v>138</v>
      </c>
      <c r="R193" s="21">
        <v>40140005</v>
      </c>
      <c r="S193" s="7"/>
      <c r="T193" s="7"/>
      <c r="U193" s="7">
        <v>11010001</v>
      </c>
      <c r="V193" s="7">
        <v>11020001</v>
      </c>
      <c r="X193" s="7" t="s">
        <v>139</v>
      </c>
      <c r="Y193" s="7" t="s">
        <v>561</v>
      </c>
      <c r="Z193" s="7">
        <v>1.5</v>
      </c>
      <c r="AA193" s="7">
        <v>80</v>
      </c>
      <c r="AB193" s="7">
        <v>80</v>
      </c>
      <c r="AC193" s="7">
        <v>20</v>
      </c>
      <c r="AD193" s="7">
        <v>30</v>
      </c>
      <c r="AE193" s="7" t="s">
        <v>206</v>
      </c>
      <c r="AF193" s="7" t="s">
        <v>562</v>
      </c>
      <c r="AG193" s="22"/>
      <c r="AI193" s="23">
        <v>295</v>
      </c>
      <c r="AJ193" s="7" t="s">
        <v>142</v>
      </c>
      <c r="AK193" s="24">
        <v>2050</v>
      </c>
      <c r="AL193" s="7" t="s">
        <v>143</v>
      </c>
      <c r="AM193" s="7">
        <v>21</v>
      </c>
      <c r="AN193" s="7" t="s">
        <v>144</v>
      </c>
      <c r="AO193" s="7">
        <v>29</v>
      </c>
      <c r="AP193" s="7" t="s">
        <v>145</v>
      </c>
      <c r="AQ193" s="7">
        <v>19</v>
      </c>
      <c r="AR193" s="7" t="s">
        <v>146</v>
      </c>
      <c r="AS193" s="7">
        <v>28</v>
      </c>
      <c r="AT193" s="7" t="s">
        <v>147</v>
      </c>
      <c r="AU193" s="7">
        <v>55</v>
      </c>
      <c r="AV193" s="7" t="s">
        <v>148</v>
      </c>
      <c r="AW193" s="7">
        <v>75</v>
      </c>
      <c r="AX193" s="7" t="s">
        <v>149</v>
      </c>
      <c r="AY193" s="7">
        <v>55</v>
      </c>
      <c r="AZ193" s="7" t="s">
        <v>150</v>
      </c>
      <c r="BA193" s="7">
        <v>75</v>
      </c>
      <c r="BB193" s="7" t="s">
        <v>151</v>
      </c>
      <c r="BC193" s="7">
        <v>0</v>
      </c>
      <c r="BD193" s="7" t="s">
        <v>152</v>
      </c>
      <c r="BE193" s="7">
        <v>0</v>
      </c>
      <c r="BF193" s="7" t="s">
        <v>153</v>
      </c>
      <c r="BG193" s="7">
        <v>100</v>
      </c>
      <c r="BH193" s="7" t="s">
        <v>154</v>
      </c>
      <c r="BI193" s="7">
        <v>300</v>
      </c>
      <c r="BJ193" s="7" t="s">
        <v>155</v>
      </c>
      <c r="BK193" s="7">
        <v>300</v>
      </c>
      <c r="BL193" s="20"/>
      <c r="BM193" s="20"/>
      <c r="BN193" s="20">
        <v>1</v>
      </c>
      <c r="BO193" s="20">
        <v>2500</v>
      </c>
      <c r="BP193" s="20">
        <v>2</v>
      </c>
      <c r="BQ193" s="20">
        <v>2500</v>
      </c>
      <c r="BR193" s="20" t="s">
        <v>156</v>
      </c>
    </row>
    <row r="194" s="7" customFormat="1" ht="16.5" spans="1:70">
      <c r="A194" s="7">
        <f>60000000+INDEX(编号表!$B:$B,MATCH(I194,编号表!$A:$A,0))*10000+INDEX(编号表!$B:$B,MATCH(J194,编号表!$C:$C,0))*1000+K194</f>
        <v>60231003</v>
      </c>
      <c r="B194" s="7" t="s">
        <v>600</v>
      </c>
      <c r="C194" s="7" t="s">
        <v>509</v>
      </c>
      <c r="D194" s="7" t="s">
        <v>601</v>
      </c>
      <c r="E194" s="7">
        <v>40</v>
      </c>
      <c r="F194" s="7" t="str" cm="1">
        <f t="array" ref="F194">INDEX(编号表!$E:$E,MATCH(J194,编号表!$C:$C,0))</f>
        <v>白色</v>
      </c>
      <c r="G194" s="7">
        <v>27</v>
      </c>
      <c r="H194" s="7" t="s">
        <v>595</v>
      </c>
      <c r="I194" s="7" t="s">
        <v>595</v>
      </c>
      <c r="J194" s="7" t="s">
        <v>137</v>
      </c>
      <c r="K194" s="7">
        <v>3</v>
      </c>
      <c r="L194" s="7">
        <f>COUNTIFS(I$11:I194,I194,J$11:J194,J194)-1</f>
        <v>3</v>
      </c>
      <c r="O194" s="7">
        <v>10</v>
      </c>
      <c r="P194" s="7">
        <v>150000</v>
      </c>
      <c r="Q194" s="7" t="s">
        <v>138</v>
      </c>
      <c r="R194" s="21">
        <v>40140005</v>
      </c>
      <c r="S194" s="7"/>
      <c r="T194" s="7"/>
      <c r="U194" s="7">
        <v>11010001</v>
      </c>
      <c r="V194" s="7">
        <v>11020001</v>
      </c>
      <c r="X194" s="7" t="s">
        <v>139</v>
      </c>
      <c r="Y194" s="7" t="s">
        <v>510</v>
      </c>
      <c r="Z194" s="7"/>
      <c r="AA194" s="7">
        <v>80</v>
      </c>
      <c r="AB194" s="7">
        <v>80</v>
      </c>
      <c r="AC194" s="7">
        <v>20</v>
      </c>
      <c r="AD194" s="7">
        <v>30</v>
      </c>
      <c r="AE194" s="7" t="s">
        <v>141</v>
      </c>
      <c r="AF194" s="7"/>
      <c r="AG194" s="22"/>
      <c r="AI194" s="23">
        <v>295</v>
      </c>
      <c r="AJ194" s="7" t="s">
        <v>142</v>
      </c>
      <c r="AK194" s="24">
        <v>1650</v>
      </c>
      <c r="AL194" s="7" t="s">
        <v>143</v>
      </c>
      <c r="AM194" s="7">
        <v>17</v>
      </c>
      <c r="AN194" s="7" t="s">
        <v>144</v>
      </c>
      <c r="AO194" s="7">
        <v>24</v>
      </c>
      <c r="AP194" s="7" t="s">
        <v>145</v>
      </c>
      <c r="AQ194" s="7">
        <v>16</v>
      </c>
      <c r="AR194" s="7" t="s">
        <v>146</v>
      </c>
      <c r="AS194" s="7">
        <v>23</v>
      </c>
      <c r="AT194" s="7" t="s">
        <v>147</v>
      </c>
      <c r="AU194" s="7">
        <v>50</v>
      </c>
      <c r="AV194" s="7" t="s">
        <v>148</v>
      </c>
      <c r="AW194" s="7">
        <v>70</v>
      </c>
      <c r="AX194" s="7" t="s">
        <v>149</v>
      </c>
      <c r="AY194" s="7">
        <v>50</v>
      </c>
      <c r="AZ194" s="7" t="s">
        <v>150</v>
      </c>
      <c r="BA194" s="7">
        <v>70</v>
      </c>
      <c r="BB194" s="7" t="s">
        <v>151</v>
      </c>
      <c r="BC194" s="7">
        <v>0</v>
      </c>
      <c r="BD194" s="7" t="s">
        <v>152</v>
      </c>
      <c r="BE194" s="7">
        <v>0</v>
      </c>
      <c r="BF194" s="7" t="s">
        <v>153</v>
      </c>
      <c r="BG194" s="7">
        <v>100</v>
      </c>
      <c r="BH194" s="7" t="s">
        <v>154</v>
      </c>
      <c r="BI194" s="7">
        <v>10</v>
      </c>
      <c r="BJ194" s="7" t="s">
        <v>155</v>
      </c>
      <c r="BK194" s="7">
        <v>300</v>
      </c>
      <c r="BL194" s="20">
        <v>0.05</v>
      </c>
      <c r="BM194" s="20"/>
      <c r="BN194" s="20">
        <v>1</v>
      </c>
      <c r="BO194" s="20">
        <v>2500</v>
      </c>
      <c r="BP194" s="20">
        <v>2</v>
      </c>
      <c r="BQ194" s="20">
        <v>2500</v>
      </c>
      <c r="BR194" s="20" t="s">
        <v>156</v>
      </c>
    </row>
    <row r="195" s="7" customFormat="1" ht="16.5" spans="1:70">
      <c r="A195" s="7">
        <f>60000000+INDEX(编号表!$B:$B,MATCH(I195,编号表!$A:$A,0))*10000+INDEX(编号表!$B:$B,MATCH(J195,编号表!$C:$C,0))*1000+K195</f>
        <v>60232000</v>
      </c>
      <c r="B195" s="7" t="s">
        <v>602</v>
      </c>
      <c r="C195" s="7" t="s">
        <v>560</v>
      </c>
      <c r="D195" s="7" t="s">
        <v>603</v>
      </c>
      <c r="E195" s="7">
        <v>41</v>
      </c>
      <c r="F195" s="7" t="str" cm="1">
        <f t="array" ref="F195">INDEX(编号表!$E:$E,MATCH(J195,编号表!$C:$C,0))</f>
        <v>绿色</v>
      </c>
      <c r="G195" s="7">
        <v>27</v>
      </c>
      <c r="H195" s="7" t="s">
        <v>595</v>
      </c>
      <c r="I195" s="7" t="s">
        <v>595</v>
      </c>
      <c r="J195" s="7" t="s">
        <v>221</v>
      </c>
      <c r="K195" s="7">
        <v>0</v>
      </c>
      <c r="L195" s="7">
        <f>COUNTIFS(I$11:I195,I195,J$11:J195,J195)-1</f>
        <v>0</v>
      </c>
      <c r="O195" s="7">
        <v>10</v>
      </c>
      <c r="P195" s="7">
        <v>150000</v>
      </c>
      <c r="Q195" s="7" t="s">
        <v>138</v>
      </c>
      <c r="R195" s="21">
        <v>40140006</v>
      </c>
      <c r="S195" s="7"/>
      <c r="T195" s="7"/>
      <c r="U195" s="7">
        <v>11010001</v>
      </c>
      <c r="V195" s="7">
        <v>11020001</v>
      </c>
      <c r="X195" s="7" t="s">
        <v>139</v>
      </c>
      <c r="Y195" s="7" t="s">
        <v>561</v>
      </c>
      <c r="Z195" s="7">
        <v>1.5</v>
      </c>
      <c r="AA195" s="7">
        <v>80</v>
      </c>
      <c r="AB195" s="7">
        <v>80</v>
      </c>
      <c r="AC195" s="7">
        <v>20</v>
      </c>
      <c r="AD195" s="7">
        <v>30</v>
      </c>
      <c r="AE195" s="7" t="s">
        <v>206</v>
      </c>
      <c r="AF195" s="7" t="s">
        <v>562</v>
      </c>
      <c r="AG195" s="22" t="s">
        <v>222</v>
      </c>
      <c r="AI195" s="23">
        <v>1240</v>
      </c>
      <c r="AJ195" s="7" t="s">
        <v>142</v>
      </c>
      <c r="AK195" s="24">
        <v>11800</v>
      </c>
      <c r="AL195" s="7" t="s">
        <v>143</v>
      </c>
      <c r="AM195" s="7">
        <v>32</v>
      </c>
      <c r="AN195" s="7" t="s">
        <v>144</v>
      </c>
      <c r="AO195" s="7">
        <v>46</v>
      </c>
      <c r="AP195" s="7" t="s">
        <v>145</v>
      </c>
      <c r="AQ195" s="7">
        <v>30</v>
      </c>
      <c r="AR195" s="7" t="s">
        <v>146</v>
      </c>
      <c r="AS195" s="7">
        <v>44</v>
      </c>
      <c r="AT195" s="7" t="s">
        <v>147</v>
      </c>
      <c r="AU195" s="7">
        <v>115</v>
      </c>
      <c r="AV195" s="7" t="s">
        <v>148</v>
      </c>
      <c r="AW195" s="7">
        <v>155</v>
      </c>
      <c r="AX195" s="7" t="s">
        <v>149</v>
      </c>
      <c r="AY195" s="7">
        <v>115</v>
      </c>
      <c r="AZ195" s="7" t="s">
        <v>150</v>
      </c>
      <c r="BA195" s="7">
        <v>155</v>
      </c>
      <c r="BB195" s="7" t="s">
        <v>151</v>
      </c>
      <c r="BC195" s="7">
        <v>0</v>
      </c>
      <c r="BD195" s="7" t="s">
        <v>152</v>
      </c>
      <c r="BE195" s="7">
        <v>0</v>
      </c>
      <c r="BF195" s="7" t="s">
        <v>153</v>
      </c>
      <c r="BG195" s="7">
        <v>100</v>
      </c>
      <c r="BH195" s="7" t="s">
        <v>154</v>
      </c>
      <c r="BI195" s="7">
        <v>300</v>
      </c>
      <c r="BJ195" s="7" t="s">
        <v>155</v>
      </c>
      <c r="BK195" s="7">
        <v>300</v>
      </c>
      <c r="BL195" s="20"/>
      <c r="BM195" s="20"/>
      <c r="BN195" s="20">
        <v>1</v>
      </c>
      <c r="BO195" s="20">
        <v>2500</v>
      </c>
      <c r="BP195" s="20">
        <v>2</v>
      </c>
      <c r="BQ195" s="20">
        <v>2500</v>
      </c>
      <c r="BR195" s="20" t="s">
        <v>156</v>
      </c>
    </row>
    <row r="196" s="7" customFormat="1" ht="16.5" spans="1:70">
      <c r="A196" s="7">
        <f>60000000+INDEX(编号表!$B:$B,MATCH(I196,编号表!$A:$A,0))*10000+INDEX(编号表!$B:$B,MATCH(J196,编号表!$C:$C,0))*1000+K196</f>
        <v>60234000</v>
      </c>
      <c r="B196" s="7" t="s">
        <v>604</v>
      </c>
      <c r="C196" s="7" t="s">
        <v>605</v>
      </c>
      <c r="D196" s="7" t="s">
        <v>605</v>
      </c>
      <c r="E196" s="7">
        <v>42</v>
      </c>
      <c r="F196" s="7" t="str" cm="1">
        <f t="array" ref="F196">INDEX(编号表!$E:$E,MATCH(J196,编号表!$C:$C,0))</f>
        <v>橙色</v>
      </c>
      <c r="G196" s="7">
        <v>27</v>
      </c>
      <c r="H196" s="7" t="s">
        <v>595</v>
      </c>
      <c r="I196" s="7" t="s">
        <v>595</v>
      </c>
      <c r="J196" s="7" t="s">
        <v>233</v>
      </c>
      <c r="K196" s="7">
        <v>0</v>
      </c>
      <c r="L196" s="7">
        <f>COUNTIFS(I$11:I196,I196,J$11:J196,J196)-1</f>
        <v>0</v>
      </c>
      <c r="O196" s="7">
        <v>10</v>
      </c>
      <c r="P196" s="7">
        <v>150000</v>
      </c>
      <c r="Q196" s="7" t="s">
        <v>138</v>
      </c>
      <c r="R196" s="21">
        <v>40140006</v>
      </c>
      <c r="S196" s="7"/>
      <c r="T196" s="7"/>
      <c r="U196" s="7">
        <v>11010001</v>
      </c>
      <c r="V196" s="7">
        <v>11020001</v>
      </c>
      <c r="X196" s="7" t="s">
        <v>139</v>
      </c>
      <c r="Y196" s="7" t="s">
        <v>606</v>
      </c>
      <c r="Z196" s="7">
        <v>1.5</v>
      </c>
      <c r="AA196" s="7">
        <v>80</v>
      </c>
      <c r="AB196" s="7">
        <v>80</v>
      </c>
      <c r="AC196" s="7">
        <v>20</v>
      </c>
      <c r="AD196" s="7">
        <v>30</v>
      </c>
      <c r="AE196" s="7" t="s">
        <v>141</v>
      </c>
      <c r="AF196" s="7"/>
      <c r="AG196" s="22" t="s">
        <v>234</v>
      </c>
      <c r="AI196" s="23">
        <v>6450</v>
      </c>
      <c r="AJ196" s="7" t="s">
        <v>142</v>
      </c>
      <c r="AK196" s="24">
        <v>132000</v>
      </c>
      <c r="AL196" s="7" t="s">
        <v>143</v>
      </c>
      <c r="AM196" s="7">
        <v>60</v>
      </c>
      <c r="AN196" s="7" t="s">
        <v>144</v>
      </c>
      <c r="AO196" s="7">
        <v>90</v>
      </c>
      <c r="AP196" s="7" t="s">
        <v>145</v>
      </c>
      <c r="AQ196" s="7">
        <v>55</v>
      </c>
      <c r="AR196" s="7" t="s">
        <v>146</v>
      </c>
      <c r="AS196" s="7">
        <v>85</v>
      </c>
      <c r="AT196" s="7" t="s">
        <v>147</v>
      </c>
      <c r="AU196" s="7">
        <v>220</v>
      </c>
      <c r="AV196" s="7" t="s">
        <v>148</v>
      </c>
      <c r="AW196" s="7">
        <v>290</v>
      </c>
      <c r="AX196" s="7" t="s">
        <v>149</v>
      </c>
      <c r="AY196" s="7">
        <v>220</v>
      </c>
      <c r="AZ196" s="7" t="s">
        <v>150</v>
      </c>
      <c r="BA196" s="7">
        <v>290</v>
      </c>
      <c r="BB196" s="7" t="s">
        <v>151</v>
      </c>
      <c r="BC196" s="7">
        <v>0</v>
      </c>
      <c r="BD196" s="7" t="s">
        <v>152</v>
      </c>
      <c r="BE196" s="7">
        <v>0</v>
      </c>
      <c r="BF196" s="7" t="s">
        <v>153</v>
      </c>
      <c r="BG196" s="7">
        <v>100</v>
      </c>
      <c r="BH196" s="7" t="s">
        <v>154</v>
      </c>
      <c r="BI196" s="7">
        <v>10</v>
      </c>
      <c r="BJ196" s="7" t="s">
        <v>155</v>
      </c>
      <c r="BK196" s="7">
        <v>300</v>
      </c>
      <c r="BL196" s="20"/>
      <c r="BM196" s="20"/>
      <c r="BN196" s="20">
        <v>1</v>
      </c>
      <c r="BO196" s="20">
        <v>2500</v>
      </c>
      <c r="BP196" s="20">
        <v>2</v>
      </c>
      <c r="BQ196" s="20">
        <v>2500</v>
      </c>
      <c r="BR196" s="20" t="s">
        <v>156</v>
      </c>
    </row>
    <row r="197" s="7" customFormat="1" ht="16.5" spans="1:70">
      <c r="A197" s="7">
        <f>60000000+INDEX(编号表!$B:$B,MATCH(I197,编号表!$A:$A,0))*10000+INDEX(编号表!$B:$B,MATCH(J197,编号表!$C:$C,0))*1000+K197</f>
        <v>60241000</v>
      </c>
      <c r="B197" s="7" t="s">
        <v>607</v>
      </c>
      <c r="C197" s="7" t="s">
        <v>241</v>
      </c>
      <c r="D197" s="7" t="s">
        <v>608</v>
      </c>
      <c r="E197" s="7">
        <v>42</v>
      </c>
      <c r="F197" s="7" t="str" cm="1">
        <f t="array" ref="F197">INDEX(编号表!$E:$E,MATCH(J197,编号表!$C:$C,0))</f>
        <v>白色</v>
      </c>
      <c r="G197" s="7">
        <v>28</v>
      </c>
      <c r="H197" s="7" t="s">
        <v>609</v>
      </c>
      <c r="I197" s="7" t="s">
        <v>609</v>
      </c>
      <c r="J197" s="7" t="s">
        <v>137</v>
      </c>
      <c r="K197" s="7">
        <v>0</v>
      </c>
      <c r="L197" s="7">
        <f>COUNTIFS(I$11:I197,I197,J$11:J197,J197)-1</f>
        <v>0</v>
      </c>
      <c r="O197" s="7">
        <v>10</v>
      </c>
      <c r="P197" s="7">
        <v>150000</v>
      </c>
      <c r="Q197" s="7" t="s">
        <v>138</v>
      </c>
      <c r="R197" s="21">
        <v>40140006</v>
      </c>
      <c r="S197" s="7"/>
      <c r="T197" s="7"/>
      <c r="U197" s="7">
        <v>11010001</v>
      </c>
      <c r="V197" s="7">
        <v>11020001</v>
      </c>
      <c r="X197" s="7" t="s">
        <v>139</v>
      </c>
      <c r="Y197" s="7" t="s">
        <v>242</v>
      </c>
      <c r="Z197" s="7"/>
      <c r="AA197" s="7">
        <v>80</v>
      </c>
      <c r="AB197" s="7">
        <v>80</v>
      </c>
      <c r="AC197" s="7">
        <v>20</v>
      </c>
      <c r="AD197" s="7">
        <v>30</v>
      </c>
      <c r="AE197" s="7" t="s">
        <v>141</v>
      </c>
      <c r="AF197" s="7"/>
      <c r="AI197" s="23">
        <v>330</v>
      </c>
      <c r="AJ197" s="7" t="s">
        <v>142</v>
      </c>
      <c r="AK197" s="24">
        <v>2300</v>
      </c>
      <c r="AL197" s="7" t="s">
        <v>143</v>
      </c>
      <c r="AM197" s="7">
        <v>22</v>
      </c>
      <c r="AN197" s="7" t="s">
        <v>144</v>
      </c>
      <c r="AO197" s="7">
        <v>31</v>
      </c>
      <c r="AP197" s="7" t="s">
        <v>145</v>
      </c>
      <c r="AQ197" s="7">
        <v>20</v>
      </c>
      <c r="AR197" s="7" t="s">
        <v>146</v>
      </c>
      <c r="AS197" s="7">
        <v>30</v>
      </c>
      <c r="AT197" s="7" t="s">
        <v>147</v>
      </c>
      <c r="AU197" s="7">
        <v>50</v>
      </c>
      <c r="AV197" s="7" t="s">
        <v>148</v>
      </c>
      <c r="AW197" s="7">
        <v>70</v>
      </c>
      <c r="AX197" s="7" t="s">
        <v>149</v>
      </c>
      <c r="AY197" s="7">
        <v>50</v>
      </c>
      <c r="AZ197" s="7" t="s">
        <v>150</v>
      </c>
      <c r="BA197" s="7">
        <v>70</v>
      </c>
      <c r="BB197" s="7" t="s">
        <v>151</v>
      </c>
      <c r="BC197" s="7">
        <v>0</v>
      </c>
      <c r="BD197" s="7" t="s">
        <v>152</v>
      </c>
      <c r="BE197" s="7">
        <v>0</v>
      </c>
      <c r="BF197" s="7" t="s">
        <v>153</v>
      </c>
      <c r="BG197" s="7">
        <v>100</v>
      </c>
      <c r="BH197" s="7" t="s">
        <v>154</v>
      </c>
      <c r="BI197" s="7">
        <v>10</v>
      </c>
      <c r="BJ197" s="7" t="s">
        <v>155</v>
      </c>
      <c r="BK197" s="7">
        <v>300</v>
      </c>
      <c r="BL197" s="20"/>
      <c r="BM197" s="20"/>
      <c r="BN197" s="20">
        <v>1</v>
      </c>
      <c r="BO197" s="20">
        <v>2500</v>
      </c>
      <c r="BP197" s="20">
        <v>2</v>
      </c>
      <c r="BQ197" s="20">
        <v>2500</v>
      </c>
      <c r="BR197" s="20" t="s">
        <v>156</v>
      </c>
    </row>
    <row r="198" s="7" customFormat="1" ht="16.5" spans="1:70">
      <c r="A198" s="7">
        <f>60000000+INDEX(编号表!$B:$B,MATCH(I198,编号表!$A:$A,0))*10000+INDEX(编号表!$B:$B,MATCH(J198,编号表!$C:$C,0))*1000+K198</f>
        <v>60241001</v>
      </c>
      <c r="B198" s="7" t="s">
        <v>610</v>
      </c>
      <c r="C198" s="7" t="s">
        <v>290</v>
      </c>
      <c r="D198" s="7" t="s">
        <v>291</v>
      </c>
      <c r="E198" s="7">
        <v>42</v>
      </c>
      <c r="F198" s="7" t="str" cm="1">
        <f t="array" ref="F198">INDEX(编号表!$E:$E,MATCH(J198,编号表!$C:$C,0))</f>
        <v>白色</v>
      </c>
      <c r="G198" s="7">
        <v>28</v>
      </c>
      <c r="H198" s="7" t="s">
        <v>609</v>
      </c>
      <c r="I198" s="7" t="s">
        <v>609</v>
      </c>
      <c r="J198" s="7" t="s">
        <v>137</v>
      </c>
      <c r="K198" s="7">
        <v>1</v>
      </c>
      <c r="L198" s="7">
        <f>COUNTIFS(I$11:I198,I198,J$11:J198,J198)-1</f>
        <v>1</v>
      </c>
      <c r="O198" s="7">
        <v>10</v>
      </c>
      <c r="P198" s="7">
        <v>300000</v>
      </c>
      <c r="Q198" s="7" t="s">
        <v>138</v>
      </c>
      <c r="R198" s="21">
        <v>40140006</v>
      </c>
      <c r="S198" s="7"/>
      <c r="T198" s="7"/>
      <c r="U198" s="7">
        <v>11010001</v>
      </c>
      <c r="V198" s="7">
        <v>11020001</v>
      </c>
      <c r="X198" s="7" t="s">
        <v>139</v>
      </c>
      <c r="Y198" s="7" t="s">
        <v>293</v>
      </c>
      <c r="Z198" s="7">
        <v>1.5</v>
      </c>
      <c r="AA198" s="7">
        <v>80</v>
      </c>
      <c r="AB198" s="7">
        <v>80</v>
      </c>
      <c r="AC198" s="7">
        <v>20</v>
      </c>
      <c r="AD198" s="7">
        <v>30</v>
      </c>
      <c r="AE198" s="7" t="s">
        <v>141</v>
      </c>
      <c r="AF198" s="7"/>
      <c r="AG198" s="22"/>
      <c r="AI198" s="23">
        <v>330</v>
      </c>
      <c r="AJ198" s="7" t="s">
        <v>142</v>
      </c>
      <c r="AK198" s="24">
        <v>2400</v>
      </c>
      <c r="AL198" s="7" t="s">
        <v>143</v>
      </c>
      <c r="AM198" s="7">
        <v>24</v>
      </c>
      <c r="AN198" s="7" t="s">
        <v>144</v>
      </c>
      <c r="AO198" s="7">
        <v>35</v>
      </c>
      <c r="AP198" s="7" t="s">
        <v>145</v>
      </c>
      <c r="AQ198" s="7">
        <v>23</v>
      </c>
      <c r="AR198" s="7" t="s">
        <v>146</v>
      </c>
      <c r="AS198" s="7">
        <v>33</v>
      </c>
      <c r="AT198" s="7" t="s">
        <v>147</v>
      </c>
      <c r="AU198" s="7">
        <v>55</v>
      </c>
      <c r="AV198" s="7" t="s">
        <v>148</v>
      </c>
      <c r="AW198" s="7">
        <v>70</v>
      </c>
      <c r="AX198" s="7" t="s">
        <v>149</v>
      </c>
      <c r="AY198" s="7">
        <v>55</v>
      </c>
      <c r="AZ198" s="7" t="s">
        <v>150</v>
      </c>
      <c r="BA198" s="7">
        <v>70</v>
      </c>
      <c r="BB198" s="7" t="s">
        <v>151</v>
      </c>
      <c r="BC198" s="7">
        <v>1</v>
      </c>
      <c r="BD198" s="7" t="s">
        <v>152</v>
      </c>
      <c r="BE198" s="7">
        <v>2</v>
      </c>
      <c r="BF198" s="7" t="s">
        <v>153</v>
      </c>
      <c r="BG198" s="7">
        <v>100</v>
      </c>
      <c r="BH198" s="7" t="s">
        <v>154</v>
      </c>
      <c r="BI198" s="7">
        <v>10</v>
      </c>
      <c r="BJ198" s="7" t="s">
        <v>155</v>
      </c>
      <c r="BK198" s="7">
        <v>300</v>
      </c>
      <c r="BL198" s="20"/>
      <c r="BM198" s="20"/>
      <c r="BN198" s="20">
        <v>1</v>
      </c>
      <c r="BO198" s="20">
        <v>2500</v>
      </c>
      <c r="BP198" s="20">
        <v>2</v>
      </c>
      <c r="BQ198" s="20">
        <v>2500</v>
      </c>
      <c r="BR198" s="20" t="s">
        <v>156</v>
      </c>
    </row>
    <row r="199" s="7" customFormat="1" ht="16.5" spans="1:70">
      <c r="A199" s="7">
        <f>60000000+INDEX(编号表!$B:$B,MATCH(I199,编号表!$A:$A,0))*10000+INDEX(编号表!$B:$B,MATCH(J199,编号表!$C:$C,0))*1000+K199</f>
        <v>60241002</v>
      </c>
      <c r="B199" s="7" t="s">
        <v>611</v>
      </c>
      <c r="C199" s="7" t="s">
        <v>290</v>
      </c>
      <c r="D199" s="7" t="s">
        <v>295</v>
      </c>
      <c r="E199" s="7">
        <v>42</v>
      </c>
      <c r="F199" s="7" t="str" cm="1">
        <f t="array" ref="F199">INDEX(编号表!$E:$E,MATCH(J199,编号表!$C:$C,0))</f>
        <v>白色</v>
      </c>
      <c r="G199" s="7">
        <v>28</v>
      </c>
      <c r="H199" s="7" t="s">
        <v>609</v>
      </c>
      <c r="I199" s="7" t="s">
        <v>609</v>
      </c>
      <c r="J199" s="7" t="s">
        <v>137</v>
      </c>
      <c r="K199" s="7">
        <v>2</v>
      </c>
      <c r="L199" s="7">
        <f>COUNTIFS(I$11:I199,I199,J$11:J199,J199)-1</f>
        <v>2</v>
      </c>
      <c r="O199" s="7">
        <v>10</v>
      </c>
      <c r="P199" s="7">
        <v>300000</v>
      </c>
      <c r="Q199" s="7" t="s">
        <v>138</v>
      </c>
      <c r="R199" s="21">
        <v>40140006</v>
      </c>
      <c r="S199" s="7"/>
      <c r="T199" s="7"/>
      <c r="U199" s="7">
        <v>11010001</v>
      </c>
      <c r="V199" s="7">
        <v>11020001</v>
      </c>
      <c r="X199" s="7" t="s">
        <v>139</v>
      </c>
      <c r="Y199" s="7" t="s">
        <v>296</v>
      </c>
      <c r="Z199" s="7">
        <v>1.5</v>
      </c>
      <c r="AA199" s="7">
        <v>80</v>
      </c>
      <c r="AB199" s="7">
        <v>80</v>
      </c>
      <c r="AC199" s="7">
        <v>20</v>
      </c>
      <c r="AD199" s="7">
        <v>30</v>
      </c>
      <c r="AE199" s="7" t="s">
        <v>141</v>
      </c>
      <c r="AF199" s="7"/>
      <c r="AG199" s="22"/>
      <c r="AI199" s="23">
        <v>330</v>
      </c>
      <c r="AJ199" s="7" t="s">
        <v>142</v>
      </c>
      <c r="AK199" s="24">
        <v>2400</v>
      </c>
      <c r="AL199" s="7" t="s">
        <v>143</v>
      </c>
      <c r="AM199" s="7">
        <v>24</v>
      </c>
      <c r="AN199" s="7" t="s">
        <v>144</v>
      </c>
      <c r="AO199" s="7">
        <v>35</v>
      </c>
      <c r="AP199" s="7" t="s">
        <v>145</v>
      </c>
      <c r="AQ199" s="7">
        <v>23</v>
      </c>
      <c r="AR199" s="7" t="s">
        <v>146</v>
      </c>
      <c r="AS199" s="7">
        <v>33</v>
      </c>
      <c r="AT199" s="7" t="s">
        <v>147</v>
      </c>
      <c r="AU199" s="7">
        <v>55</v>
      </c>
      <c r="AV199" s="7" t="s">
        <v>148</v>
      </c>
      <c r="AW199" s="7">
        <v>70</v>
      </c>
      <c r="AX199" s="7" t="s">
        <v>149</v>
      </c>
      <c r="AY199" s="7">
        <v>55</v>
      </c>
      <c r="AZ199" s="7" t="s">
        <v>150</v>
      </c>
      <c r="BA199" s="7">
        <v>70</v>
      </c>
      <c r="BB199" s="7" t="s">
        <v>151</v>
      </c>
      <c r="BC199" s="7">
        <v>1</v>
      </c>
      <c r="BD199" s="7" t="s">
        <v>152</v>
      </c>
      <c r="BE199" s="7">
        <v>2</v>
      </c>
      <c r="BF199" s="7" t="s">
        <v>153</v>
      </c>
      <c r="BG199" s="7">
        <v>100</v>
      </c>
      <c r="BH199" s="7" t="s">
        <v>154</v>
      </c>
      <c r="BI199" s="7">
        <v>10</v>
      </c>
      <c r="BJ199" s="7" t="s">
        <v>155</v>
      </c>
      <c r="BK199" s="7">
        <v>300</v>
      </c>
      <c r="BL199" s="20"/>
      <c r="BM199" s="20"/>
      <c r="BN199" s="20">
        <v>1</v>
      </c>
      <c r="BO199" s="20">
        <v>2500</v>
      </c>
      <c r="BP199" s="20">
        <v>2</v>
      </c>
      <c r="BQ199" s="20">
        <v>2500</v>
      </c>
      <c r="BR199" s="20" t="s">
        <v>156</v>
      </c>
    </row>
    <row r="200" s="7" customFormat="1" ht="16.5" spans="1:70">
      <c r="A200" s="7">
        <f>60000000+INDEX(编号表!$B:$B,MATCH(I200,编号表!$A:$A,0))*10000+INDEX(编号表!$B:$B,MATCH(J200,编号表!$C:$C,0))*1000+K200</f>
        <v>60241003</v>
      </c>
      <c r="B200" s="7" t="s">
        <v>612</v>
      </c>
      <c r="C200" s="7" t="s">
        <v>290</v>
      </c>
      <c r="D200" s="7" t="s">
        <v>298</v>
      </c>
      <c r="E200" s="7">
        <v>42</v>
      </c>
      <c r="F200" s="7" t="str" cm="1">
        <f t="array" ref="F200">INDEX(编号表!$E:$E,MATCH(J200,编号表!$C:$C,0))</f>
        <v>白色</v>
      </c>
      <c r="G200" s="7">
        <v>28</v>
      </c>
      <c r="H200" s="7" t="s">
        <v>609</v>
      </c>
      <c r="I200" s="7" t="s">
        <v>609</v>
      </c>
      <c r="J200" s="7" t="s">
        <v>137</v>
      </c>
      <c r="K200" s="7">
        <v>3</v>
      </c>
      <c r="L200" s="7">
        <f>COUNTIFS(I$11:I200,I200,J$11:J200,J200)-1</f>
        <v>3</v>
      </c>
      <c r="O200" s="7">
        <v>10</v>
      </c>
      <c r="P200" s="7">
        <v>300000</v>
      </c>
      <c r="Q200" s="7" t="s">
        <v>138</v>
      </c>
      <c r="R200" s="21">
        <v>40140006</v>
      </c>
      <c r="S200" s="7"/>
      <c r="T200" s="7"/>
      <c r="U200" s="7">
        <v>11010001</v>
      </c>
      <c r="V200" s="7">
        <v>11020001</v>
      </c>
      <c r="X200" s="7" t="s">
        <v>139</v>
      </c>
      <c r="Y200" s="7" t="s">
        <v>299</v>
      </c>
      <c r="Z200" s="7">
        <v>1.5</v>
      </c>
      <c r="AA200" s="7">
        <v>80</v>
      </c>
      <c r="AB200" s="7">
        <v>80</v>
      </c>
      <c r="AC200" s="7">
        <v>20</v>
      </c>
      <c r="AD200" s="7">
        <v>30</v>
      </c>
      <c r="AE200" s="7" t="s">
        <v>141</v>
      </c>
      <c r="AF200" s="7"/>
      <c r="AG200" s="22"/>
      <c r="AI200" s="23">
        <v>330</v>
      </c>
      <c r="AJ200" s="7" t="s">
        <v>142</v>
      </c>
      <c r="AK200" s="24">
        <v>2400</v>
      </c>
      <c r="AL200" s="7" t="s">
        <v>143</v>
      </c>
      <c r="AM200" s="7">
        <v>24</v>
      </c>
      <c r="AN200" s="7" t="s">
        <v>144</v>
      </c>
      <c r="AO200" s="7">
        <v>35</v>
      </c>
      <c r="AP200" s="7" t="s">
        <v>145</v>
      </c>
      <c r="AQ200" s="7">
        <v>23</v>
      </c>
      <c r="AR200" s="7" t="s">
        <v>146</v>
      </c>
      <c r="AS200" s="7">
        <v>33</v>
      </c>
      <c r="AT200" s="7" t="s">
        <v>147</v>
      </c>
      <c r="AU200" s="7">
        <v>55</v>
      </c>
      <c r="AV200" s="7" t="s">
        <v>148</v>
      </c>
      <c r="AW200" s="7">
        <v>70</v>
      </c>
      <c r="AX200" s="7" t="s">
        <v>149</v>
      </c>
      <c r="AY200" s="7">
        <v>55</v>
      </c>
      <c r="AZ200" s="7" t="s">
        <v>150</v>
      </c>
      <c r="BA200" s="7">
        <v>70</v>
      </c>
      <c r="BB200" s="7" t="s">
        <v>151</v>
      </c>
      <c r="BC200" s="7">
        <v>1</v>
      </c>
      <c r="BD200" s="7" t="s">
        <v>152</v>
      </c>
      <c r="BE200" s="7">
        <v>2</v>
      </c>
      <c r="BF200" s="7" t="s">
        <v>153</v>
      </c>
      <c r="BG200" s="7">
        <v>100</v>
      </c>
      <c r="BH200" s="7" t="s">
        <v>154</v>
      </c>
      <c r="BI200" s="7">
        <v>10</v>
      </c>
      <c r="BJ200" s="7" t="s">
        <v>155</v>
      </c>
      <c r="BK200" s="7">
        <v>300</v>
      </c>
      <c r="BL200" s="20"/>
      <c r="BM200" s="20"/>
      <c r="BN200" s="20">
        <v>1</v>
      </c>
      <c r="BO200" s="20">
        <v>2500</v>
      </c>
      <c r="BP200" s="20">
        <v>2</v>
      </c>
      <c r="BQ200" s="20">
        <v>2500</v>
      </c>
      <c r="BR200" s="20" t="s">
        <v>156</v>
      </c>
    </row>
    <row r="201" s="7" customFormat="1" ht="16.5" spans="1:70">
      <c r="A201" s="7">
        <f>60000000+INDEX(编号表!$B:$B,MATCH(I201,编号表!$A:$A,0))*10000+INDEX(编号表!$B:$B,MATCH(J201,编号表!$C:$C,0))*1000+K201</f>
        <v>60241004</v>
      </c>
      <c r="B201" s="7" t="s">
        <v>613</v>
      </c>
      <c r="C201" s="7" t="s">
        <v>290</v>
      </c>
      <c r="D201" s="7" t="s">
        <v>301</v>
      </c>
      <c r="E201" s="7">
        <v>42</v>
      </c>
      <c r="F201" s="7" t="str" cm="1">
        <f t="array" ref="F201">INDEX(编号表!$E:$E,MATCH(J201,编号表!$C:$C,0))</f>
        <v>白色</v>
      </c>
      <c r="G201" s="7">
        <v>28</v>
      </c>
      <c r="H201" s="7" t="s">
        <v>609</v>
      </c>
      <c r="I201" s="7" t="s">
        <v>609</v>
      </c>
      <c r="J201" s="7" t="s">
        <v>137</v>
      </c>
      <c r="K201" s="7">
        <v>4</v>
      </c>
      <c r="L201" s="7">
        <f>COUNTIFS(I$11:I201,I201,J$11:J201,J201)-1</f>
        <v>4</v>
      </c>
      <c r="O201" s="7">
        <v>10</v>
      </c>
      <c r="P201" s="7">
        <v>300000</v>
      </c>
      <c r="Q201" s="7" t="s">
        <v>138</v>
      </c>
      <c r="R201" s="21">
        <v>40140006</v>
      </c>
      <c r="S201" s="7"/>
      <c r="T201" s="7"/>
      <c r="U201" s="7">
        <v>11010001</v>
      </c>
      <c r="V201" s="7">
        <v>11020001</v>
      </c>
      <c r="X201" s="7" t="s">
        <v>139</v>
      </c>
      <c r="Y201" s="7" t="s">
        <v>302</v>
      </c>
      <c r="Z201" s="7">
        <v>1.5</v>
      </c>
      <c r="AA201" s="7">
        <v>80</v>
      </c>
      <c r="AB201" s="7">
        <v>80</v>
      </c>
      <c r="AC201" s="7">
        <v>20</v>
      </c>
      <c r="AD201" s="7">
        <v>30</v>
      </c>
      <c r="AE201" s="7" t="s">
        <v>141</v>
      </c>
      <c r="AF201" s="7"/>
      <c r="AG201" s="22"/>
      <c r="AI201" s="23">
        <v>330</v>
      </c>
      <c r="AJ201" s="7" t="s">
        <v>142</v>
      </c>
      <c r="AK201" s="24">
        <v>2400</v>
      </c>
      <c r="AL201" s="7" t="s">
        <v>143</v>
      </c>
      <c r="AM201" s="7">
        <v>24</v>
      </c>
      <c r="AN201" s="7" t="s">
        <v>144</v>
      </c>
      <c r="AO201" s="7">
        <v>35</v>
      </c>
      <c r="AP201" s="7" t="s">
        <v>145</v>
      </c>
      <c r="AQ201" s="7">
        <v>23</v>
      </c>
      <c r="AR201" s="7" t="s">
        <v>146</v>
      </c>
      <c r="AS201" s="7">
        <v>33</v>
      </c>
      <c r="AT201" s="7" t="s">
        <v>147</v>
      </c>
      <c r="AU201" s="7">
        <v>55</v>
      </c>
      <c r="AV201" s="7" t="s">
        <v>148</v>
      </c>
      <c r="AW201" s="7">
        <v>70</v>
      </c>
      <c r="AX201" s="7" t="s">
        <v>149</v>
      </c>
      <c r="AY201" s="7">
        <v>55</v>
      </c>
      <c r="AZ201" s="7" t="s">
        <v>150</v>
      </c>
      <c r="BA201" s="7">
        <v>70</v>
      </c>
      <c r="BB201" s="7" t="s">
        <v>151</v>
      </c>
      <c r="BC201" s="7">
        <v>1</v>
      </c>
      <c r="BD201" s="7" t="s">
        <v>152</v>
      </c>
      <c r="BE201" s="7">
        <v>2</v>
      </c>
      <c r="BF201" s="7" t="s">
        <v>153</v>
      </c>
      <c r="BG201" s="7">
        <v>100</v>
      </c>
      <c r="BH201" s="7" t="s">
        <v>154</v>
      </c>
      <c r="BI201" s="7">
        <v>10</v>
      </c>
      <c r="BJ201" s="7" t="s">
        <v>155</v>
      </c>
      <c r="BK201" s="7">
        <v>300</v>
      </c>
      <c r="BL201" s="20"/>
      <c r="BM201" s="20"/>
      <c r="BN201" s="20">
        <v>1</v>
      </c>
      <c r="BO201" s="20">
        <v>2500</v>
      </c>
      <c r="BP201" s="20">
        <v>2</v>
      </c>
      <c r="BQ201" s="20">
        <v>2500</v>
      </c>
      <c r="BR201" s="20" t="s">
        <v>156</v>
      </c>
    </row>
    <row r="202" s="7" customFormat="1" ht="16.5" spans="1:70">
      <c r="A202" s="7">
        <f>60000000+INDEX(编号表!$B:$B,MATCH(I202,编号表!$A:$A,0))*10000+INDEX(编号表!$B:$B,MATCH(J202,编号表!$C:$C,0))*1000+K202</f>
        <v>60241005</v>
      </c>
      <c r="B202" s="7" t="s">
        <v>614</v>
      </c>
      <c r="C202" s="7" t="s">
        <v>290</v>
      </c>
      <c r="D202" s="7" t="s">
        <v>304</v>
      </c>
      <c r="E202" s="7">
        <v>42</v>
      </c>
      <c r="F202" s="7" t="str" cm="1">
        <f t="array" ref="F202">INDEX(编号表!$E:$E,MATCH(J202,编号表!$C:$C,0))</f>
        <v>白色</v>
      </c>
      <c r="G202" s="7">
        <v>28</v>
      </c>
      <c r="H202" s="7" t="s">
        <v>609</v>
      </c>
      <c r="I202" s="7" t="s">
        <v>609</v>
      </c>
      <c r="J202" s="7" t="s">
        <v>137</v>
      </c>
      <c r="K202" s="7">
        <v>5</v>
      </c>
      <c r="L202" s="7">
        <f>COUNTIFS(I$11:I202,I202,J$11:J202,J202)-1</f>
        <v>5</v>
      </c>
      <c r="O202" s="7">
        <v>10</v>
      </c>
      <c r="P202" s="7">
        <v>300000</v>
      </c>
      <c r="Q202" s="7" t="s">
        <v>138</v>
      </c>
      <c r="R202" s="21">
        <v>40140006</v>
      </c>
      <c r="S202" s="7"/>
      <c r="T202" s="7"/>
      <c r="U202" s="7">
        <v>11010001</v>
      </c>
      <c r="V202" s="7">
        <v>11020001</v>
      </c>
      <c r="X202" s="7" t="s">
        <v>139</v>
      </c>
      <c r="Y202" s="7" t="s">
        <v>305</v>
      </c>
      <c r="Z202" s="7">
        <v>1.5</v>
      </c>
      <c r="AA202" s="7">
        <v>80</v>
      </c>
      <c r="AB202" s="7">
        <v>80</v>
      </c>
      <c r="AC202" s="7">
        <v>20</v>
      </c>
      <c r="AD202" s="7">
        <v>30</v>
      </c>
      <c r="AE202" s="7" t="s">
        <v>141</v>
      </c>
      <c r="AF202" s="7"/>
      <c r="AG202" s="22"/>
      <c r="AI202" s="23">
        <v>330</v>
      </c>
      <c r="AJ202" s="7" t="s">
        <v>142</v>
      </c>
      <c r="AK202" s="24">
        <v>2400</v>
      </c>
      <c r="AL202" s="7" t="s">
        <v>143</v>
      </c>
      <c r="AM202" s="7">
        <v>24</v>
      </c>
      <c r="AN202" s="7" t="s">
        <v>144</v>
      </c>
      <c r="AO202" s="7">
        <v>35</v>
      </c>
      <c r="AP202" s="7" t="s">
        <v>145</v>
      </c>
      <c r="AQ202" s="7">
        <v>23</v>
      </c>
      <c r="AR202" s="7" t="s">
        <v>146</v>
      </c>
      <c r="AS202" s="7">
        <v>33</v>
      </c>
      <c r="AT202" s="7" t="s">
        <v>147</v>
      </c>
      <c r="AU202" s="7">
        <v>55</v>
      </c>
      <c r="AV202" s="7" t="s">
        <v>148</v>
      </c>
      <c r="AW202" s="7">
        <v>70</v>
      </c>
      <c r="AX202" s="7" t="s">
        <v>149</v>
      </c>
      <c r="AY202" s="7">
        <v>55</v>
      </c>
      <c r="AZ202" s="7" t="s">
        <v>150</v>
      </c>
      <c r="BA202" s="7">
        <v>70</v>
      </c>
      <c r="BB202" s="7" t="s">
        <v>151</v>
      </c>
      <c r="BC202" s="7">
        <v>1</v>
      </c>
      <c r="BD202" s="7" t="s">
        <v>152</v>
      </c>
      <c r="BE202" s="7">
        <v>2</v>
      </c>
      <c r="BF202" s="7" t="s">
        <v>153</v>
      </c>
      <c r="BG202" s="7">
        <v>100</v>
      </c>
      <c r="BH202" s="7" t="s">
        <v>154</v>
      </c>
      <c r="BI202" s="7">
        <v>10</v>
      </c>
      <c r="BJ202" s="7" t="s">
        <v>155</v>
      </c>
      <c r="BK202" s="7">
        <v>300</v>
      </c>
      <c r="BL202" s="20"/>
      <c r="BM202" s="20"/>
      <c r="BN202" s="20">
        <v>1</v>
      </c>
      <c r="BO202" s="20">
        <v>2500</v>
      </c>
      <c r="BP202" s="20">
        <v>2</v>
      </c>
      <c r="BQ202" s="20">
        <v>2500</v>
      </c>
      <c r="BR202" s="20" t="s">
        <v>156</v>
      </c>
    </row>
    <row r="203" s="7" customFormat="1" ht="16.5" spans="1:70">
      <c r="A203" s="7">
        <f>60000000+INDEX(编号表!$B:$B,MATCH(I203,编号表!$A:$A,0))*10000+INDEX(编号表!$B:$B,MATCH(J203,编号表!$C:$C,0))*1000+K203</f>
        <v>60242000</v>
      </c>
      <c r="B203" s="7" t="s">
        <v>615</v>
      </c>
      <c r="C203" s="7" t="s">
        <v>324</v>
      </c>
      <c r="D203" s="7" t="s">
        <v>616</v>
      </c>
      <c r="E203" s="7">
        <v>43</v>
      </c>
      <c r="F203" s="7" t="str" cm="1">
        <f t="array" ref="F203">INDEX(编号表!$E:$E,MATCH(J203,编号表!$C:$C,0))</f>
        <v>绿色</v>
      </c>
      <c r="G203" s="7">
        <v>28</v>
      </c>
      <c r="H203" s="7" t="s">
        <v>609</v>
      </c>
      <c r="I203" s="7" t="s">
        <v>609</v>
      </c>
      <c r="J203" s="7" t="s">
        <v>221</v>
      </c>
      <c r="K203" s="7">
        <v>0</v>
      </c>
      <c r="L203" s="7">
        <f>COUNTIFS(I$11:I203,I203,J$11:J203,J203)-1</f>
        <v>0</v>
      </c>
      <c r="O203" s="7">
        <v>10</v>
      </c>
      <c r="P203" s="7">
        <v>300000</v>
      </c>
      <c r="Q203" s="7" t="s">
        <v>138</v>
      </c>
      <c r="R203" s="21">
        <v>40140006</v>
      </c>
      <c r="S203" s="7"/>
      <c r="T203" s="7"/>
      <c r="U203" s="7">
        <v>11010001</v>
      </c>
      <c r="V203" s="7">
        <v>11020001</v>
      </c>
      <c r="X203" s="7" t="s">
        <v>139</v>
      </c>
      <c r="Y203" s="7" t="s">
        <v>325</v>
      </c>
      <c r="Z203" s="7"/>
      <c r="AA203" s="7">
        <v>80</v>
      </c>
      <c r="AB203" s="7">
        <v>80</v>
      </c>
      <c r="AC203" s="7">
        <v>20</v>
      </c>
      <c r="AD203" s="7">
        <v>30</v>
      </c>
      <c r="AE203" s="7" t="s">
        <v>141</v>
      </c>
      <c r="AF203" s="7"/>
      <c r="AG203" s="22" t="s">
        <v>222</v>
      </c>
      <c r="AI203" s="23">
        <v>1360</v>
      </c>
      <c r="AJ203" s="7" t="s">
        <v>142</v>
      </c>
      <c r="AK203" s="24">
        <v>16200</v>
      </c>
      <c r="AL203" s="7" t="s">
        <v>143</v>
      </c>
      <c r="AM203" s="7">
        <v>44</v>
      </c>
      <c r="AN203" s="7" t="s">
        <v>144</v>
      </c>
      <c r="AO203" s="7">
        <v>65</v>
      </c>
      <c r="AP203" s="7" t="s">
        <v>145</v>
      </c>
      <c r="AQ203" s="7">
        <v>41</v>
      </c>
      <c r="AR203" s="7" t="s">
        <v>146</v>
      </c>
      <c r="AS203" s="7">
        <v>60</v>
      </c>
      <c r="AT203" s="7" t="s">
        <v>147</v>
      </c>
      <c r="AU203" s="7">
        <v>115</v>
      </c>
      <c r="AV203" s="7" t="s">
        <v>148</v>
      </c>
      <c r="AW203" s="7">
        <v>155</v>
      </c>
      <c r="AX203" s="7" t="s">
        <v>149</v>
      </c>
      <c r="AY203" s="7">
        <v>115</v>
      </c>
      <c r="AZ203" s="7" t="s">
        <v>150</v>
      </c>
      <c r="BA203" s="7">
        <v>155</v>
      </c>
      <c r="BB203" s="7" t="s">
        <v>151</v>
      </c>
      <c r="BC203" s="7">
        <v>1</v>
      </c>
      <c r="BD203" s="7" t="s">
        <v>152</v>
      </c>
      <c r="BE203" s="7">
        <v>2</v>
      </c>
      <c r="BF203" s="7" t="s">
        <v>153</v>
      </c>
      <c r="BG203" s="7">
        <v>100</v>
      </c>
      <c r="BH203" s="7" t="s">
        <v>154</v>
      </c>
      <c r="BI203" s="7">
        <v>10</v>
      </c>
      <c r="BJ203" s="7" t="s">
        <v>155</v>
      </c>
      <c r="BK203" s="7">
        <v>300</v>
      </c>
      <c r="BL203" s="20"/>
      <c r="BM203" s="20"/>
      <c r="BN203" s="20">
        <v>1</v>
      </c>
      <c r="BO203" s="20">
        <v>2500</v>
      </c>
      <c r="BP203" s="20">
        <v>2</v>
      </c>
      <c r="BQ203" s="20">
        <v>2500</v>
      </c>
      <c r="BR203" s="20" t="s">
        <v>156</v>
      </c>
    </row>
    <row r="204" s="15" customFormat="1" ht="16.5" spans="1:70">
      <c r="A204" s="15">
        <f>60000000+INDEX(编号表!$B:$B,MATCH(I204,编号表!$A:$A,0))*10000+INDEX(编号表!$B:$B,MATCH(J204,编号表!$C:$C,0))*1000+K204</f>
        <v>60244000</v>
      </c>
      <c r="B204" s="15" t="s">
        <v>617</v>
      </c>
      <c r="C204" s="15" t="s">
        <v>324</v>
      </c>
      <c r="D204" s="15" t="s">
        <v>616</v>
      </c>
      <c r="E204" s="15">
        <v>43</v>
      </c>
      <c r="F204" s="15" t="str" cm="1">
        <f t="array" ref="F204">INDEX(编号表!$E:$E,MATCH(J204,编号表!$C:$C,0))</f>
        <v>橙色</v>
      </c>
      <c r="G204" s="15">
        <v>28</v>
      </c>
      <c r="H204" s="15" t="s">
        <v>609</v>
      </c>
      <c r="I204" s="15" t="s">
        <v>609</v>
      </c>
      <c r="J204" s="15" t="s">
        <v>233</v>
      </c>
      <c r="K204" s="15">
        <v>0</v>
      </c>
      <c r="L204" s="15">
        <f>COUNTIFS(I$11:I204,I204,J$11:J204,J204)-1</f>
        <v>0</v>
      </c>
      <c r="O204" s="7">
        <v>10</v>
      </c>
      <c r="P204" s="7">
        <v>300000</v>
      </c>
      <c r="Q204" s="15" t="s">
        <v>138</v>
      </c>
      <c r="R204" s="21">
        <v>40140006</v>
      </c>
      <c r="S204" s="15"/>
      <c r="T204" s="15"/>
      <c r="U204" s="15">
        <v>11010001</v>
      </c>
      <c r="V204" s="15">
        <v>11020001</v>
      </c>
      <c r="X204" s="15" t="s">
        <v>139</v>
      </c>
      <c r="Y204" s="15" t="s">
        <v>325</v>
      </c>
      <c r="Z204" s="7">
        <v>1.5</v>
      </c>
      <c r="AA204" s="7">
        <v>100</v>
      </c>
      <c r="AB204" s="7">
        <v>100</v>
      </c>
      <c r="AC204" s="7">
        <v>20</v>
      </c>
      <c r="AD204" s="7">
        <v>30</v>
      </c>
      <c r="AE204" s="15" t="s">
        <v>141</v>
      </c>
      <c r="AF204" s="15"/>
      <c r="AG204" s="22" t="s">
        <v>234</v>
      </c>
      <c r="AH204" s="15"/>
      <c r="AI204" s="23">
        <v>6800</v>
      </c>
      <c r="AJ204" s="15" t="s">
        <v>142</v>
      </c>
      <c r="AK204" s="24">
        <v>105000</v>
      </c>
      <c r="AL204" s="15" t="s">
        <v>143</v>
      </c>
      <c r="AM204" s="15">
        <v>60</v>
      </c>
      <c r="AN204" s="15" t="s">
        <v>144</v>
      </c>
      <c r="AO204" s="15">
        <v>90</v>
      </c>
      <c r="AP204" s="15" t="s">
        <v>145</v>
      </c>
      <c r="AQ204" s="15">
        <v>60</v>
      </c>
      <c r="AR204" s="15" t="s">
        <v>146</v>
      </c>
      <c r="AS204" s="15">
        <v>85</v>
      </c>
      <c r="AT204" s="15" t="s">
        <v>147</v>
      </c>
      <c r="AU204" s="15">
        <v>185</v>
      </c>
      <c r="AV204" s="15" t="s">
        <v>148</v>
      </c>
      <c r="AW204" s="15">
        <v>250</v>
      </c>
      <c r="AX204" s="15" t="s">
        <v>149</v>
      </c>
      <c r="AY204" s="15">
        <v>185</v>
      </c>
      <c r="AZ204" s="15" t="s">
        <v>150</v>
      </c>
      <c r="BA204" s="15">
        <v>250</v>
      </c>
      <c r="BB204" s="15" t="s">
        <v>151</v>
      </c>
      <c r="BC204" s="15">
        <v>1</v>
      </c>
      <c r="BD204" s="15" t="s">
        <v>152</v>
      </c>
      <c r="BE204" s="15">
        <v>2</v>
      </c>
      <c r="BF204" s="15" t="s">
        <v>153</v>
      </c>
      <c r="BG204" s="15">
        <v>100</v>
      </c>
      <c r="BH204" s="15" t="s">
        <v>154</v>
      </c>
      <c r="BI204" s="15">
        <v>10</v>
      </c>
      <c r="BJ204" s="15" t="s">
        <v>155</v>
      </c>
      <c r="BK204" s="7">
        <v>300</v>
      </c>
      <c r="BL204" s="25"/>
      <c r="BM204" s="25"/>
      <c r="BN204" s="20">
        <v>1</v>
      </c>
      <c r="BO204" s="20">
        <v>2500</v>
      </c>
      <c r="BP204" s="20">
        <v>2</v>
      </c>
      <c r="BQ204" s="20">
        <v>2500</v>
      </c>
      <c r="BR204" s="25" t="s">
        <v>156</v>
      </c>
    </row>
    <row r="205" s="7" customFormat="1" ht="16.5" spans="1:70">
      <c r="A205" s="7">
        <f>60000000+INDEX(编号表!$B:$B,MATCH(I205,编号表!$A:$A,0))*10000+INDEX(编号表!$B:$B,MATCH(J205,编号表!$C:$C,0))*1000+K205</f>
        <v>60251000</v>
      </c>
      <c r="B205" s="7" t="s">
        <v>618</v>
      </c>
      <c r="C205" s="7" t="s">
        <v>464</v>
      </c>
      <c r="D205" s="7" t="s">
        <v>619</v>
      </c>
      <c r="E205" s="7">
        <v>43</v>
      </c>
      <c r="F205" s="7" t="str" cm="1">
        <f t="array" ref="F205">INDEX(编号表!$E:$E,MATCH(J205,编号表!$C:$C,0))</f>
        <v>白色</v>
      </c>
      <c r="G205" s="7">
        <v>29</v>
      </c>
      <c r="H205" s="7" t="s">
        <v>620</v>
      </c>
      <c r="I205" s="7" t="s">
        <v>620</v>
      </c>
      <c r="J205" s="7" t="s">
        <v>137</v>
      </c>
      <c r="K205" s="7">
        <v>0</v>
      </c>
      <c r="L205" s="7">
        <f>COUNTIFS(I$11:I205,I205,J$11:J205,J205)-1</f>
        <v>0</v>
      </c>
      <c r="O205" s="7">
        <v>10</v>
      </c>
      <c r="P205" s="7">
        <v>150000</v>
      </c>
      <c r="Q205" s="7" t="s">
        <v>138</v>
      </c>
      <c r="R205" s="21">
        <v>40140006</v>
      </c>
      <c r="S205" s="7"/>
      <c r="T205" s="7"/>
      <c r="U205" s="7">
        <v>11010001</v>
      </c>
      <c r="V205" s="7">
        <v>11020001</v>
      </c>
      <c r="X205" s="7" t="s">
        <v>139</v>
      </c>
      <c r="Y205" s="7" t="s">
        <v>465</v>
      </c>
      <c r="Z205" s="7"/>
      <c r="AA205" s="7">
        <v>80</v>
      </c>
      <c r="AB205" s="7">
        <v>80</v>
      </c>
      <c r="AC205" s="7">
        <v>20</v>
      </c>
      <c r="AD205" s="7">
        <v>30</v>
      </c>
      <c r="AE205" s="7" t="s">
        <v>141</v>
      </c>
      <c r="AF205" s="7"/>
      <c r="AG205" s="22"/>
      <c r="AI205" s="23">
        <v>340</v>
      </c>
      <c r="AJ205" s="7" t="s">
        <v>142</v>
      </c>
      <c r="AK205" s="24">
        <v>1900</v>
      </c>
      <c r="AL205" s="7" t="s">
        <v>143</v>
      </c>
      <c r="AM205" s="7">
        <v>19</v>
      </c>
      <c r="AN205" s="7" t="s">
        <v>144</v>
      </c>
      <c r="AO205" s="7">
        <v>27</v>
      </c>
      <c r="AP205" s="7" t="s">
        <v>145</v>
      </c>
      <c r="AQ205" s="7">
        <v>18</v>
      </c>
      <c r="AR205" s="7" t="s">
        <v>146</v>
      </c>
      <c r="AS205" s="7">
        <v>26</v>
      </c>
      <c r="AT205" s="7" t="s">
        <v>147</v>
      </c>
      <c r="AU205" s="7">
        <v>60</v>
      </c>
      <c r="AV205" s="7" t="s">
        <v>148</v>
      </c>
      <c r="AW205" s="7">
        <v>80</v>
      </c>
      <c r="AX205" s="7" t="s">
        <v>149</v>
      </c>
      <c r="AY205" s="7">
        <v>60</v>
      </c>
      <c r="AZ205" s="7" t="s">
        <v>150</v>
      </c>
      <c r="BA205" s="7">
        <v>80</v>
      </c>
      <c r="BB205" s="7" t="s">
        <v>151</v>
      </c>
      <c r="BC205" s="7">
        <v>0</v>
      </c>
      <c r="BD205" s="7" t="s">
        <v>152</v>
      </c>
      <c r="BE205" s="7">
        <v>0</v>
      </c>
      <c r="BF205" s="7" t="s">
        <v>153</v>
      </c>
      <c r="BG205" s="7">
        <v>100</v>
      </c>
      <c r="BH205" s="7" t="s">
        <v>154</v>
      </c>
      <c r="BI205" s="7">
        <v>10</v>
      </c>
      <c r="BJ205" s="7" t="s">
        <v>155</v>
      </c>
      <c r="BK205" s="7">
        <v>300</v>
      </c>
      <c r="BL205" s="20">
        <v>0.05</v>
      </c>
      <c r="BM205" s="20"/>
      <c r="BN205" s="20">
        <v>1</v>
      </c>
      <c r="BO205" s="20">
        <v>2500</v>
      </c>
      <c r="BP205" s="20">
        <v>2</v>
      </c>
      <c r="BQ205" s="20">
        <v>2500</v>
      </c>
      <c r="BR205" s="20" t="s">
        <v>156</v>
      </c>
    </row>
    <row r="206" s="7" customFormat="1" ht="16.5" spans="1:70">
      <c r="A206" s="7">
        <f>60000000+INDEX(编号表!$B:$B,MATCH(I206,编号表!$A:$A,0))*10000+INDEX(编号表!$B:$B,MATCH(J206,编号表!$C:$C,0))*1000+K206</f>
        <v>60251001</v>
      </c>
      <c r="B206" s="7" t="s">
        <v>621</v>
      </c>
      <c r="C206" s="7" t="s">
        <v>470</v>
      </c>
      <c r="D206" s="7" t="s">
        <v>622</v>
      </c>
      <c r="E206" s="7">
        <v>43</v>
      </c>
      <c r="F206" s="7" t="str" cm="1">
        <f t="array" ref="F206">INDEX(编号表!$E:$E,MATCH(J206,编号表!$C:$C,0))</f>
        <v>白色</v>
      </c>
      <c r="G206" s="7">
        <v>29</v>
      </c>
      <c r="H206" s="7" t="s">
        <v>620</v>
      </c>
      <c r="I206" s="7" t="s">
        <v>620</v>
      </c>
      <c r="J206" s="7" t="s">
        <v>137</v>
      </c>
      <c r="K206" s="7">
        <v>1</v>
      </c>
      <c r="L206" s="7">
        <f>COUNTIFS(I$11:I206,I206,J$11:J206,J206)-1</f>
        <v>1</v>
      </c>
      <c r="O206" s="7">
        <v>10</v>
      </c>
      <c r="P206" s="7">
        <v>300000</v>
      </c>
      <c r="Q206" s="7" t="s">
        <v>138</v>
      </c>
      <c r="R206" s="21">
        <v>40140006</v>
      </c>
      <c r="S206" s="7"/>
      <c r="T206" s="7"/>
      <c r="U206" s="7">
        <v>11010001</v>
      </c>
      <c r="V206" s="7">
        <v>11020001</v>
      </c>
      <c r="X206" s="7" t="s">
        <v>139</v>
      </c>
      <c r="Y206" s="7" t="s">
        <v>471</v>
      </c>
      <c r="Z206" s="7"/>
      <c r="AA206" s="7">
        <v>80</v>
      </c>
      <c r="AB206" s="7">
        <v>80</v>
      </c>
      <c r="AC206" s="7">
        <v>20</v>
      </c>
      <c r="AD206" s="7">
        <v>30</v>
      </c>
      <c r="AE206" s="7" t="s">
        <v>141</v>
      </c>
      <c r="AF206" s="7"/>
      <c r="AG206" s="22"/>
      <c r="AI206" s="23">
        <v>340</v>
      </c>
      <c r="AJ206" s="7" t="s">
        <v>142</v>
      </c>
      <c r="AK206" s="24">
        <v>2950</v>
      </c>
      <c r="AL206" s="7" t="s">
        <v>143</v>
      </c>
      <c r="AM206" s="7">
        <v>29</v>
      </c>
      <c r="AN206" s="7" t="s">
        <v>144</v>
      </c>
      <c r="AO206" s="7">
        <v>42</v>
      </c>
      <c r="AP206" s="7" t="s">
        <v>145</v>
      </c>
      <c r="AQ206" s="7">
        <v>27</v>
      </c>
      <c r="AR206" s="7" t="s">
        <v>146</v>
      </c>
      <c r="AS206" s="7">
        <v>40</v>
      </c>
      <c r="AT206" s="7" t="s">
        <v>147</v>
      </c>
      <c r="AU206" s="7">
        <v>60</v>
      </c>
      <c r="AV206" s="7" t="s">
        <v>148</v>
      </c>
      <c r="AW206" s="7">
        <v>80</v>
      </c>
      <c r="AX206" s="7" t="s">
        <v>149</v>
      </c>
      <c r="AY206" s="7">
        <v>60</v>
      </c>
      <c r="AZ206" s="7" t="s">
        <v>150</v>
      </c>
      <c r="BA206" s="7">
        <v>80</v>
      </c>
      <c r="BB206" s="7" t="s">
        <v>151</v>
      </c>
      <c r="BC206" s="7">
        <v>1</v>
      </c>
      <c r="BD206" s="7" t="s">
        <v>152</v>
      </c>
      <c r="BE206" s="7">
        <v>2</v>
      </c>
      <c r="BF206" s="7" t="s">
        <v>153</v>
      </c>
      <c r="BG206" s="7">
        <v>100</v>
      </c>
      <c r="BH206" s="7" t="s">
        <v>154</v>
      </c>
      <c r="BI206" s="7">
        <v>10</v>
      </c>
      <c r="BJ206" s="7" t="s">
        <v>155</v>
      </c>
      <c r="BK206" s="7">
        <v>300</v>
      </c>
      <c r="BL206" s="20"/>
      <c r="BM206" s="20"/>
      <c r="BN206" s="20">
        <v>1</v>
      </c>
      <c r="BO206" s="20">
        <v>2500</v>
      </c>
      <c r="BP206" s="20">
        <v>2</v>
      </c>
      <c r="BQ206" s="20">
        <v>2500</v>
      </c>
      <c r="BR206" s="20" t="s">
        <v>156</v>
      </c>
    </row>
    <row r="207" s="7" customFormat="1" ht="16.5" spans="1:70">
      <c r="A207" s="7">
        <f>60000000+INDEX(编号表!$B:$B,MATCH(I207,编号表!$A:$A,0))*10000+INDEX(编号表!$B:$B,MATCH(J207,编号表!$C:$C,0))*1000+K207</f>
        <v>60251002</v>
      </c>
      <c r="B207" s="7" t="s">
        <v>623</v>
      </c>
      <c r="C207" s="7" t="s">
        <v>467</v>
      </c>
      <c r="D207" s="7" t="s">
        <v>624</v>
      </c>
      <c r="E207" s="7">
        <v>43</v>
      </c>
      <c r="F207" s="7" t="str" cm="1">
        <f t="array" ref="F207">INDEX(编号表!$E:$E,MATCH(J207,编号表!$C:$C,0))</f>
        <v>白色</v>
      </c>
      <c r="G207" s="7">
        <v>29</v>
      </c>
      <c r="H207" s="7" t="s">
        <v>620</v>
      </c>
      <c r="I207" s="7" t="s">
        <v>620</v>
      </c>
      <c r="J207" s="7" t="s">
        <v>137</v>
      </c>
      <c r="K207" s="7">
        <v>2</v>
      </c>
      <c r="L207" s="7">
        <f>COUNTIFS(I$11:I207,I207,J$11:J207,J207)-1</f>
        <v>2</v>
      </c>
      <c r="O207" s="7">
        <v>10</v>
      </c>
      <c r="P207" s="7">
        <v>300000</v>
      </c>
      <c r="Q207" s="7" t="s">
        <v>138</v>
      </c>
      <c r="R207" s="21">
        <v>40140006</v>
      </c>
      <c r="S207" s="7"/>
      <c r="T207" s="7"/>
      <c r="U207" s="7">
        <v>11010001</v>
      </c>
      <c r="V207" s="7">
        <v>11020001</v>
      </c>
      <c r="X207" s="7" t="s">
        <v>139</v>
      </c>
      <c r="Y207" s="7" t="s">
        <v>468</v>
      </c>
      <c r="Z207" s="7"/>
      <c r="AA207" s="7">
        <v>80</v>
      </c>
      <c r="AB207" s="7">
        <v>80</v>
      </c>
      <c r="AC207" s="7">
        <v>20</v>
      </c>
      <c r="AD207" s="7">
        <v>30</v>
      </c>
      <c r="AE207" s="7" t="s">
        <v>141</v>
      </c>
      <c r="AF207" s="7"/>
      <c r="AG207" s="22"/>
      <c r="AI207" s="23">
        <v>340</v>
      </c>
      <c r="AJ207" s="7" t="s">
        <v>142</v>
      </c>
      <c r="AK207" s="24">
        <v>2950</v>
      </c>
      <c r="AL207" s="7" t="s">
        <v>143</v>
      </c>
      <c r="AM207" s="7">
        <v>29</v>
      </c>
      <c r="AN207" s="7" t="s">
        <v>144</v>
      </c>
      <c r="AO207" s="7">
        <v>42</v>
      </c>
      <c r="AP207" s="7" t="s">
        <v>145</v>
      </c>
      <c r="AQ207" s="7">
        <v>27</v>
      </c>
      <c r="AR207" s="7" t="s">
        <v>146</v>
      </c>
      <c r="AS207" s="7">
        <v>40</v>
      </c>
      <c r="AT207" s="7" t="s">
        <v>147</v>
      </c>
      <c r="AU207" s="7">
        <v>60</v>
      </c>
      <c r="AV207" s="7" t="s">
        <v>148</v>
      </c>
      <c r="AW207" s="7">
        <v>80</v>
      </c>
      <c r="AX207" s="7" t="s">
        <v>149</v>
      </c>
      <c r="AY207" s="7">
        <v>60</v>
      </c>
      <c r="AZ207" s="7" t="s">
        <v>150</v>
      </c>
      <c r="BA207" s="7">
        <v>80</v>
      </c>
      <c r="BB207" s="7" t="s">
        <v>151</v>
      </c>
      <c r="BC207" s="7">
        <v>1</v>
      </c>
      <c r="BD207" s="7" t="s">
        <v>152</v>
      </c>
      <c r="BE207" s="7">
        <v>2</v>
      </c>
      <c r="BF207" s="7" t="s">
        <v>153</v>
      </c>
      <c r="BG207" s="7">
        <v>100</v>
      </c>
      <c r="BH207" s="7" t="s">
        <v>154</v>
      </c>
      <c r="BI207" s="7">
        <v>10</v>
      </c>
      <c r="BJ207" s="7" t="s">
        <v>155</v>
      </c>
      <c r="BK207" s="7">
        <v>300</v>
      </c>
      <c r="BL207" s="20"/>
      <c r="BM207" s="20"/>
      <c r="BN207" s="20">
        <v>1</v>
      </c>
      <c r="BO207" s="20">
        <v>2500</v>
      </c>
      <c r="BP207" s="20">
        <v>2</v>
      </c>
      <c r="BQ207" s="20">
        <v>2500</v>
      </c>
      <c r="BR207" s="20" t="s">
        <v>156</v>
      </c>
    </row>
    <row r="208" s="7" customFormat="1" ht="16.5" spans="1:70">
      <c r="A208" s="7">
        <f>60000000+INDEX(编号表!$B:$B,MATCH(I208,编号表!$A:$A,0))*10000+INDEX(编号表!$B:$B,MATCH(J208,编号表!$C:$C,0))*1000+K208</f>
        <v>60251003</v>
      </c>
      <c r="B208" s="7" t="s">
        <v>625</v>
      </c>
      <c r="C208" s="7" t="s">
        <v>381</v>
      </c>
      <c r="D208" s="7" t="s">
        <v>626</v>
      </c>
      <c r="E208" s="7">
        <v>43</v>
      </c>
      <c r="F208" s="7" t="str" cm="1">
        <f t="array" ref="F208">INDEX(编号表!$E:$E,MATCH(J208,编号表!$C:$C,0))</f>
        <v>白色</v>
      </c>
      <c r="G208" s="7">
        <v>29</v>
      </c>
      <c r="H208" s="7" t="s">
        <v>620</v>
      </c>
      <c r="I208" s="7" t="s">
        <v>620</v>
      </c>
      <c r="J208" s="7" t="s">
        <v>137</v>
      </c>
      <c r="K208" s="7">
        <v>3</v>
      </c>
      <c r="L208" s="7">
        <f>COUNTIFS(I$11:I208,I208,J$11:J208,J208)-1</f>
        <v>3</v>
      </c>
      <c r="O208" s="7">
        <v>10</v>
      </c>
      <c r="P208" s="7">
        <v>300000</v>
      </c>
      <c r="Q208" s="7" t="s">
        <v>138</v>
      </c>
      <c r="R208" s="21">
        <v>40140006</v>
      </c>
      <c r="S208" s="7"/>
      <c r="T208" s="7"/>
      <c r="U208" s="7">
        <v>11010001</v>
      </c>
      <c r="V208" s="7">
        <v>11020001</v>
      </c>
      <c r="X208" s="7" t="s">
        <v>139</v>
      </c>
      <c r="Y208" s="7" t="s">
        <v>384</v>
      </c>
      <c r="Z208" s="7"/>
      <c r="AA208" s="7">
        <v>80</v>
      </c>
      <c r="AB208" s="7">
        <v>80</v>
      </c>
      <c r="AC208" s="7">
        <v>20</v>
      </c>
      <c r="AD208" s="7">
        <v>30</v>
      </c>
      <c r="AE208" s="7" t="s">
        <v>141</v>
      </c>
      <c r="AF208" s="7"/>
      <c r="AG208" s="22"/>
      <c r="AI208" s="23">
        <v>340</v>
      </c>
      <c r="AJ208" s="7" t="s">
        <v>142</v>
      </c>
      <c r="AK208" s="24">
        <v>2950</v>
      </c>
      <c r="AL208" s="7" t="s">
        <v>143</v>
      </c>
      <c r="AM208" s="7">
        <v>29</v>
      </c>
      <c r="AN208" s="7" t="s">
        <v>144</v>
      </c>
      <c r="AO208" s="7">
        <v>42</v>
      </c>
      <c r="AP208" s="7" t="s">
        <v>145</v>
      </c>
      <c r="AQ208" s="7">
        <v>27</v>
      </c>
      <c r="AR208" s="7" t="s">
        <v>146</v>
      </c>
      <c r="AS208" s="7">
        <v>40</v>
      </c>
      <c r="AT208" s="7" t="s">
        <v>147</v>
      </c>
      <c r="AU208" s="7">
        <v>60</v>
      </c>
      <c r="AV208" s="7" t="s">
        <v>148</v>
      </c>
      <c r="AW208" s="7">
        <v>80</v>
      </c>
      <c r="AX208" s="7" t="s">
        <v>149</v>
      </c>
      <c r="AY208" s="7">
        <v>60</v>
      </c>
      <c r="AZ208" s="7" t="s">
        <v>150</v>
      </c>
      <c r="BA208" s="7">
        <v>80</v>
      </c>
      <c r="BB208" s="7" t="s">
        <v>151</v>
      </c>
      <c r="BC208" s="7">
        <v>1</v>
      </c>
      <c r="BD208" s="7" t="s">
        <v>152</v>
      </c>
      <c r="BE208" s="7">
        <v>2</v>
      </c>
      <c r="BF208" s="7" t="s">
        <v>153</v>
      </c>
      <c r="BG208" s="7">
        <v>100</v>
      </c>
      <c r="BH208" s="7" t="s">
        <v>154</v>
      </c>
      <c r="BI208" s="7">
        <v>10</v>
      </c>
      <c r="BJ208" s="7" t="s">
        <v>155</v>
      </c>
      <c r="BK208" s="7">
        <v>300</v>
      </c>
      <c r="BL208" s="20"/>
      <c r="BM208" s="20"/>
      <c r="BN208" s="20">
        <v>1</v>
      </c>
      <c r="BO208" s="20">
        <v>2500</v>
      </c>
      <c r="BP208" s="20">
        <v>2</v>
      </c>
      <c r="BQ208" s="20">
        <v>2500</v>
      </c>
      <c r="BR208" s="20" t="s">
        <v>156</v>
      </c>
    </row>
    <row r="209" s="7" customFormat="1" ht="16.5" spans="1:70">
      <c r="A209" s="7">
        <f>60000000+INDEX(编号表!$B:$B,MATCH(I209,编号表!$A:$A,0))*10000+INDEX(编号表!$B:$B,MATCH(J209,编号表!$C:$C,0))*1000+K209</f>
        <v>60251004</v>
      </c>
      <c r="B209" s="7" t="s">
        <v>627</v>
      </c>
      <c r="C209" s="7" t="s">
        <v>485</v>
      </c>
      <c r="D209" s="7" t="s">
        <v>628</v>
      </c>
      <c r="E209" s="7">
        <v>43</v>
      </c>
      <c r="F209" s="7" t="str" cm="1">
        <f t="array" ref="F209">INDEX(编号表!$E:$E,MATCH(J209,编号表!$C:$C,0))</f>
        <v>白色</v>
      </c>
      <c r="G209" s="7">
        <v>29</v>
      </c>
      <c r="H209" s="7" t="s">
        <v>620</v>
      </c>
      <c r="I209" s="7" t="s">
        <v>620</v>
      </c>
      <c r="J209" s="7" t="s">
        <v>137</v>
      </c>
      <c r="K209" s="7">
        <v>4</v>
      </c>
      <c r="L209" s="7">
        <f>COUNTIFS(I$11:I209,I209,J$11:J209,J209)-1</f>
        <v>4</v>
      </c>
      <c r="O209" s="7">
        <v>10</v>
      </c>
      <c r="P209" s="7">
        <v>300000</v>
      </c>
      <c r="Q209" s="7" t="s">
        <v>138</v>
      </c>
      <c r="R209" s="21">
        <v>40140006</v>
      </c>
      <c r="S209" s="7"/>
      <c r="T209" s="7"/>
      <c r="U209" s="7">
        <v>11010001</v>
      </c>
      <c r="V209" s="7">
        <v>11020001</v>
      </c>
      <c r="X209" s="7" t="s">
        <v>139</v>
      </c>
      <c r="Y209" s="7" t="s">
        <v>486</v>
      </c>
      <c r="Z209" s="7"/>
      <c r="AA209" s="7">
        <v>80</v>
      </c>
      <c r="AB209" s="7">
        <v>80</v>
      </c>
      <c r="AC209" s="7">
        <v>20</v>
      </c>
      <c r="AD209" s="7">
        <v>30</v>
      </c>
      <c r="AE209" s="7" t="s">
        <v>141</v>
      </c>
      <c r="AF209" s="7"/>
      <c r="AG209" s="22"/>
      <c r="AI209" s="23">
        <v>340</v>
      </c>
      <c r="AJ209" s="7" t="s">
        <v>142</v>
      </c>
      <c r="AK209" s="24">
        <v>2550</v>
      </c>
      <c r="AL209" s="7" t="s">
        <v>143</v>
      </c>
      <c r="AM209" s="7">
        <v>25</v>
      </c>
      <c r="AN209" s="7" t="s">
        <v>144</v>
      </c>
      <c r="AO209" s="7">
        <v>36</v>
      </c>
      <c r="AP209" s="7" t="s">
        <v>145</v>
      </c>
      <c r="AQ209" s="7">
        <v>24</v>
      </c>
      <c r="AR209" s="7" t="s">
        <v>146</v>
      </c>
      <c r="AS209" s="7">
        <v>34</v>
      </c>
      <c r="AT209" s="7" t="s">
        <v>147</v>
      </c>
      <c r="AU209" s="7">
        <v>60</v>
      </c>
      <c r="AV209" s="7" t="s">
        <v>148</v>
      </c>
      <c r="AW209" s="7">
        <v>80</v>
      </c>
      <c r="AX209" s="7" t="s">
        <v>149</v>
      </c>
      <c r="AY209" s="7">
        <v>60</v>
      </c>
      <c r="AZ209" s="7" t="s">
        <v>150</v>
      </c>
      <c r="BA209" s="7">
        <v>80</v>
      </c>
      <c r="BB209" s="7" t="s">
        <v>151</v>
      </c>
      <c r="BC209" s="7">
        <v>1</v>
      </c>
      <c r="BD209" s="7" t="s">
        <v>152</v>
      </c>
      <c r="BE209" s="7">
        <v>2</v>
      </c>
      <c r="BF209" s="7" t="s">
        <v>153</v>
      </c>
      <c r="BG209" s="7">
        <v>100</v>
      </c>
      <c r="BH209" s="7" t="s">
        <v>154</v>
      </c>
      <c r="BI209" s="7">
        <v>10</v>
      </c>
      <c r="BJ209" s="7" t="s">
        <v>155</v>
      </c>
      <c r="BK209" s="7">
        <v>300</v>
      </c>
      <c r="BL209" s="20"/>
      <c r="BM209" s="20"/>
      <c r="BN209" s="20">
        <v>1</v>
      </c>
      <c r="BO209" s="20">
        <v>2500</v>
      </c>
      <c r="BP209" s="20">
        <v>2</v>
      </c>
      <c r="BQ209" s="20">
        <v>2500</v>
      </c>
      <c r="BR209" s="20" t="s">
        <v>156</v>
      </c>
    </row>
    <row r="210" s="7" customFormat="1" ht="16.5" spans="1:70">
      <c r="A210" s="7">
        <f>60000000+INDEX(编号表!$B:$B,MATCH(I210,编号表!$A:$A,0))*10000+INDEX(编号表!$B:$B,MATCH(J210,编号表!$C:$C,0))*1000+K210</f>
        <v>60251005</v>
      </c>
      <c r="B210" s="7" t="s">
        <v>629</v>
      </c>
      <c r="C210" s="7" t="s">
        <v>560</v>
      </c>
      <c r="D210" s="7" t="s">
        <v>630</v>
      </c>
      <c r="E210" s="7">
        <v>43</v>
      </c>
      <c r="F210" s="7" t="str" cm="1">
        <f t="array" ref="F210">INDEX(编号表!$E:$E,MATCH(J210,编号表!$C:$C,0))</f>
        <v>白色</v>
      </c>
      <c r="G210" s="7">
        <v>29</v>
      </c>
      <c r="H210" s="7" t="s">
        <v>620</v>
      </c>
      <c r="I210" s="7" t="s">
        <v>620</v>
      </c>
      <c r="J210" s="7" t="s">
        <v>137</v>
      </c>
      <c r="K210" s="7">
        <v>5</v>
      </c>
      <c r="L210" s="7">
        <f>COUNTIFS(I$11:I210,I210,J$11:J210,J210)-1</f>
        <v>5</v>
      </c>
      <c r="O210" s="7">
        <v>10</v>
      </c>
      <c r="P210" s="7">
        <v>150000</v>
      </c>
      <c r="Q210" s="7" t="s">
        <v>138</v>
      </c>
      <c r="R210" s="21">
        <v>40140006</v>
      </c>
      <c r="S210" s="7"/>
      <c r="T210" s="7"/>
      <c r="U210" s="7">
        <v>11010001</v>
      </c>
      <c r="V210" s="7">
        <v>11020001</v>
      </c>
      <c r="X210" s="7" t="s">
        <v>139</v>
      </c>
      <c r="Y210" s="7" t="s">
        <v>561</v>
      </c>
      <c r="Z210" s="7">
        <v>1.2</v>
      </c>
      <c r="AA210" s="7">
        <v>80</v>
      </c>
      <c r="AB210" s="7">
        <v>80</v>
      </c>
      <c r="AC210" s="7">
        <v>20</v>
      </c>
      <c r="AD210" s="7">
        <v>30</v>
      </c>
      <c r="AE210" s="7" t="s">
        <v>206</v>
      </c>
      <c r="AF210" s="7" t="s">
        <v>562</v>
      </c>
      <c r="AG210" s="22"/>
      <c r="AI210" s="23">
        <v>340</v>
      </c>
      <c r="AJ210" s="7" t="s">
        <v>142</v>
      </c>
      <c r="AK210" s="24">
        <v>2350</v>
      </c>
      <c r="AL210" s="7" t="s">
        <v>143</v>
      </c>
      <c r="AM210" s="7">
        <v>23</v>
      </c>
      <c r="AN210" s="7" t="s">
        <v>144</v>
      </c>
      <c r="AO210" s="7">
        <v>33</v>
      </c>
      <c r="AP210" s="7" t="s">
        <v>145</v>
      </c>
      <c r="AQ210" s="7">
        <v>21</v>
      </c>
      <c r="AR210" s="7" t="s">
        <v>146</v>
      </c>
      <c r="AS210" s="7">
        <v>31</v>
      </c>
      <c r="AT210" s="7" t="s">
        <v>147</v>
      </c>
      <c r="AU210" s="7">
        <v>60</v>
      </c>
      <c r="AV210" s="7" t="s">
        <v>148</v>
      </c>
      <c r="AW210" s="7">
        <v>85</v>
      </c>
      <c r="AX210" s="7" t="s">
        <v>149</v>
      </c>
      <c r="AY210" s="7">
        <v>60</v>
      </c>
      <c r="AZ210" s="7" t="s">
        <v>150</v>
      </c>
      <c r="BA210" s="7">
        <v>85</v>
      </c>
      <c r="BB210" s="7" t="s">
        <v>151</v>
      </c>
      <c r="BC210" s="7">
        <v>0</v>
      </c>
      <c r="BD210" s="7" t="s">
        <v>152</v>
      </c>
      <c r="BE210" s="7">
        <v>0</v>
      </c>
      <c r="BF210" s="7" t="s">
        <v>153</v>
      </c>
      <c r="BG210" s="7">
        <v>100</v>
      </c>
      <c r="BH210" s="7" t="s">
        <v>154</v>
      </c>
      <c r="BI210" s="7">
        <v>300</v>
      </c>
      <c r="BJ210" s="7" t="s">
        <v>155</v>
      </c>
      <c r="BK210" s="7">
        <v>300</v>
      </c>
      <c r="BL210" s="20"/>
      <c r="BM210" s="20"/>
      <c r="BN210" s="20">
        <v>1</v>
      </c>
      <c r="BO210" s="20">
        <v>2500</v>
      </c>
      <c r="BP210" s="20">
        <v>2</v>
      </c>
      <c r="BQ210" s="20">
        <v>2500</v>
      </c>
      <c r="BR210" s="20" t="s">
        <v>156</v>
      </c>
    </row>
    <row r="211" s="7" customFormat="1" ht="16.5" spans="1:70">
      <c r="A211" s="7">
        <f>60000000+INDEX(编号表!$B:$B,MATCH(I211,编号表!$A:$A,0))*10000+INDEX(编号表!$B:$B,MATCH(J211,编号表!$C:$C,0))*1000+K211</f>
        <v>60251006</v>
      </c>
      <c r="B211" s="7" t="s">
        <v>631</v>
      </c>
      <c r="C211" s="7" t="s">
        <v>557</v>
      </c>
      <c r="D211" s="7" t="s">
        <v>632</v>
      </c>
      <c r="E211" s="7">
        <v>43</v>
      </c>
      <c r="F211" s="7" t="str" cm="1">
        <f t="array" ref="F211">INDEX(编号表!$E:$E,MATCH(J211,编号表!$C:$C,0))</f>
        <v>白色</v>
      </c>
      <c r="G211" s="7">
        <v>29</v>
      </c>
      <c r="H211" s="7" t="s">
        <v>620</v>
      </c>
      <c r="I211" s="7" t="s">
        <v>620</v>
      </c>
      <c r="J211" s="7" t="s">
        <v>137</v>
      </c>
      <c r="K211" s="7">
        <v>6</v>
      </c>
      <c r="L211" s="7">
        <f>COUNTIFS(I$11:I211,I211,J$11:J211,J211)-1</f>
        <v>6</v>
      </c>
      <c r="O211" s="7">
        <v>10</v>
      </c>
      <c r="P211" s="7">
        <v>150000</v>
      </c>
      <c r="Q211" s="7" t="s">
        <v>138</v>
      </c>
      <c r="R211" s="21">
        <v>40140006</v>
      </c>
      <c r="S211" s="7"/>
      <c r="T211" s="7"/>
      <c r="U211" s="7">
        <v>11010001</v>
      </c>
      <c r="V211" s="7">
        <v>11020001</v>
      </c>
      <c r="X211" s="7" t="s">
        <v>139</v>
      </c>
      <c r="Y211" s="7" t="s">
        <v>558</v>
      </c>
      <c r="Z211" s="7">
        <v>1.2</v>
      </c>
      <c r="AA211" s="7">
        <v>80</v>
      </c>
      <c r="AB211" s="7">
        <v>80</v>
      </c>
      <c r="AC211" s="7">
        <v>20</v>
      </c>
      <c r="AD211" s="7">
        <v>30</v>
      </c>
      <c r="AE211" s="7" t="s">
        <v>141</v>
      </c>
      <c r="AF211" s="7"/>
      <c r="AG211" s="22"/>
      <c r="AI211" s="23">
        <v>340</v>
      </c>
      <c r="AJ211" s="7" t="s">
        <v>142</v>
      </c>
      <c r="AK211" s="24">
        <v>2950</v>
      </c>
      <c r="AL211" s="7" t="s">
        <v>143</v>
      </c>
      <c r="AM211" s="7">
        <v>29</v>
      </c>
      <c r="AN211" s="7" t="s">
        <v>144</v>
      </c>
      <c r="AO211" s="7">
        <v>42</v>
      </c>
      <c r="AP211" s="7" t="s">
        <v>145</v>
      </c>
      <c r="AQ211" s="7">
        <v>27</v>
      </c>
      <c r="AR211" s="7" t="s">
        <v>146</v>
      </c>
      <c r="AS211" s="7">
        <v>40</v>
      </c>
      <c r="AT211" s="7" t="s">
        <v>147</v>
      </c>
      <c r="AU211" s="7">
        <v>60</v>
      </c>
      <c r="AV211" s="7" t="s">
        <v>148</v>
      </c>
      <c r="AW211" s="7">
        <v>80</v>
      </c>
      <c r="AX211" s="7" t="s">
        <v>149</v>
      </c>
      <c r="AY211" s="7">
        <v>60</v>
      </c>
      <c r="AZ211" s="7" t="s">
        <v>150</v>
      </c>
      <c r="BA211" s="7">
        <v>80</v>
      </c>
      <c r="BB211" s="7" t="s">
        <v>151</v>
      </c>
      <c r="BC211" s="7">
        <v>0</v>
      </c>
      <c r="BD211" s="7" t="s">
        <v>152</v>
      </c>
      <c r="BE211" s="7">
        <v>0</v>
      </c>
      <c r="BF211" s="7" t="s">
        <v>153</v>
      </c>
      <c r="BG211" s="7">
        <v>100</v>
      </c>
      <c r="BH211" s="7" t="s">
        <v>154</v>
      </c>
      <c r="BI211" s="7">
        <v>10</v>
      </c>
      <c r="BJ211" s="7" t="s">
        <v>155</v>
      </c>
      <c r="BK211" s="7">
        <v>300</v>
      </c>
      <c r="BL211" s="20"/>
      <c r="BM211" s="20"/>
      <c r="BN211" s="20">
        <v>1</v>
      </c>
      <c r="BO211" s="20">
        <v>2500</v>
      </c>
      <c r="BP211" s="20">
        <v>2</v>
      </c>
      <c r="BQ211" s="20">
        <v>2500</v>
      </c>
      <c r="BR211" s="20" t="s">
        <v>156</v>
      </c>
    </row>
    <row r="212" s="7" customFormat="1" ht="16.5" spans="1:70">
      <c r="A212" s="7">
        <f>60000000+INDEX(编号表!$B:$B,MATCH(I212,编号表!$A:$A,0))*10000+INDEX(编号表!$B:$B,MATCH(J212,编号表!$C:$C,0))*1000+K212</f>
        <v>60251007</v>
      </c>
      <c r="B212" s="7" t="s">
        <v>633</v>
      </c>
      <c r="C212" s="7" t="s">
        <v>574</v>
      </c>
      <c r="D212" s="7" t="s">
        <v>634</v>
      </c>
      <c r="E212" s="7">
        <v>43</v>
      </c>
      <c r="F212" s="7" t="str" cm="1">
        <f t="array" ref="F212">INDEX(编号表!$E:$E,MATCH(J212,编号表!$C:$C,0))</f>
        <v>白色</v>
      </c>
      <c r="G212" s="7">
        <v>29</v>
      </c>
      <c r="H212" s="7" t="s">
        <v>620</v>
      </c>
      <c r="I212" s="7" t="s">
        <v>620</v>
      </c>
      <c r="J212" s="7" t="s">
        <v>137</v>
      </c>
      <c r="K212" s="7">
        <v>7</v>
      </c>
      <c r="L212" s="7">
        <f>COUNTIFS(I$11:I212,I212,J$11:J212,J212)-1</f>
        <v>7</v>
      </c>
      <c r="O212" s="7">
        <v>10</v>
      </c>
      <c r="P212" s="7">
        <v>150000</v>
      </c>
      <c r="Q212" s="7" t="s">
        <v>138</v>
      </c>
      <c r="R212" s="21">
        <v>40140006</v>
      </c>
      <c r="S212" s="7"/>
      <c r="T212" s="7"/>
      <c r="U212" s="7">
        <v>11010001</v>
      </c>
      <c r="V212" s="7">
        <v>11020001</v>
      </c>
      <c r="X212" s="7" t="s">
        <v>139</v>
      </c>
      <c r="Y212" s="7" t="s">
        <v>575</v>
      </c>
      <c r="Z212" s="7">
        <v>1.5</v>
      </c>
      <c r="AA212" s="7">
        <v>80</v>
      </c>
      <c r="AB212" s="7">
        <v>80</v>
      </c>
      <c r="AC212" s="7">
        <v>20</v>
      </c>
      <c r="AD212" s="7">
        <v>30</v>
      </c>
      <c r="AE212" s="7" t="s">
        <v>141</v>
      </c>
      <c r="AF212" s="7"/>
      <c r="AG212" s="22"/>
      <c r="AI212" s="23">
        <v>340</v>
      </c>
      <c r="AJ212" s="7" t="s">
        <v>142</v>
      </c>
      <c r="AK212" s="24">
        <v>2550</v>
      </c>
      <c r="AL212" s="7" t="s">
        <v>143</v>
      </c>
      <c r="AM212" s="7">
        <v>25</v>
      </c>
      <c r="AN212" s="7" t="s">
        <v>144</v>
      </c>
      <c r="AO212" s="7">
        <v>36</v>
      </c>
      <c r="AP212" s="7" t="s">
        <v>145</v>
      </c>
      <c r="AQ212" s="7">
        <v>24</v>
      </c>
      <c r="AR212" s="7" t="s">
        <v>146</v>
      </c>
      <c r="AS212" s="7">
        <v>34</v>
      </c>
      <c r="AT212" s="7" t="s">
        <v>147</v>
      </c>
      <c r="AU212" s="7">
        <v>55</v>
      </c>
      <c r="AV212" s="7" t="s">
        <v>148</v>
      </c>
      <c r="AW212" s="7">
        <v>75</v>
      </c>
      <c r="AX212" s="7" t="s">
        <v>149</v>
      </c>
      <c r="AY212" s="7">
        <v>55</v>
      </c>
      <c r="AZ212" s="7" t="s">
        <v>150</v>
      </c>
      <c r="BA212" s="7">
        <v>75</v>
      </c>
      <c r="BB212" s="7" t="s">
        <v>151</v>
      </c>
      <c r="BC212" s="7">
        <v>0</v>
      </c>
      <c r="BD212" s="7" t="s">
        <v>152</v>
      </c>
      <c r="BE212" s="7">
        <v>0</v>
      </c>
      <c r="BF212" s="7" t="s">
        <v>153</v>
      </c>
      <c r="BG212" s="7">
        <v>100</v>
      </c>
      <c r="BH212" s="7" t="s">
        <v>154</v>
      </c>
      <c r="BI212" s="7">
        <v>10</v>
      </c>
      <c r="BJ212" s="7" t="s">
        <v>155</v>
      </c>
      <c r="BK212" s="7">
        <v>300</v>
      </c>
      <c r="BL212" s="20"/>
      <c r="BM212" s="20"/>
      <c r="BN212" s="20">
        <v>1</v>
      </c>
      <c r="BO212" s="20">
        <v>2500</v>
      </c>
      <c r="BP212" s="20">
        <v>2</v>
      </c>
      <c r="BQ212" s="20">
        <v>2500</v>
      </c>
      <c r="BR212" s="20" t="s">
        <v>156</v>
      </c>
    </row>
    <row r="213" s="7" customFormat="1" ht="16.5" spans="1:70">
      <c r="A213" s="7">
        <f>60000000+INDEX(编号表!$B:$B,MATCH(I213,编号表!$A:$A,0))*10000+INDEX(编号表!$B:$B,MATCH(J213,编号表!$C:$C,0))*1000+K213</f>
        <v>60252000</v>
      </c>
      <c r="B213" s="7" t="s">
        <v>635</v>
      </c>
      <c r="C213" s="7" t="s">
        <v>381</v>
      </c>
      <c r="D213" s="7" t="s">
        <v>636</v>
      </c>
      <c r="E213" s="7">
        <v>44</v>
      </c>
      <c r="F213" s="7" t="str" cm="1">
        <f t="array" ref="F213">INDEX(编号表!$E:$E,MATCH(J213,编号表!$C:$C,0))</f>
        <v>绿色</v>
      </c>
      <c r="G213" s="7">
        <v>29</v>
      </c>
      <c r="H213" s="7" t="s">
        <v>620</v>
      </c>
      <c r="I213" s="7" t="s">
        <v>620</v>
      </c>
      <c r="J213" s="7" t="s">
        <v>221</v>
      </c>
      <c r="K213" s="7">
        <v>0</v>
      </c>
      <c r="L213" s="7">
        <f>COUNTIFS(I$11:I213,I213,J$11:J213,J213)-1</f>
        <v>0</v>
      </c>
      <c r="O213" s="7">
        <v>10</v>
      </c>
      <c r="P213" s="7">
        <v>300000</v>
      </c>
      <c r="Q213" s="7" t="s">
        <v>138</v>
      </c>
      <c r="R213" s="21">
        <v>40140006</v>
      </c>
      <c r="S213" s="7"/>
      <c r="T213" s="7"/>
      <c r="U213" s="7">
        <v>11010001</v>
      </c>
      <c r="V213" s="7">
        <v>11020001</v>
      </c>
      <c r="X213" s="7" t="s">
        <v>139</v>
      </c>
      <c r="Y213" s="7" t="s">
        <v>384</v>
      </c>
      <c r="Z213" s="7"/>
      <c r="AA213" s="7">
        <v>80</v>
      </c>
      <c r="AB213" s="7">
        <v>80</v>
      </c>
      <c r="AC213" s="7">
        <v>20</v>
      </c>
      <c r="AD213" s="7">
        <v>30</v>
      </c>
      <c r="AE213" s="7" t="s">
        <v>141</v>
      </c>
      <c r="AF213" s="7"/>
      <c r="AG213" s="22" t="s">
        <v>222</v>
      </c>
      <c r="AI213" s="23">
        <v>1440</v>
      </c>
      <c r="AJ213" s="7" t="s">
        <v>142</v>
      </c>
      <c r="AK213" s="24">
        <v>17300</v>
      </c>
      <c r="AL213" s="7" t="s">
        <v>143</v>
      </c>
      <c r="AM213" s="7">
        <v>46</v>
      </c>
      <c r="AN213" s="7" t="s">
        <v>144</v>
      </c>
      <c r="AO213" s="7">
        <v>65</v>
      </c>
      <c r="AP213" s="7" t="s">
        <v>145</v>
      </c>
      <c r="AQ213" s="7">
        <v>43</v>
      </c>
      <c r="AR213" s="7" t="s">
        <v>146</v>
      </c>
      <c r="AS213" s="7">
        <v>65</v>
      </c>
      <c r="AT213" s="7" t="s">
        <v>147</v>
      </c>
      <c r="AU213" s="7">
        <v>120</v>
      </c>
      <c r="AV213" s="7" t="s">
        <v>148</v>
      </c>
      <c r="AW213" s="7">
        <v>165</v>
      </c>
      <c r="AX213" s="7" t="s">
        <v>149</v>
      </c>
      <c r="AY213" s="7">
        <v>120</v>
      </c>
      <c r="AZ213" s="7" t="s">
        <v>150</v>
      </c>
      <c r="BA213" s="7">
        <v>165</v>
      </c>
      <c r="BB213" s="7" t="s">
        <v>151</v>
      </c>
      <c r="BC213" s="7">
        <v>1</v>
      </c>
      <c r="BD213" s="7" t="s">
        <v>152</v>
      </c>
      <c r="BE213" s="7">
        <v>2</v>
      </c>
      <c r="BF213" s="7" t="s">
        <v>153</v>
      </c>
      <c r="BG213" s="7">
        <v>100</v>
      </c>
      <c r="BH213" s="7" t="s">
        <v>154</v>
      </c>
      <c r="BI213" s="7">
        <v>10</v>
      </c>
      <c r="BJ213" s="7" t="s">
        <v>155</v>
      </c>
      <c r="BK213" s="7">
        <v>300</v>
      </c>
      <c r="BL213" s="20"/>
      <c r="BM213" s="20"/>
      <c r="BN213" s="20">
        <v>1</v>
      </c>
      <c r="BO213" s="20">
        <v>2500</v>
      </c>
      <c r="BP213" s="20">
        <v>2</v>
      </c>
      <c r="BQ213" s="20">
        <v>2500</v>
      </c>
      <c r="BR213" s="20" t="s">
        <v>156</v>
      </c>
    </row>
    <row r="214" s="7" customFormat="1" ht="16.5" spans="1:70">
      <c r="A214" s="7">
        <f>60000000+INDEX(编号表!$B:$B,MATCH(I214,编号表!$A:$A,0))*10000+INDEX(编号表!$B:$B,MATCH(J214,编号表!$C:$C,0))*1000+K214</f>
        <v>60252001</v>
      </c>
      <c r="B214" s="7" t="s">
        <v>637</v>
      </c>
      <c r="C214" s="7" t="s">
        <v>560</v>
      </c>
      <c r="D214" s="7" t="s">
        <v>638</v>
      </c>
      <c r="E214" s="7">
        <v>44</v>
      </c>
      <c r="F214" s="7" t="str" cm="1">
        <f t="array" ref="F214">INDEX(编号表!$E:$E,MATCH(J214,编号表!$C:$C,0))</f>
        <v>绿色</v>
      </c>
      <c r="G214" s="7">
        <v>29</v>
      </c>
      <c r="H214" s="7" t="s">
        <v>620</v>
      </c>
      <c r="I214" s="7" t="s">
        <v>620</v>
      </c>
      <c r="J214" s="7" t="s">
        <v>221</v>
      </c>
      <c r="K214" s="7">
        <v>1</v>
      </c>
      <c r="L214" s="7">
        <f>COUNTIFS(I$11:I214,I214,J$11:J214,J214)-1</f>
        <v>1</v>
      </c>
      <c r="O214" s="7">
        <v>10</v>
      </c>
      <c r="P214" s="7">
        <v>150000</v>
      </c>
      <c r="Q214" s="7" t="s">
        <v>138</v>
      </c>
      <c r="R214" s="21">
        <v>40140006</v>
      </c>
      <c r="S214" s="7"/>
      <c r="T214" s="7"/>
      <c r="U214" s="7">
        <v>11010001</v>
      </c>
      <c r="V214" s="7">
        <v>11020001</v>
      </c>
      <c r="X214" s="7" t="s">
        <v>139</v>
      </c>
      <c r="Y214" s="7" t="s">
        <v>561</v>
      </c>
      <c r="Z214" s="7">
        <v>1.2</v>
      </c>
      <c r="AA214" s="7">
        <v>80</v>
      </c>
      <c r="AB214" s="7">
        <v>80</v>
      </c>
      <c r="AC214" s="7">
        <v>20</v>
      </c>
      <c r="AD214" s="7">
        <v>30</v>
      </c>
      <c r="AE214" s="7" t="s">
        <v>206</v>
      </c>
      <c r="AF214" s="7" t="s">
        <v>562</v>
      </c>
      <c r="AG214" s="22" t="s">
        <v>222</v>
      </c>
      <c r="AI214" s="23">
        <v>1440</v>
      </c>
      <c r="AJ214" s="7" t="s">
        <v>142</v>
      </c>
      <c r="AK214" s="24">
        <v>13800</v>
      </c>
      <c r="AL214" s="7" t="s">
        <v>143</v>
      </c>
      <c r="AM214" s="7">
        <v>36</v>
      </c>
      <c r="AN214" s="7" t="s">
        <v>144</v>
      </c>
      <c r="AO214" s="7">
        <v>50</v>
      </c>
      <c r="AP214" s="7" t="s">
        <v>145</v>
      </c>
      <c r="AQ214" s="7">
        <v>34</v>
      </c>
      <c r="AR214" s="7" t="s">
        <v>146</v>
      </c>
      <c r="AS214" s="7">
        <v>49</v>
      </c>
      <c r="AT214" s="7" t="s">
        <v>147</v>
      </c>
      <c r="AU214" s="7">
        <v>130</v>
      </c>
      <c r="AV214" s="7" t="s">
        <v>148</v>
      </c>
      <c r="AW214" s="7">
        <v>175</v>
      </c>
      <c r="AX214" s="7" t="s">
        <v>149</v>
      </c>
      <c r="AY214" s="7">
        <v>130</v>
      </c>
      <c r="AZ214" s="7" t="s">
        <v>150</v>
      </c>
      <c r="BA214" s="7">
        <v>175</v>
      </c>
      <c r="BB214" s="7" t="s">
        <v>151</v>
      </c>
      <c r="BC214" s="7">
        <v>0</v>
      </c>
      <c r="BD214" s="7" t="s">
        <v>152</v>
      </c>
      <c r="BE214" s="7">
        <v>0</v>
      </c>
      <c r="BF214" s="7" t="s">
        <v>153</v>
      </c>
      <c r="BG214" s="7">
        <v>100</v>
      </c>
      <c r="BH214" s="7" t="s">
        <v>154</v>
      </c>
      <c r="BI214" s="7">
        <v>300</v>
      </c>
      <c r="BJ214" s="7" t="s">
        <v>155</v>
      </c>
      <c r="BK214" s="7">
        <v>300</v>
      </c>
      <c r="BL214" s="20"/>
      <c r="BM214" s="20"/>
      <c r="BN214" s="20">
        <v>1</v>
      </c>
      <c r="BO214" s="20">
        <v>2500</v>
      </c>
      <c r="BP214" s="20">
        <v>2</v>
      </c>
      <c r="BQ214" s="20">
        <v>2500</v>
      </c>
      <c r="BR214" s="20" t="s">
        <v>156</v>
      </c>
    </row>
    <row r="215" s="15" customFormat="1" ht="16.5" spans="1:70">
      <c r="A215" s="15">
        <f>60000000+INDEX(编号表!$B:$B,MATCH(I215,编号表!$A:$A,0))*10000+INDEX(编号表!$B:$B,MATCH(J215,编号表!$C:$C,0))*1000+K215</f>
        <v>60254000</v>
      </c>
      <c r="B215" s="15" t="s">
        <v>639</v>
      </c>
      <c r="C215" s="15" t="s">
        <v>560</v>
      </c>
      <c r="D215" s="15" t="s">
        <v>638</v>
      </c>
      <c r="E215" s="15">
        <v>44</v>
      </c>
      <c r="F215" s="15" t="str" cm="1">
        <f t="array" ref="F215">INDEX(编号表!$E:$E,MATCH(J215,编号表!$C:$C,0))</f>
        <v>橙色</v>
      </c>
      <c r="G215" s="15">
        <v>29</v>
      </c>
      <c r="H215" s="15" t="s">
        <v>620</v>
      </c>
      <c r="I215" s="15" t="s">
        <v>620</v>
      </c>
      <c r="J215" s="15" t="s">
        <v>233</v>
      </c>
      <c r="K215" s="15">
        <v>0</v>
      </c>
      <c r="L215" s="15">
        <f>COUNTIFS(I$11:I215,I215,J$11:J215,J215)-1</f>
        <v>0</v>
      </c>
      <c r="O215" s="7">
        <v>10</v>
      </c>
      <c r="P215" s="7">
        <v>150000</v>
      </c>
      <c r="Q215" s="15" t="s">
        <v>138</v>
      </c>
      <c r="R215" s="21">
        <v>40140006</v>
      </c>
      <c r="S215" s="15"/>
      <c r="T215" s="15"/>
      <c r="U215" s="15">
        <v>11010001</v>
      </c>
      <c r="V215" s="15">
        <v>11020001</v>
      </c>
      <c r="X215" s="15" t="s">
        <v>139</v>
      </c>
      <c r="Y215" s="15" t="s">
        <v>561</v>
      </c>
      <c r="Z215" s="7">
        <v>1.5</v>
      </c>
      <c r="AA215" s="7">
        <v>80</v>
      </c>
      <c r="AB215" s="7">
        <v>80</v>
      </c>
      <c r="AC215" s="7">
        <v>20</v>
      </c>
      <c r="AD215" s="7">
        <v>30</v>
      </c>
      <c r="AE215" s="15" t="s">
        <v>206</v>
      </c>
      <c r="AF215" s="7" t="s">
        <v>562</v>
      </c>
      <c r="AG215" s="22" t="s">
        <v>234</v>
      </c>
      <c r="AH215" s="15"/>
      <c r="AI215" s="23">
        <v>7150</v>
      </c>
      <c r="AJ215" s="15" t="s">
        <v>142</v>
      </c>
      <c r="AK215" s="24">
        <v>91000</v>
      </c>
      <c r="AL215" s="15" t="s">
        <v>143</v>
      </c>
      <c r="AM215" s="15">
        <v>50</v>
      </c>
      <c r="AN215" s="15" t="s">
        <v>144</v>
      </c>
      <c r="AO215" s="15">
        <v>75</v>
      </c>
      <c r="AP215" s="15" t="s">
        <v>145</v>
      </c>
      <c r="AQ215" s="15">
        <v>48</v>
      </c>
      <c r="AR215" s="15" t="s">
        <v>146</v>
      </c>
      <c r="AS215" s="15">
        <v>70</v>
      </c>
      <c r="AT215" s="15" t="s">
        <v>147</v>
      </c>
      <c r="AU215" s="15">
        <v>210</v>
      </c>
      <c r="AV215" s="15" t="s">
        <v>148</v>
      </c>
      <c r="AW215" s="15">
        <v>280</v>
      </c>
      <c r="AX215" s="15" t="s">
        <v>149</v>
      </c>
      <c r="AY215" s="15">
        <v>210</v>
      </c>
      <c r="AZ215" s="15" t="s">
        <v>150</v>
      </c>
      <c r="BA215" s="15">
        <v>280</v>
      </c>
      <c r="BB215" s="15" t="s">
        <v>151</v>
      </c>
      <c r="BC215" s="15">
        <v>0</v>
      </c>
      <c r="BD215" s="15" t="s">
        <v>152</v>
      </c>
      <c r="BE215" s="15">
        <v>0</v>
      </c>
      <c r="BF215" s="15" t="s">
        <v>153</v>
      </c>
      <c r="BG215" s="15">
        <v>100</v>
      </c>
      <c r="BH215" s="15" t="s">
        <v>154</v>
      </c>
      <c r="BI215" s="15">
        <v>300</v>
      </c>
      <c r="BJ215" s="15" t="s">
        <v>155</v>
      </c>
      <c r="BK215" s="7">
        <v>300</v>
      </c>
      <c r="BL215" s="25"/>
      <c r="BM215" s="25"/>
      <c r="BN215" s="20">
        <v>1</v>
      </c>
      <c r="BO215" s="20">
        <v>2500</v>
      </c>
      <c r="BP215" s="20">
        <v>2</v>
      </c>
      <c r="BQ215" s="20">
        <v>2500</v>
      </c>
      <c r="BR215" s="25" t="s">
        <v>156</v>
      </c>
    </row>
    <row r="216" s="7" customFormat="1" ht="16.5" spans="1:70">
      <c r="A216" s="7">
        <f>60000000+INDEX(编号表!$B:$B,MATCH(I216,编号表!$A:$A,0))*10000+INDEX(编号表!$B:$B,MATCH(J216,编号表!$C:$C,0))*1000+K216</f>
        <v>60261000</v>
      </c>
      <c r="B216" s="7" t="s">
        <v>640</v>
      </c>
      <c r="C216" s="7" t="s">
        <v>470</v>
      </c>
      <c r="D216" s="7" t="s">
        <v>641</v>
      </c>
      <c r="E216" s="7">
        <v>44</v>
      </c>
      <c r="F216" s="7" t="str" cm="1">
        <f t="array" ref="F216">INDEX(编号表!$E:$E,MATCH(J216,编号表!$C:$C,0))</f>
        <v>白色</v>
      </c>
      <c r="G216" s="7">
        <v>30</v>
      </c>
      <c r="H216" s="7" t="s">
        <v>642</v>
      </c>
      <c r="I216" s="7" t="s">
        <v>642</v>
      </c>
      <c r="J216" s="7" t="s">
        <v>137</v>
      </c>
      <c r="K216" s="7">
        <v>0</v>
      </c>
      <c r="L216" s="7">
        <f>COUNTIFS(I$11:I216,I216,J$11:J216,J216)-1</f>
        <v>0</v>
      </c>
      <c r="O216" s="7">
        <v>10</v>
      </c>
      <c r="P216" s="7">
        <v>300000</v>
      </c>
      <c r="Q216" s="7" t="s">
        <v>138</v>
      </c>
      <c r="R216" s="21">
        <v>40140006</v>
      </c>
      <c r="S216" s="7"/>
      <c r="T216" s="7"/>
      <c r="U216" s="7">
        <v>11010001</v>
      </c>
      <c r="V216" s="7">
        <v>11020001</v>
      </c>
      <c r="X216" s="7" t="s">
        <v>139</v>
      </c>
      <c r="Y216" s="7" t="s">
        <v>471</v>
      </c>
      <c r="Z216" s="7"/>
      <c r="AA216" s="7">
        <v>80</v>
      </c>
      <c r="AB216" s="7">
        <v>80</v>
      </c>
      <c r="AC216" s="7">
        <v>20</v>
      </c>
      <c r="AD216" s="7">
        <v>30</v>
      </c>
      <c r="AE216" s="7" t="s">
        <v>141</v>
      </c>
      <c r="AF216" s="7"/>
      <c r="AG216" s="22"/>
      <c r="AI216" s="23">
        <v>360</v>
      </c>
      <c r="AJ216" s="7" t="s">
        <v>142</v>
      </c>
      <c r="AK216" s="24">
        <v>3100</v>
      </c>
      <c r="AL216" s="7" t="s">
        <v>143</v>
      </c>
      <c r="AM216" s="7">
        <v>30</v>
      </c>
      <c r="AN216" s="7" t="s">
        <v>144</v>
      </c>
      <c r="AO216" s="7">
        <v>43</v>
      </c>
      <c r="AP216" s="7" t="s">
        <v>145</v>
      </c>
      <c r="AQ216" s="7">
        <v>28</v>
      </c>
      <c r="AR216" s="7" t="s">
        <v>146</v>
      </c>
      <c r="AS216" s="7">
        <v>41</v>
      </c>
      <c r="AT216" s="7" t="s">
        <v>147</v>
      </c>
      <c r="AU216" s="7">
        <v>60</v>
      </c>
      <c r="AV216" s="7" t="s">
        <v>148</v>
      </c>
      <c r="AW216" s="7">
        <v>80</v>
      </c>
      <c r="AX216" s="7" t="s">
        <v>149</v>
      </c>
      <c r="AY216" s="7">
        <v>60</v>
      </c>
      <c r="AZ216" s="7" t="s">
        <v>150</v>
      </c>
      <c r="BA216" s="7">
        <v>80</v>
      </c>
      <c r="BB216" s="7" t="s">
        <v>151</v>
      </c>
      <c r="BC216" s="7">
        <v>1</v>
      </c>
      <c r="BD216" s="7" t="s">
        <v>152</v>
      </c>
      <c r="BE216" s="7">
        <v>2</v>
      </c>
      <c r="BF216" s="7" t="s">
        <v>153</v>
      </c>
      <c r="BG216" s="7">
        <v>100</v>
      </c>
      <c r="BH216" s="7" t="s">
        <v>154</v>
      </c>
      <c r="BI216" s="7">
        <v>10</v>
      </c>
      <c r="BJ216" s="7" t="s">
        <v>155</v>
      </c>
      <c r="BK216" s="7">
        <v>300</v>
      </c>
      <c r="BL216" s="20"/>
      <c r="BM216" s="20"/>
      <c r="BN216" s="20">
        <v>1</v>
      </c>
      <c r="BO216" s="20">
        <v>2500</v>
      </c>
      <c r="BP216" s="20">
        <v>2</v>
      </c>
      <c r="BQ216" s="20">
        <v>2500</v>
      </c>
      <c r="BR216" s="20" t="s">
        <v>156</v>
      </c>
    </row>
    <row r="217" s="7" customFormat="1" ht="16.5" spans="1:70">
      <c r="A217" s="7">
        <f>60000000+INDEX(编号表!$B:$B,MATCH(I217,编号表!$A:$A,0))*10000+INDEX(编号表!$B:$B,MATCH(J217,编号表!$C:$C,0))*1000+K217</f>
        <v>60261001</v>
      </c>
      <c r="B217" s="7" t="s">
        <v>643</v>
      </c>
      <c r="C217" s="7" t="s">
        <v>467</v>
      </c>
      <c r="D217" s="7" t="s">
        <v>644</v>
      </c>
      <c r="E217" s="7">
        <v>44</v>
      </c>
      <c r="F217" s="7" t="str" cm="1">
        <f t="array" ref="F217">INDEX(编号表!$E:$E,MATCH(J217,编号表!$C:$C,0))</f>
        <v>白色</v>
      </c>
      <c r="G217" s="7">
        <v>30</v>
      </c>
      <c r="H217" s="7" t="s">
        <v>642</v>
      </c>
      <c r="I217" s="7" t="s">
        <v>642</v>
      </c>
      <c r="J217" s="7" t="s">
        <v>137</v>
      </c>
      <c r="K217" s="7">
        <v>1</v>
      </c>
      <c r="L217" s="7">
        <f>COUNTIFS(I$11:I217,I217,J$11:J217,J217)-1</f>
        <v>1</v>
      </c>
      <c r="O217" s="7">
        <v>10</v>
      </c>
      <c r="P217" s="7">
        <v>300000</v>
      </c>
      <c r="Q217" s="7" t="s">
        <v>138</v>
      </c>
      <c r="R217" s="21">
        <v>40140006</v>
      </c>
      <c r="S217" s="7"/>
      <c r="T217" s="7"/>
      <c r="U217" s="7">
        <v>11010001</v>
      </c>
      <c r="V217" s="7">
        <v>11020001</v>
      </c>
      <c r="X217" s="7" t="s">
        <v>139</v>
      </c>
      <c r="Y217" s="7" t="s">
        <v>468</v>
      </c>
      <c r="Z217" s="7"/>
      <c r="AA217" s="7">
        <v>80</v>
      </c>
      <c r="AB217" s="7">
        <v>80</v>
      </c>
      <c r="AC217" s="7">
        <v>20</v>
      </c>
      <c r="AD217" s="7">
        <v>30</v>
      </c>
      <c r="AE217" s="7" t="s">
        <v>141</v>
      </c>
      <c r="AF217" s="7"/>
      <c r="AG217" s="22"/>
      <c r="AI217" s="23">
        <v>360</v>
      </c>
      <c r="AJ217" s="7" t="s">
        <v>142</v>
      </c>
      <c r="AK217" s="24">
        <v>3100</v>
      </c>
      <c r="AL217" s="7" t="s">
        <v>143</v>
      </c>
      <c r="AM217" s="7">
        <v>30</v>
      </c>
      <c r="AN217" s="7" t="s">
        <v>144</v>
      </c>
      <c r="AO217" s="7">
        <v>43</v>
      </c>
      <c r="AP217" s="7" t="s">
        <v>145</v>
      </c>
      <c r="AQ217" s="7">
        <v>28</v>
      </c>
      <c r="AR217" s="7" t="s">
        <v>146</v>
      </c>
      <c r="AS217" s="7">
        <v>41</v>
      </c>
      <c r="AT217" s="7" t="s">
        <v>147</v>
      </c>
      <c r="AU217" s="7">
        <v>60</v>
      </c>
      <c r="AV217" s="7" t="s">
        <v>148</v>
      </c>
      <c r="AW217" s="7">
        <v>80</v>
      </c>
      <c r="AX217" s="7" t="s">
        <v>149</v>
      </c>
      <c r="AY217" s="7">
        <v>60</v>
      </c>
      <c r="AZ217" s="7" t="s">
        <v>150</v>
      </c>
      <c r="BA217" s="7">
        <v>80</v>
      </c>
      <c r="BB217" s="7" t="s">
        <v>151</v>
      </c>
      <c r="BC217" s="7">
        <v>1</v>
      </c>
      <c r="BD217" s="7" t="s">
        <v>152</v>
      </c>
      <c r="BE217" s="7">
        <v>2</v>
      </c>
      <c r="BF217" s="7" t="s">
        <v>153</v>
      </c>
      <c r="BG217" s="7">
        <v>100</v>
      </c>
      <c r="BH217" s="7" t="s">
        <v>154</v>
      </c>
      <c r="BI217" s="7">
        <v>10</v>
      </c>
      <c r="BJ217" s="7" t="s">
        <v>155</v>
      </c>
      <c r="BK217" s="7">
        <v>300</v>
      </c>
      <c r="BL217" s="20"/>
      <c r="BM217" s="20"/>
      <c r="BN217" s="20">
        <v>1</v>
      </c>
      <c r="BO217" s="20">
        <v>2500</v>
      </c>
      <c r="BP217" s="20">
        <v>2</v>
      </c>
      <c r="BQ217" s="20">
        <v>2500</v>
      </c>
      <c r="BR217" s="20" t="s">
        <v>156</v>
      </c>
    </row>
    <row r="218" s="7" customFormat="1" ht="16.5" spans="1:70">
      <c r="A218" s="7">
        <f>60000000+INDEX(编号表!$B:$B,MATCH(I218,编号表!$A:$A,0))*10000+INDEX(编号表!$B:$B,MATCH(J218,编号表!$C:$C,0))*1000+K218</f>
        <v>60261002</v>
      </c>
      <c r="B218" s="7" t="s">
        <v>645</v>
      </c>
      <c r="C218" s="7" t="s">
        <v>381</v>
      </c>
      <c r="D218" s="7" t="s">
        <v>646</v>
      </c>
      <c r="E218" s="7">
        <v>44</v>
      </c>
      <c r="F218" s="7" t="str" cm="1">
        <f t="array" ref="F218">INDEX(编号表!$E:$E,MATCH(J218,编号表!$C:$C,0))</f>
        <v>白色</v>
      </c>
      <c r="G218" s="7">
        <v>30</v>
      </c>
      <c r="H218" s="7" t="s">
        <v>642</v>
      </c>
      <c r="I218" s="7" t="s">
        <v>642</v>
      </c>
      <c r="J218" s="7" t="s">
        <v>137</v>
      </c>
      <c r="K218" s="7">
        <v>2</v>
      </c>
      <c r="L218" s="7">
        <f>COUNTIFS(I$11:I218,I218,J$11:J218,J218)-1</f>
        <v>2</v>
      </c>
      <c r="O218" s="7">
        <v>10</v>
      </c>
      <c r="P218" s="7">
        <v>300000</v>
      </c>
      <c r="Q218" s="7" t="s">
        <v>138</v>
      </c>
      <c r="R218" s="21">
        <v>40140006</v>
      </c>
      <c r="S218" s="7"/>
      <c r="T218" s="7"/>
      <c r="U218" s="7">
        <v>11010001</v>
      </c>
      <c r="V218" s="7">
        <v>11020001</v>
      </c>
      <c r="X218" s="7" t="s">
        <v>139</v>
      </c>
      <c r="Y218" s="7" t="s">
        <v>384</v>
      </c>
      <c r="Z218" s="7"/>
      <c r="AA218" s="7">
        <v>80</v>
      </c>
      <c r="AB218" s="7">
        <v>80</v>
      </c>
      <c r="AC218" s="7">
        <v>20</v>
      </c>
      <c r="AD218" s="7">
        <v>30</v>
      </c>
      <c r="AE218" s="7" t="s">
        <v>141</v>
      </c>
      <c r="AF218" s="7"/>
      <c r="AG218" s="22"/>
      <c r="AI218" s="23">
        <v>360</v>
      </c>
      <c r="AJ218" s="7" t="s">
        <v>142</v>
      </c>
      <c r="AK218" s="24">
        <v>3100</v>
      </c>
      <c r="AL218" s="7" t="s">
        <v>143</v>
      </c>
      <c r="AM218" s="7">
        <v>30</v>
      </c>
      <c r="AN218" s="7" t="s">
        <v>144</v>
      </c>
      <c r="AO218" s="7">
        <v>43</v>
      </c>
      <c r="AP218" s="7" t="s">
        <v>145</v>
      </c>
      <c r="AQ218" s="7">
        <v>28</v>
      </c>
      <c r="AR218" s="7" t="s">
        <v>146</v>
      </c>
      <c r="AS218" s="7">
        <v>41</v>
      </c>
      <c r="AT218" s="7" t="s">
        <v>147</v>
      </c>
      <c r="AU218" s="7">
        <v>60</v>
      </c>
      <c r="AV218" s="7" t="s">
        <v>148</v>
      </c>
      <c r="AW218" s="7">
        <v>80</v>
      </c>
      <c r="AX218" s="7" t="s">
        <v>149</v>
      </c>
      <c r="AY218" s="7">
        <v>60</v>
      </c>
      <c r="AZ218" s="7" t="s">
        <v>150</v>
      </c>
      <c r="BA218" s="7">
        <v>80</v>
      </c>
      <c r="BB218" s="7" t="s">
        <v>151</v>
      </c>
      <c r="BC218" s="7">
        <v>1</v>
      </c>
      <c r="BD218" s="7" t="s">
        <v>152</v>
      </c>
      <c r="BE218" s="7">
        <v>2</v>
      </c>
      <c r="BF218" s="7" t="s">
        <v>153</v>
      </c>
      <c r="BG218" s="7">
        <v>100</v>
      </c>
      <c r="BH218" s="7" t="s">
        <v>154</v>
      </c>
      <c r="BI218" s="7">
        <v>10</v>
      </c>
      <c r="BJ218" s="7" t="s">
        <v>155</v>
      </c>
      <c r="BK218" s="7">
        <v>300</v>
      </c>
      <c r="BL218" s="20"/>
      <c r="BM218" s="20"/>
      <c r="BN218" s="20">
        <v>1</v>
      </c>
      <c r="BO218" s="20">
        <v>2500</v>
      </c>
      <c r="BP218" s="20">
        <v>2</v>
      </c>
      <c r="BQ218" s="20">
        <v>2500</v>
      </c>
      <c r="BR218" s="20" t="s">
        <v>156</v>
      </c>
    </row>
    <row r="219" s="7" customFormat="1" ht="16.5" spans="1:70">
      <c r="A219" s="7">
        <f>60000000+INDEX(编号表!$B:$B,MATCH(I219,编号表!$A:$A,0))*10000+INDEX(编号表!$B:$B,MATCH(J219,编号表!$C:$C,0))*1000+K219</f>
        <v>60261003</v>
      </c>
      <c r="B219" s="7" t="s">
        <v>647</v>
      </c>
      <c r="C219" s="7" t="s">
        <v>485</v>
      </c>
      <c r="D219" s="7" t="s">
        <v>648</v>
      </c>
      <c r="E219" s="7">
        <v>44</v>
      </c>
      <c r="F219" s="7" t="str" cm="1">
        <f t="array" ref="F219">INDEX(编号表!$E:$E,MATCH(J219,编号表!$C:$C,0))</f>
        <v>白色</v>
      </c>
      <c r="G219" s="7">
        <v>30</v>
      </c>
      <c r="H219" s="7" t="s">
        <v>642</v>
      </c>
      <c r="I219" s="7" t="s">
        <v>642</v>
      </c>
      <c r="J219" s="7" t="s">
        <v>137</v>
      </c>
      <c r="K219" s="7">
        <v>3</v>
      </c>
      <c r="L219" s="7">
        <f>COUNTIFS(I$11:I219,I219,J$11:J219,J219)-1</f>
        <v>3</v>
      </c>
      <c r="O219" s="7">
        <v>10</v>
      </c>
      <c r="P219" s="7">
        <v>300000</v>
      </c>
      <c r="Q219" s="7" t="s">
        <v>138</v>
      </c>
      <c r="R219" s="21">
        <v>40140006</v>
      </c>
      <c r="S219" s="7"/>
      <c r="T219" s="7"/>
      <c r="U219" s="7">
        <v>11010001</v>
      </c>
      <c r="V219" s="7">
        <v>11020001</v>
      </c>
      <c r="X219" s="7" t="s">
        <v>139</v>
      </c>
      <c r="Y219" s="7" t="s">
        <v>486</v>
      </c>
      <c r="Z219" s="7"/>
      <c r="AA219" s="7">
        <v>80</v>
      </c>
      <c r="AB219" s="7">
        <v>80</v>
      </c>
      <c r="AC219" s="7">
        <v>20</v>
      </c>
      <c r="AD219" s="7">
        <v>30</v>
      </c>
      <c r="AE219" s="7" t="s">
        <v>141</v>
      </c>
      <c r="AF219" s="7"/>
      <c r="AG219" s="22"/>
      <c r="AI219" s="23">
        <v>360</v>
      </c>
      <c r="AJ219" s="7" t="s">
        <v>142</v>
      </c>
      <c r="AK219" s="24">
        <v>2700</v>
      </c>
      <c r="AL219" s="7" t="s">
        <v>143</v>
      </c>
      <c r="AM219" s="7">
        <v>26</v>
      </c>
      <c r="AN219" s="7" t="s">
        <v>144</v>
      </c>
      <c r="AO219" s="7">
        <v>38</v>
      </c>
      <c r="AP219" s="7" t="s">
        <v>145</v>
      </c>
      <c r="AQ219" s="7">
        <v>24</v>
      </c>
      <c r="AR219" s="7" t="s">
        <v>146</v>
      </c>
      <c r="AS219" s="7">
        <v>36</v>
      </c>
      <c r="AT219" s="7" t="s">
        <v>147</v>
      </c>
      <c r="AU219" s="7">
        <v>65</v>
      </c>
      <c r="AV219" s="7" t="s">
        <v>148</v>
      </c>
      <c r="AW219" s="7">
        <v>85</v>
      </c>
      <c r="AX219" s="7" t="s">
        <v>149</v>
      </c>
      <c r="AY219" s="7">
        <v>65</v>
      </c>
      <c r="AZ219" s="7" t="s">
        <v>150</v>
      </c>
      <c r="BA219" s="7">
        <v>85</v>
      </c>
      <c r="BB219" s="7" t="s">
        <v>151</v>
      </c>
      <c r="BC219" s="7">
        <v>1</v>
      </c>
      <c r="BD219" s="7" t="s">
        <v>152</v>
      </c>
      <c r="BE219" s="7">
        <v>2</v>
      </c>
      <c r="BF219" s="7" t="s">
        <v>153</v>
      </c>
      <c r="BG219" s="7">
        <v>100</v>
      </c>
      <c r="BH219" s="7" t="s">
        <v>154</v>
      </c>
      <c r="BI219" s="7">
        <v>10</v>
      </c>
      <c r="BJ219" s="7" t="s">
        <v>155</v>
      </c>
      <c r="BK219" s="7">
        <v>300</v>
      </c>
      <c r="BL219" s="20"/>
      <c r="BM219" s="20"/>
      <c r="BN219" s="20">
        <v>1</v>
      </c>
      <c r="BO219" s="20">
        <v>2500</v>
      </c>
      <c r="BP219" s="20">
        <v>2</v>
      </c>
      <c r="BQ219" s="20">
        <v>2500</v>
      </c>
      <c r="BR219" s="20" t="s">
        <v>156</v>
      </c>
    </row>
    <row r="220" s="7" customFormat="1" ht="16.5" spans="1:70">
      <c r="A220" s="7">
        <f>60000000+INDEX(编号表!$B:$B,MATCH(I220,编号表!$A:$A,0))*10000+INDEX(编号表!$B:$B,MATCH(J220,编号表!$C:$C,0))*1000+K220</f>
        <v>60261004</v>
      </c>
      <c r="B220" s="7" t="s">
        <v>649</v>
      </c>
      <c r="C220" s="7" t="s">
        <v>560</v>
      </c>
      <c r="D220" s="7" t="s">
        <v>650</v>
      </c>
      <c r="E220" s="7">
        <v>44</v>
      </c>
      <c r="F220" s="7" t="str" cm="1">
        <f t="array" ref="F220">INDEX(编号表!$E:$E,MATCH(J220,编号表!$C:$C,0))</f>
        <v>白色</v>
      </c>
      <c r="G220" s="7">
        <v>30</v>
      </c>
      <c r="H220" s="7" t="s">
        <v>642</v>
      </c>
      <c r="I220" s="7" t="s">
        <v>642</v>
      </c>
      <c r="J220" s="7" t="s">
        <v>137</v>
      </c>
      <c r="K220" s="7">
        <v>4</v>
      </c>
      <c r="L220" s="7">
        <f>COUNTIFS(I$11:I220,I220,J$11:J220,J220)-1</f>
        <v>4</v>
      </c>
      <c r="O220" s="7">
        <v>10</v>
      </c>
      <c r="P220" s="7">
        <v>150000</v>
      </c>
      <c r="Q220" s="7" t="s">
        <v>138</v>
      </c>
      <c r="R220" s="21">
        <v>40140006</v>
      </c>
      <c r="S220" s="7"/>
      <c r="T220" s="7"/>
      <c r="U220" s="7">
        <v>11010001</v>
      </c>
      <c r="V220" s="7">
        <v>11020001</v>
      </c>
      <c r="X220" s="7" t="s">
        <v>139</v>
      </c>
      <c r="Y220" s="7" t="s">
        <v>561</v>
      </c>
      <c r="Z220" s="7">
        <v>1.2</v>
      </c>
      <c r="AA220" s="7">
        <v>80</v>
      </c>
      <c r="AB220" s="7">
        <v>80</v>
      </c>
      <c r="AC220" s="7">
        <v>20</v>
      </c>
      <c r="AD220" s="7">
        <v>30</v>
      </c>
      <c r="AE220" s="7" t="s">
        <v>206</v>
      </c>
      <c r="AF220" s="7" t="s">
        <v>562</v>
      </c>
      <c r="AG220" s="22"/>
      <c r="AI220" s="23">
        <v>360</v>
      </c>
      <c r="AJ220" s="7" t="s">
        <v>142</v>
      </c>
      <c r="AK220" s="24">
        <v>2500</v>
      </c>
      <c r="AL220" s="7" t="s">
        <v>143</v>
      </c>
      <c r="AM220" s="7">
        <v>24</v>
      </c>
      <c r="AN220" s="7" t="s">
        <v>144</v>
      </c>
      <c r="AO220" s="7">
        <v>34</v>
      </c>
      <c r="AP220" s="7" t="s">
        <v>145</v>
      </c>
      <c r="AQ220" s="7">
        <v>22</v>
      </c>
      <c r="AR220" s="7" t="s">
        <v>146</v>
      </c>
      <c r="AS220" s="7">
        <v>32</v>
      </c>
      <c r="AT220" s="7" t="s">
        <v>147</v>
      </c>
      <c r="AU220" s="7">
        <v>65</v>
      </c>
      <c r="AV220" s="7" t="s">
        <v>148</v>
      </c>
      <c r="AW220" s="7">
        <v>90</v>
      </c>
      <c r="AX220" s="7" t="s">
        <v>149</v>
      </c>
      <c r="AY220" s="7">
        <v>65</v>
      </c>
      <c r="AZ220" s="7" t="s">
        <v>150</v>
      </c>
      <c r="BA220" s="7">
        <v>90</v>
      </c>
      <c r="BB220" s="7" t="s">
        <v>151</v>
      </c>
      <c r="BC220" s="7">
        <v>0</v>
      </c>
      <c r="BD220" s="7" t="s">
        <v>152</v>
      </c>
      <c r="BE220" s="7">
        <v>0</v>
      </c>
      <c r="BF220" s="7" t="s">
        <v>153</v>
      </c>
      <c r="BG220" s="7">
        <v>100</v>
      </c>
      <c r="BH220" s="7" t="s">
        <v>154</v>
      </c>
      <c r="BI220" s="7">
        <v>300</v>
      </c>
      <c r="BJ220" s="7" t="s">
        <v>155</v>
      </c>
      <c r="BK220" s="7">
        <v>300</v>
      </c>
      <c r="BL220" s="20"/>
      <c r="BM220" s="20"/>
      <c r="BN220" s="20">
        <v>1</v>
      </c>
      <c r="BO220" s="20">
        <v>2500</v>
      </c>
      <c r="BP220" s="20">
        <v>2</v>
      </c>
      <c r="BQ220" s="20">
        <v>2500</v>
      </c>
      <c r="BR220" s="20" t="s">
        <v>156</v>
      </c>
    </row>
    <row r="221" s="7" customFormat="1" ht="16.5" spans="1:70">
      <c r="A221" s="7">
        <f>60000000+INDEX(编号表!$B:$B,MATCH(I221,编号表!$A:$A,0))*10000+INDEX(编号表!$B:$B,MATCH(J221,编号表!$C:$C,0))*1000+K221</f>
        <v>60261005</v>
      </c>
      <c r="B221" s="7" t="s">
        <v>651</v>
      </c>
      <c r="C221" s="7" t="s">
        <v>557</v>
      </c>
      <c r="D221" s="7" t="s">
        <v>652</v>
      </c>
      <c r="E221" s="7">
        <v>44</v>
      </c>
      <c r="F221" s="7" t="str" cm="1">
        <f t="array" ref="F221">INDEX(编号表!$E:$E,MATCH(J221,编号表!$C:$C,0))</f>
        <v>白色</v>
      </c>
      <c r="G221" s="7">
        <v>30</v>
      </c>
      <c r="H221" s="7" t="s">
        <v>642</v>
      </c>
      <c r="I221" s="7" t="s">
        <v>642</v>
      </c>
      <c r="J221" s="7" t="s">
        <v>137</v>
      </c>
      <c r="K221" s="7">
        <v>5</v>
      </c>
      <c r="L221" s="7">
        <f>COUNTIFS(I$11:I221,I221,J$11:J221,J221)-1</f>
        <v>5</v>
      </c>
      <c r="O221" s="7">
        <v>10</v>
      </c>
      <c r="P221" s="7">
        <v>150000</v>
      </c>
      <c r="Q221" s="7" t="s">
        <v>138</v>
      </c>
      <c r="R221" s="21">
        <v>40140006</v>
      </c>
      <c r="S221" s="7"/>
      <c r="T221" s="7"/>
      <c r="U221" s="7">
        <v>11010001</v>
      </c>
      <c r="V221" s="7">
        <v>11020001</v>
      </c>
      <c r="X221" s="7" t="s">
        <v>139</v>
      </c>
      <c r="Y221" s="7" t="s">
        <v>558</v>
      </c>
      <c r="Z221" s="7"/>
      <c r="AA221" s="7">
        <v>80</v>
      </c>
      <c r="AB221" s="7">
        <v>80</v>
      </c>
      <c r="AC221" s="7">
        <v>20</v>
      </c>
      <c r="AD221" s="7">
        <v>30</v>
      </c>
      <c r="AE221" s="7" t="s">
        <v>141</v>
      </c>
      <c r="AF221" s="7"/>
      <c r="AG221" s="22"/>
      <c r="AI221" s="23">
        <v>360</v>
      </c>
      <c r="AJ221" s="7" t="s">
        <v>142</v>
      </c>
      <c r="AK221" s="24">
        <v>3100</v>
      </c>
      <c r="AL221" s="7" t="s">
        <v>143</v>
      </c>
      <c r="AM221" s="7">
        <v>30</v>
      </c>
      <c r="AN221" s="7" t="s">
        <v>144</v>
      </c>
      <c r="AO221" s="7">
        <v>43</v>
      </c>
      <c r="AP221" s="7" t="s">
        <v>145</v>
      </c>
      <c r="AQ221" s="7">
        <v>28</v>
      </c>
      <c r="AR221" s="7" t="s">
        <v>146</v>
      </c>
      <c r="AS221" s="7">
        <v>41</v>
      </c>
      <c r="AT221" s="7" t="s">
        <v>147</v>
      </c>
      <c r="AU221" s="7">
        <v>60</v>
      </c>
      <c r="AV221" s="7" t="s">
        <v>148</v>
      </c>
      <c r="AW221" s="7">
        <v>80</v>
      </c>
      <c r="AX221" s="7" t="s">
        <v>149</v>
      </c>
      <c r="AY221" s="7">
        <v>60</v>
      </c>
      <c r="AZ221" s="7" t="s">
        <v>150</v>
      </c>
      <c r="BA221" s="7">
        <v>80</v>
      </c>
      <c r="BB221" s="7" t="s">
        <v>151</v>
      </c>
      <c r="BC221" s="7">
        <v>0</v>
      </c>
      <c r="BD221" s="7" t="s">
        <v>152</v>
      </c>
      <c r="BE221" s="7">
        <v>0</v>
      </c>
      <c r="BF221" s="7" t="s">
        <v>153</v>
      </c>
      <c r="BG221" s="7">
        <v>100</v>
      </c>
      <c r="BH221" s="7" t="s">
        <v>154</v>
      </c>
      <c r="BI221" s="7">
        <v>10</v>
      </c>
      <c r="BJ221" s="7" t="s">
        <v>155</v>
      </c>
      <c r="BK221" s="7">
        <v>300</v>
      </c>
      <c r="BL221" s="20"/>
      <c r="BM221" s="20"/>
      <c r="BN221" s="20">
        <v>1</v>
      </c>
      <c r="BO221" s="20">
        <v>2500</v>
      </c>
      <c r="BP221" s="20">
        <v>2</v>
      </c>
      <c r="BQ221" s="20">
        <v>2500</v>
      </c>
      <c r="BR221" s="20" t="s">
        <v>156</v>
      </c>
    </row>
    <row r="222" s="7" customFormat="1" ht="16.5" spans="1:70">
      <c r="A222" s="7">
        <f>60000000+INDEX(编号表!$B:$B,MATCH(I222,编号表!$A:$A,0))*10000+INDEX(编号表!$B:$B,MATCH(J222,编号表!$C:$C,0))*1000+K222</f>
        <v>60261006</v>
      </c>
      <c r="B222" s="7" t="s">
        <v>653</v>
      </c>
      <c r="C222" s="7" t="s">
        <v>574</v>
      </c>
      <c r="D222" s="7" t="s">
        <v>654</v>
      </c>
      <c r="E222" s="7">
        <v>44</v>
      </c>
      <c r="F222" s="7" t="str" cm="1">
        <f t="array" ref="F222">INDEX(编号表!$E:$E,MATCH(J222,编号表!$C:$C,0))</f>
        <v>白色</v>
      </c>
      <c r="G222" s="7">
        <v>30</v>
      </c>
      <c r="H222" s="7" t="s">
        <v>642</v>
      </c>
      <c r="I222" s="7" t="s">
        <v>642</v>
      </c>
      <c r="J222" s="7" t="s">
        <v>137</v>
      </c>
      <c r="K222" s="7">
        <v>6</v>
      </c>
      <c r="L222" s="7">
        <f>COUNTIFS(I$11:I222,I222,J$11:J222,J222)-1</f>
        <v>6</v>
      </c>
      <c r="O222" s="7">
        <v>10</v>
      </c>
      <c r="P222" s="7">
        <v>150000</v>
      </c>
      <c r="Q222" s="7" t="s">
        <v>138</v>
      </c>
      <c r="R222" s="21">
        <v>40140006</v>
      </c>
      <c r="S222" s="7"/>
      <c r="T222" s="7"/>
      <c r="U222" s="7">
        <v>11010001</v>
      </c>
      <c r="V222" s="7">
        <v>11020001</v>
      </c>
      <c r="X222" s="7" t="s">
        <v>139</v>
      </c>
      <c r="Y222" s="7" t="s">
        <v>575</v>
      </c>
      <c r="Z222" s="7">
        <v>1.5</v>
      </c>
      <c r="AA222" s="7">
        <v>80</v>
      </c>
      <c r="AB222" s="7">
        <v>80</v>
      </c>
      <c r="AC222" s="7">
        <v>20</v>
      </c>
      <c r="AD222" s="7">
        <v>30</v>
      </c>
      <c r="AE222" s="7" t="s">
        <v>141</v>
      </c>
      <c r="AF222" s="7"/>
      <c r="AG222" s="22"/>
      <c r="AI222" s="23">
        <v>360</v>
      </c>
      <c r="AJ222" s="7" t="s">
        <v>142</v>
      </c>
      <c r="AK222" s="24">
        <v>2700</v>
      </c>
      <c r="AL222" s="7" t="s">
        <v>143</v>
      </c>
      <c r="AM222" s="7">
        <v>26</v>
      </c>
      <c r="AN222" s="7" t="s">
        <v>144</v>
      </c>
      <c r="AO222" s="7">
        <v>38</v>
      </c>
      <c r="AP222" s="7" t="s">
        <v>145</v>
      </c>
      <c r="AQ222" s="7">
        <v>24</v>
      </c>
      <c r="AR222" s="7" t="s">
        <v>146</v>
      </c>
      <c r="AS222" s="7">
        <v>36</v>
      </c>
      <c r="AT222" s="7" t="s">
        <v>147</v>
      </c>
      <c r="AU222" s="7">
        <v>60</v>
      </c>
      <c r="AV222" s="7" t="s">
        <v>148</v>
      </c>
      <c r="AW222" s="7">
        <v>80</v>
      </c>
      <c r="AX222" s="7" t="s">
        <v>149</v>
      </c>
      <c r="AY222" s="7">
        <v>60</v>
      </c>
      <c r="AZ222" s="7" t="s">
        <v>150</v>
      </c>
      <c r="BA222" s="7">
        <v>80</v>
      </c>
      <c r="BB222" s="7" t="s">
        <v>151</v>
      </c>
      <c r="BC222" s="7">
        <v>0</v>
      </c>
      <c r="BD222" s="7" t="s">
        <v>152</v>
      </c>
      <c r="BE222" s="7">
        <v>0</v>
      </c>
      <c r="BF222" s="7" t="s">
        <v>153</v>
      </c>
      <c r="BG222" s="7">
        <v>100</v>
      </c>
      <c r="BH222" s="7" t="s">
        <v>154</v>
      </c>
      <c r="BI222" s="7">
        <v>10</v>
      </c>
      <c r="BJ222" s="7" t="s">
        <v>155</v>
      </c>
      <c r="BK222" s="7">
        <v>300</v>
      </c>
      <c r="BL222" s="20"/>
      <c r="BM222" s="20"/>
      <c r="BN222" s="20">
        <v>1</v>
      </c>
      <c r="BO222" s="20">
        <v>2500</v>
      </c>
      <c r="BP222" s="20">
        <v>2</v>
      </c>
      <c r="BQ222" s="20">
        <v>2500</v>
      </c>
      <c r="BR222" s="20" t="s">
        <v>156</v>
      </c>
    </row>
    <row r="223" s="7" customFormat="1" ht="16.5" spans="1:70">
      <c r="A223" s="16">
        <f>60000000+INDEX(编号表!$B:$B,MATCH(I223,编号表!$A:$A,0))*10000+INDEX(编号表!$B:$B,MATCH(J223,编号表!$C:$C,0))*1000+K223</f>
        <v>60262000</v>
      </c>
      <c r="B223" s="16" t="s">
        <v>655</v>
      </c>
      <c r="C223" s="16" t="s">
        <v>656</v>
      </c>
      <c r="D223" s="16" t="s">
        <v>543</v>
      </c>
      <c r="E223" s="7">
        <v>45</v>
      </c>
      <c r="F223" s="7" t="str" cm="1">
        <f t="array" ref="F223">INDEX(编号表!$E:$E,MATCH(J223,编号表!$C:$C,0))</f>
        <v>绿色</v>
      </c>
      <c r="G223" s="7">
        <v>30</v>
      </c>
      <c r="H223" s="7" t="s">
        <v>642</v>
      </c>
      <c r="I223" s="7" t="s">
        <v>642</v>
      </c>
      <c r="J223" s="7" t="s">
        <v>221</v>
      </c>
      <c r="K223" s="7">
        <v>0</v>
      </c>
      <c r="L223" s="7">
        <f>COUNTIFS(I$11:I223,I223,J$11:J223,J223)-1</f>
        <v>0</v>
      </c>
      <c r="O223" s="7">
        <v>10</v>
      </c>
      <c r="P223" s="7">
        <v>300000</v>
      </c>
      <c r="Q223" s="7" t="s">
        <v>138</v>
      </c>
      <c r="R223" s="21">
        <v>40140006</v>
      </c>
      <c r="S223" s="7"/>
      <c r="T223" s="7"/>
      <c r="U223" s="7">
        <v>11010001</v>
      </c>
      <c r="V223" s="7">
        <v>11020001</v>
      </c>
      <c r="X223" s="7" t="s">
        <v>139</v>
      </c>
      <c r="Y223" s="7" t="s">
        <v>657</v>
      </c>
      <c r="Z223" s="7"/>
      <c r="AA223" s="7">
        <v>80</v>
      </c>
      <c r="AB223" s="7">
        <v>80</v>
      </c>
      <c r="AC223" s="7">
        <v>20</v>
      </c>
      <c r="AD223" s="7">
        <v>30</v>
      </c>
      <c r="AE223" s="7" t="s">
        <v>141</v>
      </c>
      <c r="AF223" s="7"/>
      <c r="AG223" s="22" t="s">
        <v>222</v>
      </c>
      <c r="AI223" s="23">
        <v>1520</v>
      </c>
      <c r="AJ223" s="7" t="s">
        <v>142</v>
      </c>
      <c r="AK223" s="24">
        <v>16000</v>
      </c>
      <c r="AL223" s="7" t="s">
        <v>143</v>
      </c>
      <c r="AM223" s="7">
        <v>42</v>
      </c>
      <c r="AN223" s="7" t="s">
        <v>144</v>
      </c>
      <c r="AO223" s="7">
        <v>60</v>
      </c>
      <c r="AP223" s="7" t="s">
        <v>145</v>
      </c>
      <c r="AQ223" s="7">
        <v>39</v>
      </c>
      <c r="AR223" s="7" t="s">
        <v>146</v>
      </c>
      <c r="AS223" s="7">
        <v>55</v>
      </c>
      <c r="AT223" s="7" t="s">
        <v>147</v>
      </c>
      <c r="AU223" s="7">
        <v>120</v>
      </c>
      <c r="AV223" s="7" t="s">
        <v>148</v>
      </c>
      <c r="AW223" s="7">
        <v>165</v>
      </c>
      <c r="AX223" s="7" t="s">
        <v>149</v>
      </c>
      <c r="AY223" s="7">
        <v>120</v>
      </c>
      <c r="AZ223" s="7" t="s">
        <v>150</v>
      </c>
      <c r="BA223" s="7">
        <v>165</v>
      </c>
      <c r="BB223" s="7" t="s">
        <v>151</v>
      </c>
      <c r="BC223" s="7">
        <v>1</v>
      </c>
      <c r="BD223" s="7" t="s">
        <v>152</v>
      </c>
      <c r="BE223" s="7">
        <v>2</v>
      </c>
      <c r="BF223" s="7" t="s">
        <v>153</v>
      </c>
      <c r="BG223" s="7">
        <v>100</v>
      </c>
      <c r="BH223" s="7" t="s">
        <v>154</v>
      </c>
      <c r="BI223" s="7">
        <v>10</v>
      </c>
      <c r="BJ223" s="7" t="s">
        <v>155</v>
      </c>
      <c r="BK223" s="7">
        <v>300</v>
      </c>
      <c r="BL223" s="20"/>
      <c r="BM223" s="20"/>
      <c r="BN223" s="20">
        <v>1</v>
      </c>
      <c r="BO223" s="20">
        <v>2500</v>
      </c>
      <c r="BP223" s="20">
        <v>2</v>
      </c>
      <c r="BQ223" s="20">
        <v>2500</v>
      </c>
      <c r="BR223" s="20" t="s">
        <v>156</v>
      </c>
    </row>
    <row r="224" s="7" customFormat="1" ht="16.5" spans="1:70">
      <c r="A224" s="16">
        <f>60000000+INDEX(编号表!$B:$B,MATCH(I224,编号表!$A:$A,0))*10000+INDEX(编号表!$B:$B,MATCH(J224,编号表!$C:$C,0))*1000+K224</f>
        <v>60262001</v>
      </c>
      <c r="B224" s="16" t="s">
        <v>658</v>
      </c>
      <c r="C224" s="16" t="s">
        <v>659</v>
      </c>
      <c r="D224" s="16" t="s">
        <v>543</v>
      </c>
      <c r="E224" s="7">
        <v>45</v>
      </c>
      <c r="F224" s="7" t="str" cm="1">
        <f t="array" ref="F224">INDEX(编号表!$E:$E,MATCH(J224,编号表!$C:$C,0))</f>
        <v>绿色</v>
      </c>
      <c r="G224" s="7">
        <v>30</v>
      </c>
      <c r="H224" s="7" t="s">
        <v>642</v>
      </c>
      <c r="I224" s="7" t="s">
        <v>642</v>
      </c>
      <c r="J224" s="7" t="s">
        <v>221</v>
      </c>
      <c r="K224" s="7">
        <v>1</v>
      </c>
      <c r="L224" s="7">
        <f>COUNTIFS(I$11:I224,I224,J$11:J224,J224)-1</f>
        <v>1</v>
      </c>
      <c r="O224" s="7">
        <v>10</v>
      </c>
      <c r="P224" s="7">
        <v>300000</v>
      </c>
      <c r="Q224" s="7" t="s">
        <v>138</v>
      </c>
      <c r="R224" s="21">
        <v>40140006</v>
      </c>
      <c r="S224" s="7"/>
      <c r="T224" s="7"/>
      <c r="U224" s="7">
        <v>11010001</v>
      </c>
      <c r="V224" s="7">
        <v>11020001</v>
      </c>
      <c r="X224" s="7" t="s">
        <v>139</v>
      </c>
      <c r="Y224" s="7" t="s">
        <v>660</v>
      </c>
      <c r="Z224" s="7"/>
      <c r="AA224" s="7">
        <v>80</v>
      </c>
      <c r="AB224" s="7">
        <v>80</v>
      </c>
      <c r="AC224" s="7">
        <v>20</v>
      </c>
      <c r="AD224" s="7">
        <v>30</v>
      </c>
      <c r="AE224" s="7" t="s">
        <v>141</v>
      </c>
      <c r="AF224" s="7"/>
      <c r="AG224" s="22" t="s">
        <v>222</v>
      </c>
      <c r="AI224" s="23">
        <v>1520</v>
      </c>
      <c r="AJ224" s="7" t="s">
        <v>142</v>
      </c>
      <c r="AK224" s="24">
        <v>16000</v>
      </c>
      <c r="AL224" s="7" t="s">
        <v>143</v>
      </c>
      <c r="AM224" s="7">
        <v>42</v>
      </c>
      <c r="AN224" s="7" t="s">
        <v>144</v>
      </c>
      <c r="AO224" s="7">
        <v>60</v>
      </c>
      <c r="AP224" s="7" t="s">
        <v>145</v>
      </c>
      <c r="AQ224" s="7">
        <v>39</v>
      </c>
      <c r="AR224" s="7" t="s">
        <v>146</v>
      </c>
      <c r="AS224" s="7">
        <v>55</v>
      </c>
      <c r="AT224" s="7" t="s">
        <v>147</v>
      </c>
      <c r="AU224" s="7">
        <v>130</v>
      </c>
      <c r="AV224" s="7" t="s">
        <v>148</v>
      </c>
      <c r="AW224" s="7">
        <v>175</v>
      </c>
      <c r="AX224" s="7" t="s">
        <v>149</v>
      </c>
      <c r="AY224" s="7">
        <v>130</v>
      </c>
      <c r="AZ224" s="7" t="s">
        <v>150</v>
      </c>
      <c r="BA224" s="7">
        <v>175</v>
      </c>
      <c r="BB224" s="7" t="s">
        <v>151</v>
      </c>
      <c r="BC224" s="7">
        <v>1</v>
      </c>
      <c r="BD224" s="7" t="s">
        <v>152</v>
      </c>
      <c r="BE224" s="7">
        <v>2</v>
      </c>
      <c r="BF224" s="7" t="s">
        <v>153</v>
      </c>
      <c r="BG224" s="7">
        <v>100</v>
      </c>
      <c r="BH224" s="7" t="s">
        <v>154</v>
      </c>
      <c r="BI224" s="7">
        <v>10</v>
      </c>
      <c r="BJ224" s="7" t="s">
        <v>155</v>
      </c>
      <c r="BK224" s="7">
        <v>300</v>
      </c>
      <c r="BL224" s="20"/>
      <c r="BM224" s="20"/>
      <c r="BN224" s="20">
        <v>1</v>
      </c>
      <c r="BO224" s="20">
        <v>2500</v>
      </c>
      <c r="BP224" s="20">
        <v>2</v>
      </c>
      <c r="BQ224" s="20">
        <v>2500</v>
      </c>
      <c r="BR224" s="20" t="s">
        <v>156</v>
      </c>
    </row>
    <row r="225" s="7" customFormat="1" ht="16.5" spans="1:70">
      <c r="A225" s="16">
        <f>60000000+INDEX(编号表!$B:$B,MATCH(I225,编号表!$A:$A,0))*10000+INDEX(编号表!$B:$B,MATCH(J225,编号表!$C:$C,0))*1000+K225</f>
        <v>60262002</v>
      </c>
      <c r="B225" s="16" t="s">
        <v>661</v>
      </c>
      <c r="C225" s="16" t="s">
        <v>662</v>
      </c>
      <c r="D225" s="16" t="s">
        <v>543</v>
      </c>
      <c r="E225" s="7">
        <v>45</v>
      </c>
      <c r="F225" s="7" t="str" cm="1">
        <f t="array" ref="F225">INDEX(编号表!$E:$E,MATCH(J225,编号表!$C:$C,0))</f>
        <v>绿色</v>
      </c>
      <c r="G225" s="7">
        <v>30</v>
      </c>
      <c r="H225" s="7" t="s">
        <v>642</v>
      </c>
      <c r="I225" s="7" t="s">
        <v>642</v>
      </c>
      <c r="J225" s="7" t="s">
        <v>221</v>
      </c>
      <c r="K225" s="7">
        <v>2</v>
      </c>
      <c r="L225" s="7">
        <f>COUNTIFS(I$11:I225,I225,J$11:J225,J225)-1</f>
        <v>2</v>
      </c>
      <c r="O225" s="7">
        <v>10</v>
      </c>
      <c r="P225" s="7">
        <v>300000</v>
      </c>
      <c r="Q225" s="7" t="s">
        <v>138</v>
      </c>
      <c r="R225" s="21">
        <v>40140006</v>
      </c>
      <c r="S225" s="7"/>
      <c r="T225" s="7"/>
      <c r="U225" s="7">
        <v>11010001</v>
      </c>
      <c r="V225" s="7">
        <v>11020001</v>
      </c>
      <c r="X225" s="7" t="s">
        <v>139</v>
      </c>
      <c r="Y225" s="7" t="s">
        <v>663</v>
      </c>
      <c r="Z225" s="7"/>
      <c r="AA225" s="7">
        <v>80</v>
      </c>
      <c r="AB225" s="7">
        <v>80</v>
      </c>
      <c r="AC225" s="7">
        <v>20</v>
      </c>
      <c r="AD225" s="7">
        <v>30</v>
      </c>
      <c r="AE225" s="7" t="s">
        <v>141</v>
      </c>
      <c r="AF225" s="7"/>
      <c r="AG225" s="22" t="s">
        <v>222</v>
      </c>
      <c r="AI225" s="23">
        <v>1520</v>
      </c>
      <c r="AJ225" s="7" t="s">
        <v>142</v>
      </c>
      <c r="AK225" s="24">
        <v>20000</v>
      </c>
      <c r="AL225" s="7" t="s">
        <v>143</v>
      </c>
      <c r="AM225" s="7">
        <v>46</v>
      </c>
      <c r="AN225" s="7" t="s">
        <v>144</v>
      </c>
      <c r="AO225" s="7">
        <v>65</v>
      </c>
      <c r="AP225" s="7" t="s">
        <v>145</v>
      </c>
      <c r="AQ225" s="7">
        <v>43</v>
      </c>
      <c r="AR225" s="7" t="s">
        <v>146</v>
      </c>
      <c r="AS225" s="7">
        <v>65</v>
      </c>
      <c r="AT225" s="7" t="s">
        <v>147</v>
      </c>
      <c r="AU225" s="7">
        <v>140</v>
      </c>
      <c r="AV225" s="7" t="s">
        <v>148</v>
      </c>
      <c r="AW225" s="7">
        <v>190</v>
      </c>
      <c r="AX225" s="7" t="s">
        <v>149</v>
      </c>
      <c r="AY225" s="7">
        <v>140</v>
      </c>
      <c r="AZ225" s="7" t="s">
        <v>150</v>
      </c>
      <c r="BA225" s="7">
        <v>190</v>
      </c>
      <c r="BB225" s="7" t="s">
        <v>151</v>
      </c>
      <c r="BC225" s="7">
        <v>1</v>
      </c>
      <c r="BD225" s="7" t="s">
        <v>152</v>
      </c>
      <c r="BE225" s="7">
        <v>2</v>
      </c>
      <c r="BF225" s="7" t="s">
        <v>153</v>
      </c>
      <c r="BG225" s="7">
        <v>100</v>
      </c>
      <c r="BH225" s="7" t="s">
        <v>154</v>
      </c>
      <c r="BI225" s="7">
        <v>10</v>
      </c>
      <c r="BJ225" s="7" t="s">
        <v>155</v>
      </c>
      <c r="BK225" s="7">
        <v>300</v>
      </c>
      <c r="BL225" s="20"/>
      <c r="BM225" s="20"/>
      <c r="BN225" s="20">
        <v>1</v>
      </c>
      <c r="BO225" s="20">
        <v>2500</v>
      </c>
      <c r="BP225" s="20">
        <v>2</v>
      </c>
      <c r="BQ225" s="20">
        <v>2500</v>
      </c>
      <c r="BR225" s="20" t="s">
        <v>156</v>
      </c>
    </row>
    <row r="226" s="7" customFormat="1" ht="16.5" spans="1:70">
      <c r="A226" s="7">
        <f>60000000+INDEX(编号表!$B:$B,MATCH(I226,编号表!$A:$A,0))*10000+INDEX(编号表!$B:$B,MATCH(J226,编号表!$C:$C,0))*1000+K226</f>
        <v>60264000</v>
      </c>
      <c r="B226" s="7" t="s">
        <v>664</v>
      </c>
      <c r="C226" s="7" t="s">
        <v>656</v>
      </c>
      <c r="D226" s="7" t="s">
        <v>656</v>
      </c>
      <c r="E226" s="7">
        <v>45</v>
      </c>
      <c r="F226" s="7" t="str" cm="1">
        <f t="array" ref="F226">INDEX(编号表!$E:$E,MATCH(J226,编号表!$C:$C,0))</f>
        <v>橙色</v>
      </c>
      <c r="G226" s="7">
        <v>30</v>
      </c>
      <c r="H226" s="7" t="s">
        <v>642</v>
      </c>
      <c r="I226" s="7" t="s">
        <v>642</v>
      </c>
      <c r="J226" s="7" t="s">
        <v>233</v>
      </c>
      <c r="K226" s="7">
        <v>0</v>
      </c>
      <c r="L226" s="7">
        <f>COUNTIFS(I$11:I226,I226,J$11:J226,J226)-1</f>
        <v>0</v>
      </c>
      <c r="O226" s="7">
        <v>10</v>
      </c>
      <c r="P226" s="7">
        <v>300000</v>
      </c>
      <c r="Q226" s="7" t="s">
        <v>138</v>
      </c>
      <c r="R226" s="21">
        <v>40140006</v>
      </c>
      <c r="S226" s="7"/>
      <c r="T226" s="7"/>
      <c r="U226" s="7">
        <v>11010001</v>
      </c>
      <c r="V226" s="7">
        <v>11020001</v>
      </c>
      <c r="X226" s="7" t="s">
        <v>139</v>
      </c>
      <c r="Y226" s="7" t="s">
        <v>657</v>
      </c>
      <c r="Z226" s="7">
        <v>1.5</v>
      </c>
      <c r="AA226" s="7">
        <v>80</v>
      </c>
      <c r="AB226" s="7">
        <v>80</v>
      </c>
      <c r="AC226" s="7">
        <v>20</v>
      </c>
      <c r="AD226" s="7">
        <v>30</v>
      </c>
      <c r="AE226" s="7" t="s">
        <v>141</v>
      </c>
      <c r="AF226" s="7"/>
      <c r="AG226" s="22" t="s">
        <v>234</v>
      </c>
      <c r="AI226" s="23">
        <v>7550</v>
      </c>
      <c r="AJ226" s="7" t="s">
        <v>142</v>
      </c>
      <c r="AK226" s="24">
        <v>107000</v>
      </c>
      <c r="AL226" s="7" t="s">
        <v>143</v>
      </c>
      <c r="AM226" s="7">
        <v>60</v>
      </c>
      <c r="AN226" s="7" t="s">
        <v>144</v>
      </c>
      <c r="AO226" s="7">
        <v>85</v>
      </c>
      <c r="AP226" s="7" t="s">
        <v>145</v>
      </c>
      <c r="AQ226" s="7">
        <v>55</v>
      </c>
      <c r="AR226" s="7" t="s">
        <v>146</v>
      </c>
      <c r="AS226" s="7">
        <v>80</v>
      </c>
      <c r="AT226" s="7" t="s">
        <v>147</v>
      </c>
      <c r="AU226" s="7">
        <v>195</v>
      </c>
      <c r="AV226" s="7" t="s">
        <v>148</v>
      </c>
      <c r="AW226" s="7">
        <v>260</v>
      </c>
      <c r="AX226" s="7" t="s">
        <v>149</v>
      </c>
      <c r="AY226" s="7">
        <v>195</v>
      </c>
      <c r="AZ226" s="7" t="s">
        <v>150</v>
      </c>
      <c r="BA226" s="7">
        <v>260</v>
      </c>
      <c r="BB226" s="7" t="s">
        <v>151</v>
      </c>
      <c r="BC226" s="7">
        <v>1</v>
      </c>
      <c r="BD226" s="7" t="s">
        <v>152</v>
      </c>
      <c r="BE226" s="7">
        <v>2</v>
      </c>
      <c r="BF226" s="7" t="s">
        <v>153</v>
      </c>
      <c r="BG226" s="7">
        <v>100</v>
      </c>
      <c r="BH226" s="7" t="s">
        <v>154</v>
      </c>
      <c r="BI226" s="7">
        <v>10</v>
      </c>
      <c r="BJ226" s="7" t="s">
        <v>155</v>
      </c>
      <c r="BK226" s="7">
        <v>300</v>
      </c>
      <c r="BL226" s="20"/>
      <c r="BM226" s="20"/>
      <c r="BN226" s="20">
        <v>1</v>
      </c>
      <c r="BO226" s="20">
        <v>2500</v>
      </c>
      <c r="BP226" s="20">
        <v>2</v>
      </c>
      <c r="BQ226" s="20">
        <v>2500</v>
      </c>
      <c r="BR226" s="20" t="s">
        <v>156</v>
      </c>
    </row>
    <row r="227" s="7" customFormat="1" ht="16.5" spans="1:70">
      <c r="A227" s="7">
        <f>60000000+INDEX(编号表!$B:$B,MATCH(I227,编号表!$A:$A,0))*10000+INDEX(编号表!$B:$B,MATCH(J227,编号表!$C:$C,0))*1000+K227</f>
        <v>60264001</v>
      </c>
      <c r="B227" s="7" t="s">
        <v>665</v>
      </c>
      <c r="C227" s="7" t="s">
        <v>659</v>
      </c>
      <c r="D227" s="7" t="s">
        <v>659</v>
      </c>
      <c r="E227" s="7">
        <v>45</v>
      </c>
      <c r="F227" s="7" t="str" cm="1">
        <f t="array" ref="F227">INDEX(编号表!$E:$E,MATCH(J227,编号表!$C:$C,0))</f>
        <v>橙色</v>
      </c>
      <c r="G227" s="7">
        <v>30</v>
      </c>
      <c r="H227" s="7" t="s">
        <v>642</v>
      </c>
      <c r="I227" s="7" t="s">
        <v>642</v>
      </c>
      <c r="J227" s="7" t="s">
        <v>233</v>
      </c>
      <c r="K227" s="7">
        <v>1</v>
      </c>
      <c r="L227" s="7">
        <f>COUNTIFS(I$11:I227,I227,J$11:J227,J227)-1</f>
        <v>1</v>
      </c>
      <c r="O227" s="7">
        <v>10</v>
      </c>
      <c r="P227" s="7">
        <v>300000</v>
      </c>
      <c r="Q227" s="7" t="s">
        <v>138</v>
      </c>
      <c r="R227" s="21">
        <v>40140006</v>
      </c>
      <c r="S227" s="7"/>
      <c r="T227" s="7"/>
      <c r="U227" s="7">
        <v>11010001</v>
      </c>
      <c r="V227" s="7">
        <v>11020001</v>
      </c>
      <c r="X227" s="7" t="s">
        <v>139</v>
      </c>
      <c r="Y227" s="7" t="s">
        <v>660</v>
      </c>
      <c r="Z227" s="7">
        <v>1.5</v>
      </c>
      <c r="AA227" s="7">
        <v>80</v>
      </c>
      <c r="AB227" s="7">
        <v>80</v>
      </c>
      <c r="AC227" s="7">
        <v>20</v>
      </c>
      <c r="AD227" s="7">
        <v>30</v>
      </c>
      <c r="AE227" s="7" t="s">
        <v>141</v>
      </c>
      <c r="AF227" s="7"/>
      <c r="AG227" s="22" t="s">
        <v>234</v>
      </c>
      <c r="AI227" s="23">
        <v>7550</v>
      </c>
      <c r="AJ227" s="7" t="s">
        <v>142</v>
      </c>
      <c r="AK227" s="24">
        <v>107000</v>
      </c>
      <c r="AL227" s="7" t="s">
        <v>143</v>
      </c>
      <c r="AM227" s="7">
        <v>60</v>
      </c>
      <c r="AN227" s="7" t="s">
        <v>144</v>
      </c>
      <c r="AO227" s="7">
        <v>85</v>
      </c>
      <c r="AP227" s="7" t="s">
        <v>145</v>
      </c>
      <c r="AQ227" s="7">
        <v>55</v>
      </c>
      <c r="AR227" s="7" t="s">
        <v>146</v>
      </c>
      <c r="AS227" s="7">
        <v>80</v>
      </c>
      <c r="AT227" s="7" t="s">
        <v>147</v>
      </c>
      <c r="AU227" s="7">
        <v>210</v>
      </c>
      <c r="AV227" s="7" t="s">
        <v>148</v>
      </c>
      <c r="AW227" s="7">
        <v>280</v>
      </c>
      <c r="AX227" s="7" t="s">
        <v>149</v>
      </c>
      <c r="AY227" s="7">
        <v>210</v>
      </c>
      <c r="AZ227" s="7" t="s">
        <v>150</v>
      </c>
      <c r="BA227" s="7">
        <v>280</v>
      </c>
      <c r="BB227" s="7" t="s">
        <v>151</v>
      </c>
      <c r="BC227" s="7">
        <v>1</v>
      </c>
      <c r="BD227" s="7" t="s">
        <v>152</v>
      </c>
      <c r="BE227" s="7">
        <v>2</v>
      </c>
      <c r="BF227" s="7" t="s">
        <v>153</v>
      </c>
      <c r="BG227" s="7">
        <v>100</v>
      </c>
      <c r="BH227" s="7" t="s">
        <v>154</v>
      </c>
      <c r="BI227" s="7">
        <v>10</v>
      </c>
      <c r="BJ227" s="7" t="s">
        <v>155</v>
      </c>
      <c r="BK227" s="7">
        <v>300</v>
      </c>
      <c r="BL227" s="20"/>
      <c r="BM227" s="20"/>
      <c r="BN227" s="20">
        <v>1</v>
      </c>
      <c r="BO227" s="20">
        <v>2500</v>
      </c>
      <c r="BP227" s="20">
        <v>2</v>
      </c>
      <c r="BQ227" s="20">
        <v>2500</v>
      </c>
      <c r="BR227" s="20" t="s">
        <v>156</v>
      </c>
    </row>
    <row r="228" s="7" customFormat="1" ht="16.5" spans="1:70">
      <c r="A228" s="7">
        <f>60000000+INDEX(编号表!$B:$B,MATCH(I228,编号表!$A:$A,0))*10000+INDEX(编号表!$B:$B,MATCH(J228,编号表!$C:$C,0))*1000+K228</f>
        <v>60264002</v>
      </c>
      <c r="B228" s="7" t="s">
        <v>666</v>
      </c>
      <c r="C228" s="7" t="s">
        <v>662</v>
      </c>
      <c r="D228" s="7" t="s">
        <v>662</v>
      </c>
      <c r="E228" s="7">
        <v>45</v>
      </c>
      <c r="F228" s="7" t="str" cm="1">
        <f t="array" ref="F228">INDEX(编号表!$E:$E,MATCH(J228,编号表!$C:$C,0))</f>
        <v>橙色</v>
      </c>
      <c r="G228" s="7">
        <v>30</v>
      </c>
      <c r="H228" s="7" t="s">
        <v>642</v>
      </c>
      <c r="I228" s="7" t="s">
        <v>642</v>
      </c>
      <c r="J228" s="7" t="s">
        <v>233</v>
      </c>
      <c r="K228" s="7">
        <v>2</v>
      </c>
      <c r="L228" s="7">
        <f>COUNTIFS(I$11:I228,I228,J$11:J228,J228)-1</f>
        <v>2</v>
      </c>
      <c r="O228" s="7">
        <v>10</v>
      </c>
      <c r="P228" s="7">
        <v>300000</v>
      </c>
      <c r="Q228" s="7" t="s">
        <v>138</v>
      </c>
      <c r="R228" s="21">
        <v>40140006</v>
      </c>
      <c r="S228" s="7"/>
      <c r="T228" s="7"/>
      <c r="U228" s="7">
        <v>11010001</v>
      </c>
      <c r="V228" s="7">
        <v>11020001</v>
      </c>
      <c r="X228" s="7" t="s">
        <v>139</v>
      </c>
      <c r="Y228" s="7" t="s">
        <v>663</v>
      </c>
      <c r="Z228" s="7">
        <v>1.5</v>
      </c>
      <c r="AA228" s="7">
        <v>80</v>
      </c>
      <c r="AB228" s="7">
        <v>80</v>
      </c>
      <c r="AC228" s="7">
        <v>20</v>
      </c>
      <c r="AD228" s="7">
        <v>30</v>
      </c>
      <c r="AE228" s="7" t="s">
        <v>141</v>
      </c>
      <c r="AF228" s="7"/>
      <c r="AG228" s="22" t="s">
        <v>234</v>
      </c>
      <c r="AI228" s="23">
        <v>7550</v>
      </c>
      <c r="AJ228" s="7" t="s">
        <v>142</v>
      </c>
      <c r="AK228" s="24">
        <v>166000</v>
      </c>
      <c r="AL228" s="7" t="s">
        <v>143</v>
      </c>
      <c r="AM228" s="7">
        <v>70</v>
      </c>
      <c r="AN228" s="7" t="s">
        <v>144</v>
      </c>
      <c r="AO228" s="7">
        <v>100</v>
      </c>
      <c r="AP228" s="7" t="s">
        <v>145</v>
      </c>
      <c r="AQ228" s="7">
        <v>65</v>
      </c>
      <c r="AR228" s="7" t="s">
        <v>146</v>
      </c>
      <c r="AS228" s="7">
        <v>95</v>
      </c>
      <c r="AT228" s="7" t="s">
        <v>147</v>
      </c>
      <c r="AU228" s="7">
        <v>250</v>
      </c>
      <c r="AV228" s="7" t="s">
        <v>148</v>
      </c>
      <c r="AW228" s="7">
        <v>340</v>
      </c>
      <c r="AX228" s="7" t="s">
        <v>149</v>
      </c>
      <c r="AY228" s="7">
        <v>250</v>
      </c>
      <c r="AZ228" s="7" t="s">
        <v>150</v>
      </c>
      <c r="BA228" s="7">
        <v>340</v>
      </c>
      <c r="BB228" s="7" t="s">
        <v>151</v>
      </c>
      <c r="BC228" s="7">
        <v>1</v>
      </c>
      <c r="BD228" s="7" t="s">
        <v>152</v>
      </c>
      <c r="BE228" s="7">
        <v>2</v>
      </c>
      <c r="BF228" s="7" t="s">
        <v>153</v>
      </c>
      <c r="BG228" s="7">
        <v>100</v>
      </c>
      <c r="BH228" s="7" t="s">
        <v>154</v>
      </c>
      <c r="BI228" s="7">
        <v>10</v>
      </c>
      <c r="BJ228" s="7" t="s">
        <v>155</v>
      </c>
      <c r="BK228" s="7">
        <v>300</v>
      </c>
      <c r="BL228" s="20"/>
      <c r="BM228" s="20"/>
      <c r="BN228" s="20">
        <v>1</v>
      </c>
      <c r="BO228" s="20">
        <v>2500</v>
      </c>
      <c r="BP228" s="20">
        <v>2</v>
      </c>
      <c r="BQ228" s="20">
        <v>2500</v>
      </c>
      <c r="BR228" s="20" t="s">
        <v>156</v>
      </c>
    </row>
    <row r="229" s="7" customFormat="1" ht="16.5" spans="1:70">
      <c r="A229" s="7">
        <f>60000000+INDEX(编号表!$B:$B,MATCH(I229,编号表!$A:$A,0))*10000+INDEX(编号表!$B:$B,MATCH(J229,编号表!$C:$C,0))*1000+K229</f>
        <v>60271000</v>
      </c>
      <c r="B229" s="7" t="s">
        <v>667</v>
      </c>
      <c r="C229" s="7" t="s">
        <v>668</v>
      </c>
      <c r="D229" s="7" t="s">
        <v>668</v>
      </c>
      <c r="E229" s="7">
        <v>45</v>
      </c>
      <c r="F229" s="7" t="str" cm="1">
        <f t="array" ref="F229">INDEX(编号表!$E:$E,MATCH(J229,编号表!$C:$C,0))</f>
        <v>白色</v>
      </c>
      <c r="G229" s="7">
        <v>31</v>
      </c>
      <c r="H229" s="7" t="s">
        <v>669</v>
      </c>
      <c r="I229" s="7" t="s">
        <v>669</v>
      </c>
      <c r="J229" s="7" t="s">
        <v>137</v>
      </c>
      <c r="K229" s="7">
        <v>0</v>
      </c>
      <c r="L229" s="7">
        <f>COUNTIFS(I$11:I229,I229,J$11:J229,J229)-1</f>
        <v>0</v>
      </c>
      <c r="O229" s="7">
        <v>10</v>
      </c>
      <c r="P229" s="7">
        <v>300000</v>
      </c>
      <c r="Q229" s="7" t="s">
        <v>138</v>
      </c>
      <c r="R229" s="21">
        <v>40140006</v>
      </c>
      <c r="S229" s="7"/>
      <c r="T229" s="7"/>
      <c r="U229" s="7">
        <v>11010001</v>
      </c>
      <c r="V229" s="7">
        <v>11020001</v>
      </c>
      <c r="X229" s="7" t="s">
        <v>139</v>
      </c>
      <c r="Y229" s="7" t="s">
        <v>670</v>
      </c>
      <c r="Z229" s="7"/>
      <c r="AA229" s="7">
        <v>80</v>
      </c>
      <c r="AB229" s="7">
        <v>80</v>
      </c>
      <c r="AC229" s="7">
        <v>20</v>
      </c>
      <c r="AD229" s="7">
        <v>30</v>
      </c>
      <c r="AE229" s="7" t="s">
        <v>141</v>
      </c>
      <c r="AF229" s="7"/>
      <c r="AG229" s="22"/>
      <c r="AI229" s="23">
        <v>380</v>
      </c>
      <c r="AJ229" s="7" t="s">
        <v>142</v>
      </c>
      <c r="AK229" s="24">
        <v>2850</v>
      </c>
      <c r="AL229" s="7" t="s">
        <v>143</v>
      </c>
      <c r="AM229" s="7">
        <v>27</v>
      </c>
      <c r="AN229" s="7" t="s">
        <v>144</v>
      </c>
      <c r="AO229" s="7">
        <v>39</v>
      </c>
      <c r="AP229" s="7" t="s">
        <v>145</v>
      </c>
      <c r="AQ229" s="7">
        <v>25</v>
      </c>
      <c r="AR229" s="7" t="s">
        <v>146</v>
      </c>
      <c r="AS229" s="7">
        <v>37</v>
      </c>
      <c r="AT229" s="7" t="s">
        <v>147</v>
      </c>
      <c r="AU229" s="7">
        <v>60</v>
      </c>
      <c r="AV229" s="7" t="s">
        <v>148</v>
      </c>
      <c r="AW229" s="7">
        <v>80</v>
      </c>
      <c r="AX229" s="7" t="s">
        <v>149</v>
      </c>
      <c r="AY229" s="7">
        <v>60</v>
      </c>
      <c r="AZ229" s="7" t="s">
        <v>150</v>
      </c>
      <c r="BA229" s="7">
        <v>80</v>
      </c>
      <c r="BB229" s="7" t="s">
        <v>151</v>
      </c>
      <c r="BC229" s="7">
        <v>1</v>
      </c>
      <c r="BD229" s="7" t="s">
        <v>152</v>
      </c>
      <c r="BE229" s="7">
        <v>2</v>
      </c>
      <c r="BF229" s="7" t="s">
        <v>153</v>
      </c>
      <c r="BG229" s="7">
        <v>100</v>
      </c>
      <c r="BH229" s="7" t="s">
        <v>154</v>
      </c>
      <c r="BI229" s="7">
        <v>10</v>
      </c>
      <c r="BJ229" s="7" t="s">
        <v>155</v>
      </c>
      <c r="BK229" s="7">
        <v>300</v>
      </c>
      <c r="BL229" s="20"/>
      <c r="BM229" s="20"/>
      <c r="BN229" s="20">
        <v>1</v>
      </c>
      <c r="BO229" s="20">
        <v>2500</v>
      </c>
      <c r="BP229" s="20">
        <v>2</v>
      </c>
      <c r="BQ229" s="20">
        <v>2500</v>
      </c>
      <c r="BR229" s="20" t="s">
        <v>156</v>
      </c>
    </row>
    <row r="230" s="7" customFormat="1" ht="16.5" spans="1:70">
      <c r="A230" s="7">
        <f>60000000+INDEX(编号表!$B:$B,MATCH(I230,编号表!$A:$A,0))*10000+INDEX(编号表!$B:$B,MATCH(J230,编号表!$C:$C,0))*1000+K230</f>
        <v>60271001</v>
      </c>
      <c r="B230" s="7" t="s">
        <v>671</v>
      </c>
      <c r="C230" s="7" t="s">
        <v>672</v>
      </c>
      <c r="D230" s="7" t="s">
        <v>672</v>
      </c>
      <c r="E230" s="7">
        <v>45</v>
      </c>
      <c r="F230" s="7" t="str" cm="1">
        <f t="array" ref="F230">INDEX(编号表!$E:$E,MATCH(J230,编号表!$C:$C,0))</f>
        <v>白色</v>
      </c>
      <c r="G230" s="7">
        <v>31</v>
      </c>
      <c r="H230" s="7" t="s">
        <v>669</v>
      </c>
      <c r="I230" s="7" t="s">
        <v>669</v>
      </c>
      <c r="J230" s="7" t="s">
        <v>137</v>
      </c>
      <c r="K230" s="7">
        <v>1</v>
      </c>
      <c r="L230" s="7">
        <f>COUNTIFS(I$11:I230,I230,J$11:J230,J230)-1</f>
        <v>1</v>
      </c>
      <c r="O230" s="7">
        <v>10</v>
      </c>
      <c r="P230" s="7">
        <v>300000</v>
      </c>
      <c r="Q230" s="7" t="s">
        <v>138</v>
      </c>
      <c r="R230" s="21">
        <v>40140006</v>
      </c>
      <c r="S230" s="7"/>
      <c r="T230" s="7"/>
      <c r="U230" s="7">
        <v>11010001</v>
      </c>
      <c r="V230" s="7">
        <v>11020001</v>
      </c>
      <c r="X230" s="7" t="s">
        <v>139</v>
      </c>
      <c r="Y230" s="7" t="s">
        <v>673</v>
      </c>
      <c r="Z230" s="7"/>
      <c r="AA230" s="7">
        <v>80</v>
      </c>
      <c r="AB230" s="7">
        <v>80</v>
      </c>
      <c r="AC230" s="7">
        <v>20</v>
      </c>
      <c r="AD230" s="7">
        <v>30</v>
      </c>
      <c r="AE230" s="7" t="s">
        <v>141</v>
      </c>
      <c r="AF230" s="7"/>
      <c r="AG230" s="22"/>
      <c r="AI230" s="23">
        <v>380</v>
      </c>
      <c r="AJ230" s="7" t="s">
        <v>142</v>
      </c>
      <c r="AK230" s="24">
        <v>3300</v>
      </c>
      <c r="AL230" s="7" t="s">
        <v>143</v>
      </c>
      <c r="AM230" s="7">
        <v>31</v>
      </c>
      <c r="AN230" s="7" t="s">
        <v>144</v>
      </c>
      <c r="AO230" s="7">
        <v>45</v>
      </c>
      <c r="AP230" s="7" t="s">
        <v>145</v>
      </c>
      <c r="AQ230" s="7">
        <v>29</v>
      </c>
      <c r="AR230" s="7" t="s">
        <v>146</v>
      </c>
      <c r="AS230" s="7">
        <v>43</v>
      </c>
      <c r="AT230" s="7" t="s">
        <v>147</v>
      </c>
      <c r="AU230" s="7">
        <v>65</v>
      </c>
      <c r="AV230" s="7" t="s">
        <v>148</v>
      </c>
      <c r="AW230" s="7">
        <v>85</v>
      </c>
      <c r="AX230" s="7" t="s">
        <v>149</v>
      </c>
      <c r="AY230" s="7">
        <v>65</v>
      </c>
      <c r="AZ230" s="7" t="s">
        <v>150</v>
      </c>
      <c r="BA230" s="7">
        <v>85</v>
      </c>
      <c r="BB230" s="7" t="s">
        <v>151</v>
      </c>
      <c r="BC230" s="7">
        <v>1</v>
      </c>
      <c r="BD230" s="7" t="s">
        <v>152</v>
      </c>
      <c r="BE230" s="7">
        <v>2</v>
      </c>
      <c r="BF230" s="7" t="s">
        <v>153</v>
      </c>
      <c r="BG230" s="7">
        <v>100</v>
      </c>
      <c r="BH230" s="7" t="s">
        <v>154</v>
      </c>
      <c r="BI230" s="7">
        <v>10</v>
      </c>
      <c r="BJ230" s="7" t="s">
        <v>155</v>
      </c>
      <c r="BK230" s="7">
        <v>300</v>
      </c>
      <c r="BL230" s="20"/>
      <c r="BM230" s="20"/>
      <c r="BN230" s="20">
        <v>1</v>
      </c>
      <c r="BO230" s="20">
        <v>2500</v>
      </c>
      <c r="BP230" s="20">
        <v>2</v>
      </c>
      <c r="BQ230" s="20">
        <v>2500</v>
      </c>
      <c r="BR230" s="20" t="s">
        <v>156</v>
      </c>
    </row>
    <row r="231" s="7" customFormat="1" ht="16.5" spans="1:70">
      <c r="A231" s="7">
        <f>60000000+INDEX(编号表!$B:$B,MATCH(I231,编号表!$A:$A,0))*10000+INDEX(编号表!$B:$B,MATCH(J231,编号表!$C:$C,0))*1000+K231</f>
        <v>60272000</v>
      </c>
      <c r="B231" s="7" t="s">
        <v>674</v>
      </c>
      <c r="C231" s="7" t="s">
        <v>672</v>
      </c>
      <c r="D231" s="7" t="s">
        <v>675</v>
      </c>
      <c r="E231" s="7">
        <v>46</v>
      </c>
      <c r="F231" s="7" t="str" cm="1">
        <f t="array" ref="F231">INDEX(编号表!$E:$E,MATCH(J231,编号表!$C:$C,0))</f>
        <v>绿色</v>
      </c>
      <c r="G231" s="7">
        <v>31</v>
      </c>
      <c r="H231" s="7" t="s">
        <v>669</v>
      </c>
      <c r="I231" s="7" t="s">
        <v>669</v>
      </c>
      <c r="J231" s="7" t="s">
        <v>221</v>
      </c>
      <c r="K231" s="7">
        <v>0</v>
      </c>
      <c r="L231" s="7">
        <f>COUNTIFS(I$11:I231,I231,J$11:J231,J231)-1</f>
        <v>0</v>
      </c>
      <c r="O231" s="7">
        <v>10</v>
      </c>
      <c r="P231" s="7">
        <v>300000</v>
      </c>
      <c r="Q231" s="7" t="s">
        <v>138</v>
      </c>
      <c r="R231" s="21">
        <v>40140007</v>
      </c>
      <c r="S231" s="7"/>
      <c r="T231" s="7"/>
      <c r="U231" s="7">
        <v>11010001</v>
      </c>
      <c r="V231" s="7">
        <v>11020001</v>
      </c>
      <c r="X231" s="7" t="s">
        <v>139</v>
      </c>
      <c r="Y231" s="7" t="s">
        <v>673</v>
      </c>
      <c r="Z231" s="7"/>
      <c r="AA231" s="7">
        <v>80</v>
      </c>
      <c r="AB231" s="7">
        <v>80</v>
      </c>
      <c r="AC231" s="7">
        <v>20</v>
      </c>
      <c r="AD231" s="7">
        <v>30</v>
      </c>
      <c r="AE231" s="7" t="s">
        <v>141</v>
      </c>
      <c r="AF231" s="7"/>
      <c r="AG231" s="22" t="s">
        <v>222</v>
      </c>
      <c r="AI231" s="23">
        <v>1600</v>
      </c>
      <c r="AJ231" s="7" t="s">
        <v>142</v>
      </c>
      <c r="AK231" s="24">
        <v>19500</v>
      </c>
      <c r="AL231" s="7" t="s">
        <v>143</v>
      </c>
      <c r="AM231" s="7">
        <v>50</v>
      </c>
      <c r="AN231" s="7" t="s">
        <v>144</v>
      </c>
      <c r="AO231" s="7">
        <v>70</v>
      </c>
      <c r="AP231" s="7" t="s">
        <v>145</v>
      </c>
      <c r="AQ231" s="7">
        <v>47</v>
      </c>
      <c r="AR231" s="7" t="s">
        <v>146</v>
      </c>
      <c r="AS231" s="7">
        <v>70</v>
      </c>
      <c r="AT231" s="7" t="s">
        <v>147</v>
      </c>
      <c r="AU231" s="7">
        <v>135</v>
      </c>
      <c r="AV231" s="7" t="s">
        <v>148</v>
      </c>
      <c r="AW231" s="7">
        <v>180</v>
      </c>
      <c r="AX231" s="7" t="s">
        <v>149</v>
      </c>
      <c r="AY231" s="7">
        <v>135</v>
      </c>
      <c r="AZ231" s="7" t="s">
        <v>150</v>
      </c>
      <c r="BA231" s="7">
        <v>180</v>
      </c>
      <c r="BB231" s="7" t="s">
        <v>151</v>
      </c>
      <c r="BC231" s="7">
        <v>1</v>
      </c>
      <c r="BD231" s="7" t="s">
        <v>152</v>
      </c>
      <c r="BE231" s="7">
        <v>2</v>
      </c>
      <c r="BF231" s="7" t="s">
        <v>153</v>
      </c>
      <c r="BG231" s="7">
        <v>100</v>
      </c>
      <c r="BH231" s="7" t="s">
        <v>154</v>
      </c>
      <c r="BI231" s="7">
        <v>10</v>
      </c>
      <c r="BJ231" s="7" t="s">
        <v>155</v>
      </c>
      <c r="BK231" s="7">
        <v>300</v>
      </c>
      <c r="BL231" s="20"/>
      <c r="BM231" s="20"/>
      <c r="BN231" s="20">
        <v>1</v>
      </c>
      <c r="BO231" s="20">
        <v>2500</v>
      </c>
      <c r="BP231" s="20">
        <v>2</v>
      </c>
      <c r="BQ231" s="20">
        <v>2500</v>
      </c>
      <c r="BR231" s="20" t="s">
        <v>156</v>
      </c>
    </row>
    <row r="232" s="15" customFormat="1" ht="16.5" spans="1:70">
      <c r="A232" s="15">
        <f>60000000+INDEX(编号表!$B:$B,MATCH(I232,编号表!$A:$A,0))*10000+INDEX(编号表!$B:$B,MATCH(J232,编号表!$C:$C,0))*1000+K232</f>
        <v>60274000</v>
      </c>
      <c r="B232" s="15" t="s">
        <v>676</v>
      </c>
      <c r="C232" s="15" t="s">
        <v>672</v>
      </c>
      <c r="D232" s="15" t="s">
        <v>675</v>
      </c>
      <c r="E232" s="15">
        <v>46</v>
      </c>
      <c r="F232" s="15" t="str" cm="1">
        <f t="array" ref="F232">INDEX(编号表!$E:$E,MATCH(J232,编号表!$C:$C,0))</f>
        <v>橙色</v>
      </c>
      <c r="G232" s="15">
        <v>31</v>
      </c>
      <c r="H232" s="15" t="s">
        <v>669</v>
      </c>
      <c r="I232" s="15" t="s">
        <v>669</v>
      </c>
      <c r="J232" s="15" t="s">
        <v>233</v>
      </c>
      <c r="K232" s="15">
        <v>0</v>
      </c>
      <c r="L232" s="15">
        <f>COUNTIFS(I$11:I232,I232,J$11:J232,J232)-1</f>
        <v>0</v>
      </c>
      <c r="O232" s="7">
        <v>10</v>
      </c>
      <c r="P232" s="7">
        <v>300000</v>
      </c>
      <c r="Q232" s="15" t="s">
        <v>138</v>
      </c>
      <c r="R232" s="21">
        <v>40140007</v>
      </c>
      <c r="S232" s="15"/>
      <c r="T232" s="15"/>
      <c r="U232" s="15">
        <v>11010001</v>
      </c>
      <c r="V232" s="15">
        <v>11020001</v>
      </c>
      <c r="X232" s="15" t="s">
        <v>139</v>
      </c>
      <c r="Y232" s="7" t="s">
        <v>673</v>
      </c>
      <c r="Z232" s="7">
        <v>1.5</v>
      </c>
      <c r="AA232" s="7">
        <v>80</v>
      </c>
      <c r="AB232" s="7">
        <v>80</v>
      </c>
      <c r="AC232" s="7">
        <v>20</v>
      </c>
      <c r="AD232" s="7">
        <v>30</v>
      </c>
      <c r="AE232" s="15" t="s">
        <v>141</v>
      </c>
      <c r="AF232" s="15"/>
      <c r="AG232" s="22" t="s">
        <v>234</v>
      </c>
      <c r="AH232" s="15"/>
      <c r="AI232" s="23">
        <v>7950</v>
      </c>
      <c r="AJ232" s="15" t="s">
        <v>142</v>
      </c>
      <c r="AK232" s="24">
        <v>132000</v>
      </c>
      <c r="AL232" s="15" t="s">
        <v>143</v>
      </c>
      <c r="AM232" s="15">
        <v>70</v>
      </c>
      <c r="AN232" s="15" t="s">
        <v>144</v>
      </c>
      <c r="AO232" s="15">
        <v>105</v>
      </c>
      <c r="AP232" s="15" t="s">
        <v>145</v>
      </c>
      <c r="AQ232" s="15">
        <v>65</v>
      </c>
      <c r="AR232" s="15" t="s">
        <v>146</v>
      </c>
      <c r="AS232" s="15">
        <v>95</v>
      </c>
      <c r="AT232" s="15" t="s">
        <v>147</v>
      </c>
      <c r="AU232" s="15">
        <v>210</v>
      </c>
      <c r="AV232" s="15" t="s">
        <v>148</v>
      </c>
      <c r="AW232" s="15">
        <v>290</v>
      </c>
      <c r="AX232" s="15" t="s">
        <v>149</v>
      </c>
      <c r="AY232" s="15">
        <v>210</v>
      </c>
      <c r="AZ232" s="15" t="s">
        <v>150</v>
      </c>
      <c r="BA232" s="15">
        <v>290</v>
      </c>
      <c r="BB232" s="15" t="s">
        <v>151</v>
      </c>
      <c r="BC232" s="15">
        <v>1</v>
      </c>
      <c r="BD232" s="15" t="s">
        <v>152</v>
      </c>
      <c r="BE232" s="15">
        <v>2</v>
      </c>
      <c r="BF232" s="15" t="s">
        <v>153</v>
      </c>
      <c r="BG232" s="15">
        <v>100</v>
      </c>
      <c r="BH232" s="15" t="s">
        <v>154</v>
      </c>
      <c r="BI232" s="15">
        <v>10</v>
      </c>
      <c r="BJ232" s="15" t="s">
        <v>155</v>
      </c>
      <c r="BK232" s="7">
        <v>300</v>
      </c>
      <c r="BL232" s="25"/>
      <c r="BM232" s="25"/>
      <c r="BN232" s="20">
        <v>1</v>
      </c>
      <c r="BO232" s="20">
        <v>2500</v>
      </c>
      <c r="BP232" s="20">
        <v>2</v>
      </c>
      <c r="BQ232" s="20">
        <v>2500</v>
      </c>
      <c r="BR232" s="25" t="s">
        <v>156</v>
      </c>
    </row>
    <row r="233" s="7" customFormat="1" ht="16.5" spans="1:70">
      <c r="A233" s="7">
        <f>60000000+INDEX(编号表!$B:$B,MATCH(I233,编号表!$A:$A,0))*10000+INDEX(编号表!$B:$B,MATCH(J233,编号表!$C:$C,0))*1000+K233</f>
        <v>60281000</v>
      </c>
      <c r="B233" s="7" t="s">
        <v>677</v>
      </c>
      <c r="C233" s="7" t="s">
        <v>668</v>
      </c>
      <c r="D233" s="7" t="s">
        <v>678</v>
      </c>
      <c r="E233" s="7">
        <v>46</v>
      </c>
      <c r="F233" s="7" t="str" cm="1">
        <f t="array" ref="F233">INDEX(编号表!$E:$E,MATCH(J233,编号表!$C:$C,0))</f>
        <v>白色</v>
      </c>
      <c r="G233" s="7">
        <v>32</v>
      </c>
      <c r="H233" s="7" t="s">
        <v>679</v>
      </c>
      <c r="I233" s="7" t="s">
        <v>679</v>
      </c>
      <c r="J233" s="7" t="s">
        <v>137</v>
      </c>
      <c r="K233" s="7">
        <v>0</v>
      </c>
      <c r="L233" s="7">
        <f>COUNTIFS(I$11:I233,I233,J$11:J233,J233)-1</f>
        <v>0</v>
      </c>
      <c r="O233" s="7">
        <v>10</v>
      </c>
      <c r="P233" s="7">
        <v>300000</v>
      </c>
      <c r="Q233" s="7" t="s">
        <v>138</v>
      </c>
      <c r="R233" s="21">
        <v>40140007</v>
      </c>
      <c r="S233" s="7"/>
      <c r="T233" s="7"/>
      <c r="U233" s="7">
        <v>11010001</v>
      </c>
      <c r="V233" s="7">
        <v>11020001</v>
      </c>
      <c r="X233" s="7" t="s">
        <v>139</v>
      </c>
      <c r="Y233" s="7" t="s">
        <v>670</v>
      </c>
      <c r="Z233" s="7"/>
      <c r="AA233" s="7">
        <v>80</v>
      </c>
      <c r="AB233" s="7">
        <v>80</v>
      </c>
      <c r="AC233" s="7">
        <v>20</v>
      </c>
      <c r="AD233" s="7">
        <v>30</v>
      </c>
      <c r="AE233" s="7" t="s">
        <v>141</v>
      </c>
      <c r="AF233" s="7"/>
      <c r="AG233" s="22"/>
      <c r="AI233" s="23">
        <v>400</v>
      </c>
      <c r="AJ233" s="7" t="s">
        <v>142</v>
      </c>
      <c r="AK233" s="24">
        <v>3000</v>
      </c>
      <c r="AL233" s="7" t="s">
        <v>143</v>
      </c>
      <c r="AM233" s="7">
        <v>28</v>
      </c>
      <c r="AN233" s="7" t="s">
        <v>144</v>
      </c>
      <c r="AO233" s="7">
        <v>41</v>
      </c>
      <c r="AP233" s="7" t="s">
        <v>145</v>
      </c>
      <c r="AQ233" s="7">
        <v>26</v>
      </c>
      <c r="AR233" s="7" t="s">
        <v>146</v>
      </c>
      <c r="AS233" s="7">
        <v>39</v>
      </c>
      <c r="AT233" s="7" t="s">
        <v>147</v>
      </c>
      <c r="AU233" s="7">
        <v>60</v>
      </c>
      <c r="AV233" s="7" t="s">
        <v>148</v>
      </c>
      <c r="AW233" s="7">
        <v>85</v>
      </c>
      <c r="AX233" s="7" t="s">
        <v>149</v>
      </c>
      <c r="AY233" s="7">
        <v>60</v>
      </c>
      <c r="AZ233" s="7" t="s">
        <v>150</v>
      </c>
      <c r="BA233" s="7">
        <v>85</v>
      </c>
      <c r="BB233" s="7" t="s">
        <v>151</v>
      </c>
      <c r="BC233" s="7">
        <v>1</v>
      </c>
      <c r="BD233" s="7" t="s">
        <v>152</v>
      </c>
      <c r="BE233" s="7">
        <v>2</v>
      </c>
      <c r="BF233" s="7" t="s">
        <v>153</v>
      </c>
      <c r="BG233" s="7">
        <v>100</v>
      </c>
      <c r="BH233" s="7" t="s">
        <v>154</v>
      </c>
      <c r="BI233" s="7">
        <v>10</v>
      </c>
      <c r="BJ233" s="7" t="s">
        <v>155</v>
      </c>
      <c r="BK233" s="7">
        <v>300</v>
      </c>
      <c r="BL233" s="20"/>
      <c r="BM233" s="20"/>
      <c r="BN233" s="20">
        <v>1</v>
      </c>
      <c r="BO233" s="20">
        <v>2500</v>
      </c>
      <c r="BP233" s="20">
        <v>2</v>
      </c>
      <c r="BQ233" s="20">
        <v>2500</v>
      </c>
      <c r="BR233" s="20" t="s">
        <v>156</v>
      </c>
    </row>
    <row r="234" s="7" customFormat="1" ht="16.5" spans="1:70">
      <c r="A234" s="7">
        <f>60000000+INDEX(编号表!$B:$B,MATCH(I234,编号表!$A:$A,0))*10000+INDEX(编号表!$B:$B,MATCH(J234,编号表!$C:$C,0))*1000+K234</f>
        <v>60281001</v>
      </c>
      <c r="B234" s="7" t="s">
        <v>680</v>
      </c>
      <c r="C234" s="7" t="s">
        <v>672</v>
      </c>
      <c r="D234" s="7" t="s">
        <v>681</v>
      </c>
      <c r="E234" s="7">
        <v>46</v>
      </c>
      <c r="F234" s="7" t="str" cm="1">
        <f t="array" ref="F234">INDEX(编号表!$E:$E,MATCH(J234,编号表!$C:$C,0))</f>
        <v>白色</v>
      </c>
      <c r="G234" s="7">
        <v>32</v>
      </c>
      <c r="H234" s="7" t="s">
        <v>679</v>
      </c>
      <c r="I234" s="7" t="s">
        <v>679</v>
      </c>
      <c r="J234" s="7" t="s">
        <v>137</v>
      </c>
      <c r="K234" s="7">
        <v>1</v>
      </c>
      <c r="L234" s="7">
        <f>COUNTIFS(I$11:I234,I234,J$11:J234,J234)-1</f>
        <v>1</v>
      </c>
      <c r="O234" s="7">
        <v>10</v>
      </c>
      <c r="P234" s="7">
        <v>300000</v>
      </c>
      <c r="Q234" s="7" t="s">
        <v>138</v>
      </c>
      <c r="R234" s="21">
        <v>40140007</v>
      </c>
      <c r="S234" s="7"/>
      <c r="T234" s="7"/>
      <c r="U234" s="7">
        <v>11010001</v>
      </c>
      <c r="V234" s="7">
        <v>11020001</v>
      </c>
      <c r="X234" s="7" t="s">
        <v>139</v>
      </c>
      <c r="Y234" s="7" t="s">
        <v>673</v>
      </c>
      <c r="Z234" s="7"/>
      <c r="AA234" s="7">
        <v>80</v>
      </c>
      <c r="AB234" s="7">
        <v>80</v>
      </c>
      <c r="AC234" s="7">
        <v>20</v>
      </c>
      <c r="AD234" s="7">
        <v>30</v>
      </c>
      <c r="AE234" s="7" t="s">
        <v>141</v>
      </c>
      <c r="AF234" s="7"/>
      <c r="AG234" s="22"/>
      <c r="AI234" s="23">
        <v>400</v>
      </c>
      <c r="AJ234" s="7" t="s">
        <v>142</v>
      </c>
      <c r="AK234" s="24">
        <v>3450</v>
      </c>
      <c r="AL234" s="7" t="s">
        <v>143</v>
      </c>
      <c r="AM234" s="7">
        <v>33</v>
      </c>
      <c r="AN234" s="7" t="s">
        <v>144</v>
      </c>
      <c r="AO234" s="7">
        <v>47</v>
      </c>
      <c r="AP234" s="7" t="s">
        <v>145</v>
      </c>
      <c r="AQ234" s="7">
        <v>30</v>
      </c>
      <c r="AR234" s="7" t="s">
        <v>146</v>
      </c>
      <c r="AS234" s="7">
        <v>44</v>
      </c>
      <c r="AT234" s="7" t="s">
        <v>147</v>
      </c>
      <c r="AU234" s="7">
        <v>65</v>
      </c>
      <c r="AV234" s="7" t="s">
        <v>148</v>
      </c>
      <c r="AW234" s="7">
        <v>90</v>
      </c>
      <c r="AX234" s="7" t="s">
        <v>149</v>
      </c>
      <c r="AY234" s="7">
        <v>65</v>
      </c>
      <c r="AZ234" s="7" t="s">
        <v>150</v>
      </c>
      <c r="BA234" s="7">
        <v>90</v>
      </c>
      <c r="BB234" s="7" t="s">
        <v>151</v>
      </c>
      <c r="BC234" s="7">
        <v>1</v>
      </c>
      <c r="BD234" s="7" t="s">
        <v>152</v>
      </c>
      <c r="BE234" s="7">
        <v>2</v>
      </c>
      <c r="BF234" s="7" t="s">
        <v>153</v>
      </c>
      <c r="BG234" s="7">
        <v>100</v>
      </c>
      <c r="BH234" s="7" t="s">
        <v>154</v>
      </c>
      <c r="BI234" s="7">
        <v>10</v>
      </c>
      <c r="BJ234" s="7" t="s">
        <v>155</v>
      </c>
      <c r="BK234" s="7">
        <v>300</v>
      </c>
      <c r="BL234" s="20"/>
      <c r="BM234" s="20"/>
      <c r="BN234" s="20">
        <v>1</v>
      </c>
      <c r="BO234" s="20">
        <v>2500</v>
      </c>
      <c r="BP234" s="20">
        <v>2</v>
      </c>
      <c r="BQ234" s="20">
        <v>2500</v>
      </c>
      <c r="BR234" s="20" t="s">
        <v>156</v>
      </c>
    </row>
    <row r="235" s="7" customFormat="1" ht="16.5" spans="1:70">
      <c r="A235" s="7">
        <f>60000000+INDEX(编号表!$B:$B,MATCH(I235,编号表!$A:$A,0))*10000+INDEX(编号表!$B:$B,MATCH(J235,编号表!$C:$C,0))*1000+K235</f>
        <v>60282000</v>
      </c>
      <c r="B235" s="7" t="s">
        <v>682</v>
      </c>
      <c r="C235" s="7" t="s">
        <v>672</v>
      </c>
      <c r="D235" s="7" t="s">
        <v>683</v>
      </c>
      <c r="E235" s="7">
        <v>47</v>
      </c>
      <c r="F235" s="7" t="str" cm="1">
        <f t="array" ref="F235">INDEX(编号表!$E:$E,MATCH(J235,编号表!$C:$C,0))</f>
        <v>绿色</v>
      </c>
      <c r="G235" s="7">
        <v>32</v>
      </c>
      <c r="H235" s="7" t="s">
        <v>679</v>
      </c>
      <c r="I235" s="7" t="s">
        <v>679</v>
      </c>
      <c r="J235" s="7" t="s">
        <v>221</v>
      </c>
      <c r="K235" s="7">
        <v>0</v>
      </c>
      <c r="L235" s="7">
        <f>COUNTIFS(I$11:I235,I235,J$11:J235,J235)-1</f>
        <v>0</v>
      </c>
      <c r="O235" s="7">
        <v>10</v>
      </c>
      <c r="P235" s="7">
        <v>300000</v>
      </c>
      <c r="Q235" s="7" t="s">
        <v>138</v>
      </c>
      <c r="R235" s="21">
        <v>40140007</v>
      </c>
      <c r="S235" s="7"/>
      <c r="T235" s="7"/>
      <c r="U235" s="7">
        <v>11010001</v>
      </c>
      <c r="V235" s="7">
        <v>11020001</v>
      </c>
      <c r="X235" s="7" t="s">
        <v>139</v>
      </c>
      <c r="Y235" s="7" t="s">
        <v>673</v>
      </c>
      <c r="Z235" s="7"/>
      <c r="AA235" s="7">
        <v>80</v>
      </c>
      <c r="AB235" s="7">
        <v>80</v>
      </c>
      <c r="AC235" s="7">
        <v>20</v>
      </c>
      <c r="AD235" s="7">
        <v>30</v>
      </c>
      <c r="AE235" s="7" t="s">
        <v>141</v>
      </c>
      <c r="AF235" s="7"/>
      <c r="AG235" s="22" t="s">
        <v>222</v>
      </c>
      <c r="AI235" s="23">
        <v>1680</v>
      </c>
      <c r="AJ235" s="7" t="s">
        <v>142</v>
      </c>
      <c r="AK235" s="24">
        <v>20500</v>
      </c>
      <c r="AL235" s="7" t="s">
        <v>143</v>
      </c>
      <c r="AM235" s="7">
        <v>50</v>
      </c>
      <c r="AN235" s="7" t="s">
        <v>144</v>
      </c>
      <c r="AO235" s="7">
        <v>75</v>
      </c>
      <c r="AP235" s="7" t="s">
        <v>145</v>
      </c>
      <c r="AQ235" s="7">
        <v>49</v>
      </c>
      <c r="AR235" s="7" t="s">
        <v>146</v>
      </c>
      <c r="AS235" s="7">
        <v>70</v>
      </c>
      <c r="AT235" s="7" t="s">
        <v>147</v>
      </c>
      <c r="AU235" s="7">
        <v>140</v>
      </c>
      <c r="AV235" s="7" t="s">
        <v>148</v>
      </c>
      <c r="AW235" s="7">
        <v>190</v>
      </c>
      <c r="AX235" s="7" t="s">
        <v>149</v>
      </c>
      <c r="AY235" s="7">
        <v>140</v>
      </c>
      <c r="AZ235" s="7" t="s">
        <v>150</v>
      </c>
      <c r="BA235" s="7">
        <v>190</v>
      </c>
      <c r="BB235" s="7" t="s">
        <v>151</v>
      </c>
      <c r="BC235" s="7">
        <v>1</v>
      </c>
      <c r="BD235" s="7" t="s">
        <v>152</v>
      </c>
      <c r="BE235" s="7">
        <v>2</v>
      </c>
      <c r="BF235" s="7" t="s">
        <v>153</v>
      </c>
      <c r="BG235" s="7">
        <v>100</v>
      </c>
      <c r="BH235" s="7" t="s">
        <v>154</v>
      </c>
      <c r="BI235" s="7">
        <v>10</v>
      </c>
      <c r="BJ235" s="7" t="s">
        <v>155</v>
      </c>
      <c r="BK235" s="7">
        <v>300</v>
      </c>
      <c r="BL235" s="20"/>
      <c r="BM235" s="20"/>
      <c r="BN235" s="20">
        <v>1</v>
      </c>
      <c r="BO235" s="20">
        <v>2500</v>
      </c>
      <c r="BP235" s="20">
        <v>2</v>
      </c>
      <c r="BQ235" s="20">
        <v>2500</v>
      </c>
      <c r="BR235" s="20" t="s">
        <v>156</v>
      </c>
    </row>
    <row r="236" s="15" customFormat="1" ht="16.5" spans="1:70">
      <c r="A236" s="15">
        <f>60000000+INDEX(编号表!$B:$B,MATCH(I236,编号表!$A:$A,0))*10000+INDEX(编号表!$B:$B,MATCH(J236,编号表!$C:$C,0))*1000+K236</f>
        <v>60284000</v>
      </c>
      <c r="B236" s="15" t="s">
        <v>684</v>
      </c>
      <c r="C236" s="15" t="s">
        <v>672</v>
      </c>
      <c r="D236" s="15" t="s">
        <v>683</v>
      </c>
      <c r="E236" s="15">
        <v>47</v>
      </c>
      <c r="F236" s="15" t="str" cm="1">
        <f t="array" ref="F236">INDEX(编号表!$E:$E,MATCH(J236,编号表!$C:$C,0))</f>
        <v>橙色</v>
      </c>
      <c r="G236" s="15">
        <v>32</v>
      </c>
      <c r="H236" s="15" t="s">
        <v>679</v>
      </c>
      <c r="I236" s="15" t="s">
        <v>679</v>
      </c>
      <c r="J236" s="15" t="s">
        <v>233</v>
      </c>
      <c r="K236" s="15">
        <v>0</v>
      </c>
      <c r="L236" s="15">
        <f>COUNTIFS(I$11:I236,I236,J$11:J236,J236)-1</f>
        <v>0</v>
      </c>
      <c r="O236" s="7">
        <v>10</v>
      </c>
      <c r="P236" s="7">
        <v>300000</v>
      </c>
      <c r="Q236" s="15" t="s">
        <v>138</v>
      </c>
      <c r="R236" s="21">
        <v>40140007</v>
      </c>
      <c r="S236" s="15"/>
      <c r="T236" s="15"/>
      <c r="U236" s="15">
        <v>11010001</v>
      </c>
      <c r="V236" s="15">
        <v>11020001</v>
      </c>
      <c r="X236" s="15" t="s">
        <v>139</v>
      </c>
      <c r="Y236" s="15" t="s">
        <v>166</v>
      </c>
      <c r="Z236" s="7">
        <v>1.5</v>
      </c>
      <c r="AA236" s="7">
        <v>80</v>
      </c>
      <c r="AB236" s="7">
        <v>80</v>
      </c>
      <c r="AC236" s="7">
        <v>20</v>
      </c>
      <c r="AD236" s="7">
        <v>30</v>
      </c>
      <c r="AE236" s="15" t="s">
        <v>141</v>
      </c>
      <c r="AF236" s="15"/>
      <c r="AG236" s="22" t="s">
        <v>234</v>
      </c>
      <c r="AH236" s="15"/>
      <c r="AI236" s="23">
        <v>8350</v>
      </c>
      <c r="AJ236" s="15" t="s">
        <v>142</v>
      </c>
      <c r="AK236" s="24">
        <v>141000</v>
      </c>
      <c r="AL236" s="15" t="s">
        <v>143</v>
      </c>
      <c r="AM236" s="15">
        <v>75</v>
      </c>
      <c r="AN236" s="15" t="s">
        <v>144</v>
      </c>
      <c r="AO236" s="15">
        <v>105</v>
      </c>
      <c r="AP236" s="15" t="s">
        <v>145</v>
      </c>
      <c r="AQ236" s="15">
        <v>70</v>
      </c>
      <c r="AR236" s="15" t="s">
        <v>146</v>
      </c>
      <c r="AS236" s="15">
        <v>100</v>
      </c>
      <c r="AT236" s="15" t="s">
        <v>147</v>
      </c>
      <c r="AU236" s="15">
        <v>220</v>
      </c>
      <c r="AV236" s="15" t="s">
        <v>148</v>
      </c>
      <c r="AW236" s="15">
        <v>300</v>
      </c>
      <c r="AX236" s="15" t="s">
        <v>149</v>
      </c>
      <c r="AY236" s="15">
        <v>220</v>
      </c>
      <c r="AZ236" s="15" t="s">
        <v>150</v>
      </c>
      <c r="BA236" s="15">
        <v>300</v>
      </c>
      <c r="BB236" s="15" t="s">
        <v>151</v>
      </c>
      <c r="BC236" s="15">
        <v>1</v>
      </c>
      <c r="BD236" s="15" t="s">
        <v>152</v>
      </c>
      <c r="BE236" s="15">
        <v>2</v>
      </c>
      <c r="BF236" s="15" t="s">
        <v>153</v>
      </c>
      <c r="BG236" s="15">
        <v>100</v>
      </c>
      <c r="BH236" s="15" t="s">
        <v>154</v>
      </c>
      <c r="BI236" s="15">
        <v>10</v>
      </c>
      <c r="BJ236" s="15" t="s">
        <v>155</v>
      </c>
      <c r="BK236" s="7">
        <v>300</v>
      </c>
      <c r="BL236" s="25"/>
      <c r="BM236" s="25"/>
      <c r="BN236" s="20">
        <v>1</v>
      </c>
      <c r="BO236" s="20">
        <v>2500</v>
      </c>
      <c r="BP236" s="20">
        <v>2</v>
      </c>
      <c r="BQ236" s="20">
        <v>2500</v>
      </c>
      <c r="BR236" s="25" t="s">
        <v>156</v>
      </c>
    </row>
    <row r="237" s="7" customFormat="1" ht="16.5" spans="1:70">
      <c r="A237" s="7">
        <f>60000000+INDEX(编号表!$B:$B,MATCH(I237,编号表!$A:$A,0))*10000+INDEX(编号表!$B:$B,MATCH(J237,编号表!$C:$C,0))*1000+K237</f>
        <v>60291000</v>
      </c>
      <c r="B237" s="7" t="s">
        <v>685</v>
      </c>
      <c r="C237" s="7" t="s">
        <v>686</v>
      </c>
      <c r="D237" s="7" t="s">
        <v>686</v>
      </c>
      <c r="E237" s="7">
        <v>47</v>
      </c>
      <c r="F237" s="7" t="str" cm="1">
        <f t="array" ref="F237">INDEX(编号表!$E:$E,MATCH(J237,编号表!$C:$C,0))</f>
        <v>白色</v>
      </c>
      <c r="G237" s="7">
        <v>33</v>
      </c>
      <c r="H237" s="7" t="s">
        <v>687</v>
      </c>
      <c r="I237" s="7" t="s">
        <v>687</v>
      </c>
      <c r="J237" s="7" t="s">
        <v>137</v>
      </c>
      <c r="K237" s="7">
        <v>0</v>
      </c>
      <c r="L237" s="7">
        <f>COUNTIFS(I$11:I237,I237,J$11:J237,J237)-1</f>
        <v>0</v>
      </c>
      <c r="O237" s="7">
        <v>10</v>
      </c>
      <c r="P237" s="7">
        <v>300000</v>
      </c>
      <c r="Q237" s="7" t="s">
        <v>138</v>
      </c>
      <c r="R237" s="21">
        <v>40140007</v>
      </c>
      <c r="S237" s="7"/>
      <c r="T237" s="7"/>
      <c r="U237" s="7">
        <v>11010001</v>
      </c>
      <c r="V237" s="7">
        <v>11020001</v>
      </c>
      <c r="X237" s="7" t="s">
        <v>139</v>
      </c>
      <c r="Y237" s="7" t="s">
        <v>688</v>
      </c>
      <c r="Z237" s="7">
        <v>1.2</v>
      </c>
      <c r="AA237" s="7">
        <v>80</v>
      </c>
      <c r="AB237" s="7">
        <v>80</v>
      </c>
      <c r="AC237" s="7">
        <v>20</v>
      </c>
      <c r="AD237" s="7">
        <v>30</v>
      </c>
      <c r="AE237" s="7" t="s">
        <v>206</v>
      </c>
      <c r="AF237" s="7" t="s">
        <v>689</v>
      </c>
      <c r="AG237" s="22"/>
      <c r="AI237" s="23">
        <v>420</v>
      </c>
      <c r="AJ237" s="7" t="s">
        <v>142</v>
      </c>
      <c r="AK237" s="24">
        <v>2900</v>
      </c>
      <c r="AL237" s="7" t="s">
        <v>143</v>
      </c>
      <c r="AM237" s="7">
        <v>26</v>
      </c>
      <c r="AN237" s="7" t="s">
        <v>144</v>
      </c>
      <c r="AO237" s="7">
        <v>38</v>
      </c>
      <c r="AP237" s="7" t="s">
        <v>145</v>
      </c>
      <c r="AQ237" s="7">
        <v>25</v>
      </c>
      <c r="AR237" s="7" t="s">
        <v>146</v>
      </c>
      <c r="AS237" s="7">
        <v>36</v>
      </c>
      <c r="AT237" s="7" t="s">
        <v>147</v>
      </c>
      <c r="AU237" s="7">
        <v>75</v>
      </c>
      <c r="AV237" s="7" t="s">
        <v>148</v>
      </c>
      <c r="AW237" s="7">
        <v>100</v>
      </c>
      <c r="AX237" s="7" t="s">
        <v>149</v>
      </c>
      <c r="AY237" s="7">
        <v>75</v>
      </c>
      <c r="AZ237" s="7" t="s">
        <v>150</v>
      </c>
      <c r="BA237" s="7">
        <v>100</v>
      </c>
      <c r="BB237" s="7" t="s">
        <v>151</v>
      </c>
      <c r="BC237" s="7">
        <v>1</v>
      </c>
      <c r="BD237" s="7" t="s">
        <v>152</v>
      </c>
      <c r="BE237" s="7">
        <v>2</v>
      </c>
      <c r="BF237" s="7" t="s">
        <v>153</v>
      </c>
      <c r="BG237" s="7">
        <v>100</v>
      </c>
      <c r="BH237" s="7" t="s">
        <v>154</v>
      </c>
      <c r="BI237" s="7">
        <v>300</v>
      </c>
      <c r="BJ237" s="7" t="s">
        <v>155</v>
      </c>
      <c r="BK237" s="7">
        <v>300</v>
      </c>
      <c r="BL237" s="20"/>
      <c r="BM237" s="20"/>
      <c r="BN237" s="20">
        <v>1</v>
      </c>
      <c r="BO237" s="20">
        <v>2500</v>
      </c>
      <c r="BP237" s="20">
        <v>2</v>
      </c>
      <c r="BQ237" s="20">
        <v>2500</v>
      </c>
      <c r="BR237" s="20" t="s">
        <v>156</v>
      </c>
    </row>
    <row r="238" s="7" customFormat="1" ht="16.5" spans="1:70">
      <c r="A238" s="7">
        <f>60000000+INDEX(编号表!$B:$B,MATCH(I238,编号表!$A:$A,0))*10000+INDEX(编号表!$B:$B,MATCH(J238,编号表!$C:$C,0))*1000+K238</f>
        <v>60291001</v>
      </c>
      <c r="B238" s="7" t="s">
        <v>690</v>
      </c>
      <c r="C238" s="7" t="s">
        <v>691</v>
      </c>
      <c r="D238" s="7" t="s">
        <v>691</v>
      </c>
      <c r="E238" s="7">
        <v>47</v>
      </c>
      <c r="F238" s="7" t="str" cm="1">
        <f t="array" ref="F238">INDEX(编号表!$E:$E,MATCH(J238,编号表!$C:$C,0))</f>
        <v>白色</v>
      </c>
      <c r="G238" s="7">
        <v>33</v>
      </c>
      <c r="H238" s="7" t="s">
        <v>687</v>
      </c>
      <c r="I238" s="7" t="s">
        <v>687</v>
      </c>
      <c r="J238" s="7" t="s">
        <v>137</v>
      </c>
      <c r="K238" s="7">
        <v>1</v>
      </c>
      <c r="L238" s="7">
        <f>COUNTIFS(I$11:I238,I238,J$11:J238,J238)-1</f>
        <v>1</v>
      </c>
      <c r="O238" s="7">
        <v>10</v>
      </c>
      <c r="P238" s="7">
        <v>150000</v>
      </c>
      <c r="Q238" s="7" t="s">
        <v>138</v>
      </c>
      <c r="R238" s="21">
        <v>40140007</v>
      </c>
      <c r="S238" s="7"/>
      <c r="T238" s="7"/>
      <c r="U238" s="7">
        <v>11010001</v>
      </c>
      <c r="V238" s="7">
        <v>11020001</v>
      </c>
      <c r="X238" s="7" t="s">
        <v>139</v>
      </c>
      <c r="Y238" s="7" t="s">
        <v>692</v>
      </c>
      <c r="Z238" s="7">
        <v>1.2</v>
      </c>
      <c r="AA238" s="7">
        <v>80</v>
      </c>
      <c r="AB238" s="7">
        <v>80</v>
      </c>
      <c r="AC238" s="7">
        <v>20</v>
      </c>
      <c r="AD238" s="7">
        <v>30</v>
      </c>
      <c r="AE238" s="7" t="s">
        <v>141</v>
      </c>
      <c r="AF238" s="7"/>
      <c r="AG238" s="22"/>
      <c r="AI238" s="23">
        <v>420</v>
      </c>
      <c r="AJ238" s="7" t="s">
        <v>142</v>
      </c>
      <c r="AK238" s="24">
        <v>3650</v>
      </c>
      <c r="AL238" s="7" t="s">
        <v>143</v>
      </c>
      <c r="AM238" s="7">
        <v>34</v>
      </c>
      <c r="AN238" s="7" t="s">
        <v>144</v>
      </c>
      <c r="AO238" s="7">
        <v>48</v>
      </c>
      <c r="AP238" s="7" t="s">
        <v>145</v>
      </c>
      <c r="AQ238" s="7">
        <v>31</v>
      </c>
      <c r="AR238" s="7" t="s">
        <v>146</v>
      </c>
      <c r="AS238" s="7">
        <v>46</v>
      </c>
      <c r="AT238" s="7" t="s">
        <v>147</v>
      </c>
      <c r="AU238" s="7">
        <v>70</v>
      </c>
      <c r="AV238" s="7" t="s">
        <v>148</v>
      </c>
      <c r="AW238" s="7">
        <v>90</v>
      </c>
      <c r="AX238" s="7" t="s">
        <v>149</v>
      </c>
      <c r="AY238" s="7">
        <v>70</v>
      </c>
      <c r="AZ238" s="7" t="s">
        <v>150</v>
      </c>
      <c r="BA238" s="7">
        <v>90</v>
      </c>
      <c r="BB238" s="7" t="s">
        <v>151</v>
      </c>
      <c r="BC238" s="7">
        <v>0</v>
      </c>
      <c r="BD238" s="7" t="s">
        <v>152</v>
      </c>
      <c r="BE238" s="7">
        <v>0</v>
      </c>
      <c r="BF238" s="7" t="s">
        <v>153</v>
      </c>
      <c r="BG238" s="7">
        <v>100</v>
      </c>
      <c r="BH238" s="7" t="s">
        <v>154</v>
      </c>
      <c r="BI238" s="7">
        <v>10</v>
      </c>
      <c r="BJ238" s="7" t="s">
        <v>155</v>
      </c>
      <c r="BK238" s="7">
        <v>300</v>
      </c>
      <c r="BL238" s="20"/>
      <c r="BM238" s="20"/>
      <c r="BN238" s="20">
        <v>1</v>
      </c>
      <c r="BO238" s="20">
        <v>2500</v>
      </c>
      <c r="BP238" s="20">
        <v>2</v>
      </c>
      <c r="BQ238" s="20">
        <v>2500</v>
      </c>
      <c r="BR238" s="20" t="s">
        <v>156</v>
      </c>
    </row>
    <row r="239" s="7" customFormat="1" ht="16.5" spans="1:70">
      <c r="A239" s="7">
        <f>60000000+INDEX(编号表!$B:$B,MATCH(I239,编号表!$A:$A,0))*10000+INDEX(编号表!$B:$B,MATCH(J239,编号表!$C:$C,0))*1000+K239</f>
        <v>60291002</v>
      </c>
      <c r="B239" s="7" t="s">
        <v>693</v>
      </c>
      <c r="C239" s="7" t="s">
        <v>694</v>
      </c>
      <c r="D239" s="7" t="s">
        <v>694</v>
      </c>
      <c r="E239" s="7">
        <v>47</v>
      </c>
      <c r="F239" s="7" t="str" cm="1">
        <f t="array" ref="F239">INDEX(编号表!$E:$E,MATCH(J239,编号表!$C:$C,0))</f>
        <v>白色</v>
      </c>
      <c r="G239" s="7">
        <v>33</v>
      </c>
      <c r="H239" s="7" t="s">
        <v>687</v>
      </c>
      <c r="I239" s="7" t="s">
        <v>687</v>
      </c>
      <c r="J239" s="7" t="s">
        <v>137</v>
      </c>
      <c r="K239" s="7">
        <v>2</v>
      </c>
      <c r="L239" s="7">
        <f>COUNTIFS(I$11:I239,I239,J$11:J239,J239)-1</f>
        <v>2</v>
      </c>
      <c r="O239" s="7">
        <v>10</v>
      </c>
      <c r="P239" s="7">
        <v>300000</v>
      </c>
      <c r="Q239" s="7" t="s">
        <v>138</v>
      </c>
      <c r="R239" s="21">
        <v>40140007</v>
      </c>
      <c r="S239" s="7"/>
      <c r="T239" s="7"/>
      <c r="U239" s="7">
        <v>11010001</v>
      </c>
      <c r="V239" s="7">
        <v>11020001</v>
      </c>
      <c r="X239" s="7" t="s">
        <v>139</v>
      </c>
      <c r="Y239" s="7" t="s">
        <v>695</v>
      </c>
      <c r="Z239" s="7">
        <v>1.2</v>
      </c>
      <c r="AA239" s="7">
        <v>80</v>
      </c>
      <c r="AB239" s="7">
        <v>80</v>
      </c>
      <c r="AC239" s="7">
        <v>20</v>
      </c>
      <c r="AD239" s="7">
        <v>30</v>
      </c>
      <c r="AE239" s="7" t="s">
        <v>141</v>
      </c>
      <c r="AF239" s="7"/>
      <c r="AG239" s="22"/>
      <c r="AI239" s="23">
        <v>420</v>
      </c>
      <c r="AJ239" s="7" t="s">
        <v>142</v>
      </c>
      <c r="AK239" s="24">
        <v>3150</v>
      </c>
      <c r="AL239" s="7" t="s">
        <v>143</v>
      </c>
      <c r="AM239" s="7">
        <v>29</v>
      </c>
      <c r="AN239" s="7" t="s">
        <v>144</v>
      </c>
      <c r="AO239" s="7">
        <v>42</v>
      </c>
      <c r="AP239" s="7" t="s">
        <v>145</v>
      </c>
      <c r="AQ239" s="7">
        <v>27</v>
      </c>
      <c r="AR239" s="7" t="s">
        <v>146</v>
      </c>
      <c r="AS239" s="7">
        <v>40</v>
      </c>
      <c r="AT239" s="7" t="s">
        <v>147</v>
      </c>
      <c r="AU239" s="7">
        <v>65</v>
      </c>
      <c r="AV239" s="7" t="s">
        <v>148</v>
      </c>
      <c r="AW239" s="7">
        <v>90</v>
      </c>
      <c r="AX239" s="7" t="s">
        <v>149</v>
      </c>
      <c r="AY239" s="7">
        <v>65</v>
      </c>
      <c r="AZ239" s="7" t="s">
        <v>150</v>
      </c>
      <c r="BA239" s="7">
        <v>90</v>
      </c>
      <c r="BB239" s="7" t="s">
        <v>151</v>
      </c>
      <c r="BC239" s="7">
        <v>1</v>
      </c>
      <c r="BD239" s="7" t="s">
        <v>152</v>
      </c>
      <c r="BE239" s="7">
        <v>2</v>
      </c>
      <c r="BF239" s="7" t="s">
        <v>153</v>
      </c>
      <c r="BG239" s="7">
        <v>100</v>
      </c>
      <c r="BH239" s="7" t="s">
        <v>154</v>
      </c>
      <c r="BI239" s="7">
        <v>10</v>
      </c>
      <c r="BJ239" s="7" t="s">
        <v>155</v>
      </c>
      <c r="BK239" s="7">
        <v>300</v>
      </c>
      <c r="BL239" s="20"/>
      <c r="BM239" s="20"/>
      <c r="BN239" s="20">
        <v>1</v>
      </c>
      <c r="BO239" s="20">
        <v>2500</v>
      </c>
      <c r="BP239" s="20">
        <v>2</v>
      </c>
      <c r="BQ239" s="20">
        <v>2500</v>
      </c>
      <c r="BR239" s="20" t="s">
        <v>156</v>
      </c>
    </row>
    <row r="240" s="7" customFormat="1" ht="16.5" spans="1:70">
      <c r="A240" s="7">
        <f>60000000+INDEX(编号表!$B:$B,MATCH(I240,编号表!$A:$A,0))*10000+INDEX(编号表!$B:$B,MATCH(J240,编号表!$C:$C,0))*1000+K240</f>
        <v>60291003</v>
      </c>
      <c r="B240" s="7" t="s">
        <v>696</v>
      </c>
      <c r="C240" s="7" t="s">
        <v>697</v>
      </c>
      <c r="D240" s="7" t="s">
        <v>697</v>
      </c>
      <c r="E240" s="7">
        <v>47</v>
      </c>
      <c r="F240" s="7" t="str" cm="1">
        <f t="array" ref="F240">INDEX(编号表!$E:$E,MATCH(J240,编号表!$C:$C,0))</f>
        <v>白色</v>
      </c>
      <c r="G240" s="7">
        <v>33</v>
      </c>
      <c r="H240" s="7" t="s">
        <v>687</v>
      </c>
      <c r="I240" s="7" t="s">
        <v>687</v>
      </c>
      <c r="J240" s="7" t="s">
        <v>137</v>
      </c>
      <c r="K240" s="7">
        <v>3</v>
      </c>
      <c r="L240" s="7">
        <f>COUNTIFS(I$11:I240,I240,J$11:J240,J240)-1</f>
        <v>3</v>
      </c>
      <c r="O240" s="7">
        <v>10</v>
      </c>
      <c r="P240" s="7">
        <v>300000</v>
      </c>
      <c r="Q240" s="7" t="s">
        <v>138</v>
      </c>
      <c r="R240" s="21">
        <v>40140007</v>
      </c>
      <c r="S240" s="7"/>
      <c r="T240" s="7"/>
      <c r="U240" s="7">
        <v>11010001</v>
      </c>
      <c r="V240" s="7">
        <v>11020001</v>
      </c>
      <c r="X240" s="7" t="s">
        <v>139</v>
      </c>
      <c r="Y240" s="7" t="s">
        <v>698</v>
      </c>
      <c r="Z240" s="7">
        <v>1.2</v>
      </c>
      <c r="AA240" s="7">
        <v>80</v>
      </c>
      <c r="AB240" s="7">
        <v>80</v>
      </c>
      <c r="AC240" s="7">
        <v>20</v>
      </c>
      <c r="AD240" s="7">
        <v>30</v>
      </c>
      <c r="AE240" s="7" t="s">
        <v>141</v>
      </c>
      <c r="AF240" s="7"/>
      <c r="AG240" s="22"/>
      <c r="AI240" s="23">
        <v>420</v>
      </c>
      <c r="AJ240" s="7" t="s">
        <v>142</v>
      </c>
      <c r="AK240" s="24">
        <v>3650</v>
      </c>
      <c r="AL240" s="7" t="s">
        <v>143</v>
      </c>
      <c r="AM240" s="7">
        <v>34</v>
      </c>
      <c r="AN240" s="7" t="s">
        <v>144</v>
      </c>
      <c r="AO240" s="7">
        <v>48</v>
      </c>
      <c r="AP240" s="7" t="s">
        <v>145</v>
      </c>
      <c r="AQ240" s="7">
        <v>31</v>
      </c>
      <c r="AR240" s="7" t="s">
        <v>146</v>
      </c>
      <c r="AS240" s="7">
        <v>46</v>
      </c>
      <c r="AT240" s="7" t="s">
        <v>147</v>
      </c>
      <c r="AU240" s="7">
        <v>70</v>
      </c>
      <c r="AV240" s="7" t="s">
        <v>148</v>
      </c>
      <c r="AW240" s="7">
        <v>90</v>
      </c>
      <c r="AX240" s="7" t="s">
        <v>149</v>
      </c>
      <c r="AY240" s="7">
        <v>70</v>
      </c>
      <c r="AZ240" s="7" t="s">
        <v>150</v>
      </c>
      <c r="BA240" s="7">
        <v>90</v>
      </c>
      <c r="BB240" s="7" t="s">
        <v>151</v>
      </c>
      <c r="BC240" s="7">
        <v>1</v>
      </c>
      <c r="BD240" s="7" t="s">
        <v>152</v>
      </c>
      <c r="BE240" s="7">
        <v>2</v>
      </c>
      <c r="BF240" s="7" t="s">
        <v>153</v>
      </c>
      <c r="BG240" s="7">
        <v>100</v>
      </c>
      <c r="BH240" s="7" t="s">
        <v>154</v>
      </c>
      <c r="BI240" s="7">
        <v>10</v>
      </c>
      <c r="BJ240" s="7" t="s">
        <v>155</v>
      </c>
      <c r="BK240" s="7">
        <v>300</v>
      </c>
      <c r="BL240" s="20"/>
      <c r="BM240" s="20"/>
      <c r="BN240" s="20">
        <v>1</v>
      </c>
      <c r="BO240" s="20">
        <v>2500</v>
      </c>
      <c r="BP240" s="20">
        <v>2</v>
      </c>
      <c r="BQ240" s="20">
        <v>2500</v>
      </c>
      <c r="BR240" s="20" t="s">
        <v>156</v>
      </c>
    </row>
    <row r="241" s="7" customFormat="1" ht="16.5" spans="1:70">
      <c r="A241" s="7">
        <f>60000000+INDEX(编号表!$B:$B,MATCH(I241,编号表!$A:$A,0))*10000+INDEX(编号表!$B:$B,MATCH(J241,编号表!$C:$C,0))*1000+K241</f>
        <v>60292000</v>
      </c>
      <c r="B241" s="7" t="s">
        <v>699</v>
      </c>
      <c r="C241" s="7" t="s">
        <v>691</v>
      </c>
      <c r="D241" s="7" t="s">
        <v>700</v>
      </c>
      <c r="E241" s="7">
        <v>48</v>
      </c>
      <c r="F241" s="7" t="str" cm="1">
        <f t="array" ref="F241">INDEX(编号表!$E:$E,MATCH(J241,编号表!$C:$C,0))</f>
        <v>绿色</v>
      </c>
      <c r="G241" s="7">
        <v>33</v>
      </c>
      <c r="H241" s="7" t="s">
        <v>687</v>
      </c>
      <c r="I241" s="7" t="s">
        <v>687</v>
      </c>
      <c r="J241" s="7" t="s">
        <v>221</v>
      </c>
      <c r="K241" s="7">
        <v>0</v>
      </c>
      <c r="L241" s="7">
        <f>COUNTIFS(I$11:I241,I241,J$11:J241,J241)-1</f>
        <v>0</v>
      </c>
      <c r="O241" s="7">
        <v>10</v>
      </c>
      <c r="P241" s="7">
        <v>150000</v>
      </c>
      <c r="Q241" s="7" t="s">
        <v>138</v>
      </c>
      <c r="R241" s="21">
        <v>40140007</v>
      </c>
      <c r="S241" s="7"/>
      <c r="T241" s="7"/>
      <c r="U241" s="7">
        <v>11010001</v>
      </c>
      <c r="V241" s="7">
        <v>11020001</v>
      </c>
      <c r="X241" s="7" t="s">
        <v>139</v>
      </c>
      <c r="Y241" s="7" t="s">
        <v>692</v>
      </c>
      <c r="Z241" s="7">
        <v>1.2</v>
      </c>
      <c r="AA241" s="7">
        <v>80</v>
      </c>
      <c r="AB241" s="7">
        <v>80</v>
      </c>
      <c r="AC241" s="7">
        <v>20</v>
      </c>
      <c r="AD241" s="7">
        <v>30</v>
      </c>
      <c r="AE241" s="7" t="s">
        <v>141</v>
      </c>
      <c r="AF241" s="7"/>
      <c r="AG241" s="22" t="s">
        <v>222</v>
      </c>
      <c r="AI241" s="23">
        <v>1760</v>
      </c>
      <c r="AJ241" s="7" t="s">
        <v>142</v>
      </c>
      <c r="AK241" s="24">
        <v>22000</v>
      </c>
      <c r="AL241" s="7" t="s">
        <v>143</v>
      </c>
      <c r="AM241" s="7">
        <v>55</v>
      </c>
      <c r="AN241" s="7" t="s">
        <v>144</v>
      </c>
      <c r="AO241" s="7">
        <v>80</v>
      </c>
      <c r="AP241" s="7" t="s">
        <v>145</v>
      </c>
      <c r="AQ241" s="7">
        <v>50</v>
      </c>
      <c r="AR241" s="7" t="s">
        <v>146</v>
      </c>
      <c r="AS241" s="7">
        <v>75</v>
      </c>
      <c r="AT241" s="7" t="s">
        <v>147</v>
      </c>
      <c r="AU241" s="7">
        <v>145</v>
      </c>
      <c r="AV241" s="7" t="s">
        <v>148</v>
      </c>
      <c r="AW241" s="7">
        <v>195</v>
      </c>
      <c r="AX241" s="7" t="s">
        <v>149</v>
      </c>
      <c r="AY241" s="7">
        <v>145</v>
      </c>
      <c r="AZ241" s="7" t="s">
        <v>150</v>
      </c>
      <c r="BA241" s="7">
        <v>195</v>
      </c>
      <c r="BB241" s="7" t="s">
        <v>151</v>
      </c>
      <c r="BC241" s="7">
        <v>0</v>
      </c>
      <c r="BD241" s="7" t="s">
        <v>152</v>
      </c>
      <c r="BE241" s="7">
        <v>0</v>
      </c>
      <c r="BF241" s="7" t="s">
        <v>153</v>
      </c>
      <c r="BG241" s="7">
        <v>100</v>
      </c>
      <c r="BH241" s="7" t="s">
        <v>154</v>
      </c>
      <c r="BI241" s="7">
        <v>10</v>
      </c>
      <c r="BJ241" s="7" t="s">
        <v>155</v>
      </c>
      <c r="BK241" s="7">
        <v>300</v>
      </c>
      <c r="BL241" s="20"/>
      <c r="BM241" s="20"/>
      <c r="BN241" s="20">
        <v>1</v>
      </c>
      <c r="BO241" s="20">
        <v>2500</v>
      </c>
      <c r="BP241" s="20">
        <v>2</v>
      </c>
      <c r="BQ241" s="20">
        <v>2500</v>
      </c>
      <c r="BR241" s="20" t="s">
        <v>156</v>
      </c>
    </row>
    <row r="242" s="15" customFormat="1" ht="16.5" spans="1:70">
      <c r="A242" s="15">
        <f>60000000+INDEX(编号表!$B:$B,MATCH(I242,编号表!$A:$A,0))*10000+INDEX(编号表!$B:$B,MATCH(J242,编号表!$C:$C,0))*1000+K242</f>
        <v>60294000</v>
      </c>
      <c r="B242" s="15" t="s">
        <v>701</v>
      </c>
      <c r="C242" s="15" t="s">
        <v>691</v>
      </c>
      <c r="D242" s="15" t="s">
        <v>700</v>
      </c>
      <c r="E242" s="15">
        <v>48</v>
      </c>
      <c r="F242" s="15" t="str" cm="1">
        <f t="array" ref="F242">INDEX(编号表!$E:$E,MATCH(J242,编号表!$C:$C,0))</f>
        <v>橙色</v>
      </c>
      <c r="G242" s="15">
        <v>33</v>
      </c>
      <c r="H242" s="15" t="s">
        <v>687</v>
      </c>
      <c r="I242" s="15" t="s">
        <v>687</v>
      </c>
      <c r="J242" s="15" t="s">
        <v>233</v>
      </c>
      <c r="K242" s="15">
        <v>0</v>
      </c>
      <c r="L242" s="15">
        <f>COUNTIFS(I$11:I242,I242,J$11:J242,J242)-1</f>
        <v>0</v>
      </c>
      <c r="O242" s="7">
        <v>10</v>
      </c>
      <c r="P242" s="7">
        <v>150000</v>
      </c>
      <c r="Q242" s="15" t="s">
        <v>138</v>
      </c>
      <c r="R242" s="21">
        <v>40140007</v>
      </c>
      <c r="S242" s="15"/>
      <c r="T242" s="15"/>
      <c r="U242" s="15">
        <v>11010001</v>
      </c>
      <c r="V242" s="15">
        <v>11020001</v>
      </c>
      <c r="X242" s="15" t="s">
        <v>139</v>
      </c>
      <c r="Y242" s="7" t="s">
        <v>692</v>
      </c>
      <c r="Z242" s="7">
        <v>1.5</v>
      </c>
      <c r="AA242" s="7">
        <v>80</v>
      </c>
      <c r="AB242" s="7">
        <v>80</v>
      </c>
      <c r="AC242" s="7">
        <v>20</v>
      </c>
      <c r="AD242" s="7">
        <v>30</v>
      </c>
      <c r="AE242" s="15" t="s">
        <v>141</v>
      </c>
      <c r="AF242" s="15"/>
      <c r="AG242" s="22" t="s">
        <v>234</v>
      </c>
      <c r="AH242" s="15"/>
      <c r="AI242" s="23">
        <v>8800</v>
      </c>
      <c r="AJ242" s="15" t="s">
        <v>142</v>
      </c>
      <c r="AK242" s="24">
        <v>151000</v>
      </c>
      <c r="AL242" s="15" t="s">
        <v>143</v>
      </c>
      <c r="AM242" s="15">
        <v>80</v>
      </c>
      <c r="AN242" s="15" t="s">
        <v>144</v>
      </c>
      <c r="AO242" s="15">
        <v>110</v>
      </c>
      <c r="AP242" s="15" t="s">
        <v>145</v>
      </c>
      <c r="AQ242" s="15">
        <v>75</v>
      </c>
      <c r="AR242" s="15" t="s">
        <v>146</v>
      </c>
      <c r="AS242" s="15">
        <v>105</v>
      </c>
      <c r="AT242" s="15" t="s">
        <v>147</v>
      </c>
      <c r="AU242" s="15">
        <v>230</v>
      </c>
      <c r="AV242" s="15" t="s">
        <v>148</v>
      </c>
      <c r="AW242" s="15">
        <v>320</v>
      </c>
      <c r="AX242" s="15" t="s">
        <v>149</v>
      </c>
      <c r="AY242" s="15">
        <v>230</v>
      </c>
      <c r="AZ242" s="15" t="s">
        <v>150</v>
      </c>
      <c r="BA242" s="15">
        <v>320</v>
      </c>
      <c r="BB242" s="15" t="s">
        <v>151</v>
      </c>
      <c r="BC242" s="15">
        <v>0</v>
      </c>
      <c r="BD242" s="15" t="s">
        <v>152</v>
      </c>
      <c r="BE242" s="15">
        <v>0</v>
      </c>
      <c r="BF242" s="15" t="s">
        <v>153</v>
      </c>
      <c r="BG242" s="15">
        <v>100</v>
      </c>
      <c r="BH242" s="15" t="s">
        <v>154</v>
      </c>
      <c r="BI242" s="15">
        <v>10</v>
      </c>
      <c r="BJ242" s="15" t="s">
        <v>155</v>
      </c>
      <c r="BK242" s="7">
        <v>300</v>
      </c>
      <c r="BL242" s="25"/>
      <c r="BM242" s="25"/>
      <c r="BN242" s="20">
        <v>1</v>
      </c>
      <c r="BO242" s="20">
        <v>2500</v>
      </c>
      <c r="BP242" s="20">
        <v>2</v>
      </c>
      <c r="BQ242" s="20">
        <v>2500</v>
      </c>
      <c r="BR242" s="25" t="s">
        <v>156</v>
      </c>
    </row>
    <row r="243" s="7" customFormat="1" ht="16.5" spans="1:70">
      <c r="A243" s="7">
        <f>60000000+INDEX(编号表!$B:$B,MATCH(I243,编号表!$A:$A,0))*10000+INDEX(编号表!$B:$B,MATCH(J243,编号表!$C:$C,0))*1000+K243</f>
        <v>60301000</v>
      </c>
      <c r="B243" s="7" t="s">
        <v>702</v>
      </c>
      <c r="C243" s="7" t="s">
        <v>686</v>
      </c>
      <c r="D243" s="7" t="s">
        <v>703</v>
      </c>
      <c r="E243" s="7">
        <v>48</v>
      </c>
      <c r="F243" s="7" t="str" cm="1">
        <f t="array" ref="F243">INDEX(编号表!$E:$E,MATCH(J243,编号表!$C:$C,0))</f>
        <v>白色</v>
      </c>
      <c r="G243" s="7">
        <v>34</v>
      </c>
      <c r="H243" s="7" t="s">
        <v>704</v>
      </c>
      <c r="I243" s="7" t="s">
        <v>704</v>
      </c>
      <c r="J243" s="7" t="s">
        <v>137</v>
      </c>
      <c r="K243" s="7">
        <v>0</v>
      </c>
      <c r="L243" s="7">
        <f>COUNTIFS(I$11:I243,I243,J$11:J243,J243)-1</f>
        <v>0</v>
      </c>
      <c r="O243" s="7">
        <v>10</v>
      </c>
      <c r="P243" s="7">
        <v>300000</v>
      </c>
      <c r="Q243" s="7" t="s">
        <v>138</v>
      </c>
      <c r="R243" s="21">
        <v>40140007</v>
      </c>
      <c r="S243" s="7"/>
      <c r="T243" s="7"/>
      <c r="U243" s="7">
        <v>11010001</v>
      </c>
      <c r="V243" s="7">
        <v>11020001</v>
      </c>
      <c r="X243" s="7" t="s">
        <v>139</v>
      </c>
      <c r="Y243" s="7" t="s">
        <v>688</v>
      </c>
      <c r="Z243" s="7">
        <v>1.2</v>
      </c>
      <c r="AA243" s="7">
        <v>80</v>
      </c>
      <c r="AB243" s="7">
        <v>80</v>
      </c>
      <c r="AC243" s="7">
        <v>20</v>
      </c>
      <c r="AD243" s="7">
        <v>30</v>
      </c>
      <c r="AE243" s="7" t="s">
        <v>206</v>
      </c>
      <c r="AF243" s="7" t="s">
        <v>689</v>
      </c>
      <c r="AG243" s="22"/>
      <c r="AI243" s="23">
        <v>440</v>
      </c>
      <c r="AJ243" s="7" t="s">
        <v>142</v>
      </c>
      <c r="AK243" s="24">
        <v>3050</v>
      </c>
      <c r="AL243" s="7" t="s">
        <v>143</v>
      </c>
      <c r="AM243" s="7">
        <v>27</v>
      </c>
      <c r="AN243" s="7" t="s">
        <v>144</v>
      </c>
      <c r="AO243" s="7">
        <v>39</v>
      </c>
      <c r="AP243" s="7" t="s">
        <v>145</v>
      </c>
      <c r="AQ243" s="7">
        <v>25</v>
      </c>
      <c r="AR243" s="7" t="s">
        <v>146</v>
      </c>
      <c r="AS243" s="7">
        <v>37</v>
      </c>
      <c r="AT243" s="7" t="s">
        <v>147</v>
      </c>
      <c r="AU243" s="7">
        <v>75</v>
      </c>
      <c r="AV243" s="7" t="s">
        <v>148</v>
      </c>
      <c r="AW243" s="7">
        <v>100</v>
      </c>
      <c r="AX243" s="7" t="s">
        <v>149</v>
      </c>
      <c r="AY243" s="7">
        <v>75</v>
      </c>
      <c r="AZ243" s="7" t="s">
        <v>150</v>
      </c>
      <c r="BA243" s="7">
        <v>100</v>
      </c>
      <c r="BB243" s="7" t="s">
        <v>151</v>
      </c>
      <c r="BC243" s="7">
        <v>1</v>
      </c>
      <c r="BD243" s="7" t="s">
        <v>152</v>
      </c>
      <c r="BE243" s="7">
        <v>2</v>
      </c>
      <c r="BF243" s="7" t="s">
        <v>153</v>
      </c>
      <c r="BG243" s="7">
        <v>100</v>
      </c>
      <c r="BH243" s="7" t="s">
        <v>154</v>
      </c>
      <c r="BI243" s="7">
        <v>300</v>
      </c>
      <c r="BJ243" s="7" t="s">
        <v>155</v>
      </c>
      <c r="BK243" s="7">
        <v>300</v>
      </c>
      <c r="BL243" s="20"/>
      <c r="BM243" s="20"/>
      <c r="BN243" s="20">
        <v>1</v>
      </c>
      <c r="BO243" s="20">
        <v>2500</v>
      </c>
      <c r="BP243" s="20">
        <v>2</v>
      </c>
      <c r="BQ243" s="20">
        <v>2500</v>
      </c>
      <c r="BR243" s="20" t="s">
        <v>156</v>
      </c>
    </row>
    <row r="244" s="7" customFormat="1" ht="16.5" spans="1:70">
      <c r="A244" s="7">
        <f>60000000+INDEX(编号表!$B:$B,MATCH(I244,编号表!$A:$A,0))*10000+INDEX(编号表!$B:$B,MATCH(J244,编号表!$C:$C,0))*1000+K244</f>
        <v>60301001</v>
      </c>
      <c r="B244" s="7" t="s">
        <v>705</v>
      </c>
      <c r="C244" s="7" t="s">
        <v>691</v>
      </c>
      <c r="D244" s="7" t="s">
        <v>706</v>
      </c>
      <c r="E244" s="7">
        <v>48</v>
      </c>
      <c r="F244" s="7" t="str" cm="1">
        <f t="array" ref="F244">INDEX(编号表!$E:$E,MATCH(J244,编号表!$C:$C,0))</f>
        <v>白色</v>
      </c>
      <c r="G244" s="7">
        <v>34</v>
      </c>
      <c r="H244" s="7" t="s">
        <v>704</v>
      </c>
      <c r="I244" s="7" t="s">
        <v>704</v>
      </c>
      <c r="J244" s="7" t="s">
        <v>137</v>
      </c>
      <c r="K244" s="7">
        <v>1</v>
      </c>
      <c r="L244" s="7">
        <f>COUNTIFS(I$11:I244,I244,J$11:J244,J244)-1</f>
        <v>1</v>
      </c>
      <c r="O244" s="7">
        <v>10</v>
      </c>
      <c r="P244" s="7">
        <v>150000</v>
      </c>
      <c r="Q244" s="7" t="s">
        <v>138</v>
      </c>
      <c r="R244" s="21">
        <v>40140007</v>
      </c>
      <c r="S244" s="7"/>
      <c r="T244" s="7"/>
      <c r="U244" s="7">
        <v>11010001</v>
      </c>
      <c r="V244" s="7">
        <v>11020001</v>
      </c>
      <c r="X244" s="7" t="s">
        <v>139</v>
      </c>
      <c r="Y244" s="7" t="s">
        <v>692</v>
      </c>
      <c r="Z244" s="7">
        <v>1.2</v>
      </c>
      <c r="AA244" s="7">
        <v>80</v>
      </c>
      <c r="AB244" s="7">
        <v>80</v>
      </c>
      <c r="AC244" s="7">
        <v>20</v>
      </c>
      <c r="AD244" s="7">
        <v>30</v>
      </c>
      <c r="AE244" s="7" t="s">
        <v>141</v>
      </c>
      <c r="AF244" s="7"/>
      <c r="AG244" s="22"/>
      <c r="AI244" s="23">
        <v>440</v>
      </c>
      <c r="AJ244" s="7" t="s">
        <v>142</v>
      </c>
      <c r="AK244" s="24">
        <v>3800</v>
      </c>
      <c r="AL244" s="7" t="s">
        <v>143</v>
      </c>
      <c r="AM244" s="7">
        <v>35</v>
      </c>
      <c r="AN244" s="7" t="s">
        <v>144</v>
      </c>
      <c r="AO244" s="7">
        <v>50</v>
      </c>
      <c r="AP244" s="7" t="s">
        <v>145</v>
      </c>
      <c r="AQ244" s="7">
        <v>33</v>
      </c>
      <c r="AR244" s="7" t="s">
        <v>146</v>
      </c>
      <c r="AS244" s="7">
        <v>48</v>
      </c>
      <c r="AT244" s="7" t="s">
        <v>147</v>
      </c>
      <c r="AU244" s="7">
        <v>70</v>
      </c>
      <c r="AV244" s="7" t="s">
        <v>148</v>
      </c>
      <c r="AW244" s="7">
        <v>95</v>
      </c>
      <c r="AX244" s="7" t="s">
        <v>149</v>
      </c>
      <c r="AY244" s="7">
        <v>70</v>
      </c>
      <c r="AZ244" s="7" t="s">
        <v>150</v>
      </c>
      <c r="BA244" s="7">
        <v>95</v>
      </c>
      <c r="BB244" s="7" t="s">
        <v>151</v>
      </c>
      <c r="BC244" s="7">
        <v>0</v>
      </c>
      <c r="BD244" s="7" t="s">
        <v>152</v>
      </c>
      <c r="BE244" s="7">
        <v>0</v>
      </c>
      <c r="BF244" s="7" t="s">
        <v>153</v>
      </c>
      <c r="BG244" s="7">
        <v>100</v>
      </c>
      <c r="BH244" s="7" t="s">
        <v>154</v>
      </c>
      <c r="BI244" s="7">
        <v>10</v>
      </c>
      <c r="BJ244" s="7" t="s">
        <v>155</v>
      </c>
      <c r="BK244" s="7">
        <v>300</v>
      </c>
      <c r="BL244" s="20"/>
      <c r="BM244" s="20"/>
      <c r="BN244" s="20">
        <v>1</v>
      </c>
      <c r="BO244" s="20">
        <v>2500</v>
      </c>
      <c r="BP244" s="20">
        <v>2</v>
      </c>
      <c r="BQ244" s="20">
        <v>2500</v>
      </c>
      <c r="BR244" s="20" t="s">
        <v>156</v>
      </c>
    </row>
    <row r="245" s="7" customFormat="1" ht="16.5" spans="1:70">
      <c r="A245" s="7">
        <f>60000000+INDEX(编号表!$B:$B,MATCH(I245,编号表!$A:$A,0))*10000+INDEX(编号表!$B:$B,MATCH(J245,编号表!$C:$C,0))*1000+K245</f>
        <v>60301002</v>
      </c>
      <c r="B245" s="7" t="s">
        <v>707</v>
      </c>
      <c r="C245" s="7" t="s">
        <v>694</v>
      </c>
      <c r="D245" s="7" t="s">
        <v>708</v>
      </c>
      <c r="E245" s="7">
        <v>48</v>
      </c>
      <c r="F245" s="7" t="str" cm="1">
        <f t="array" ref="F245">INDEX(编号表!$E:$E,MATCH(J245,编号表!$C:$C,0))</f>
        <v>白色</v>
      </c>
      <c r="G245" s="7">
        <v>34</v>
      </c>
      <c r="H245" s="7" t="s">
        <v>704</v>
      </c>
      <c r="I245" s="7" t="s">
        <v>704</v>
      </c>
      <c r="J245" s="7" t="s">
        <v>137</v>
      </c>
      <c r="K245" s="7">
        <v>2</v>
      </c>
      <c r="L245" s="7">
        <f>COUNTIFS(I$11:I245,I245,J$11:J245,J245)-1</f>
        <v>2</v>
      </c>
      <c r="O245" s="7">
        <v>10</v>
      </c>
      <c r="P245" s="7">
        <v>150000</v>
      </c>
      <c r="Q245" s="7" t="s">
        <v>138</v>
      </c>
      <c r="R245" s="21">
        <v>40140007</v>
      </c>
      <c r="S245" s="7"/>
      <c r="T245" s="7"/>
      <c r="U245" s="7">
        <v>11010001</v>
      </c>
      <c r="V245" s="7">
        <v>11020001</v>
      </c>
      <c r="X245" s="7" t="s">
        <v>139</v>
      </c>
      <c r="Y245" s="7" t="s">
        <v>695</v>
      </c>
      <c r="Z245" s="7">
        <v>1.2</v>
      </c>
      <c r="AA245" s="7">
        <v>80</v>
      </c>
      <c r="AB245" s="7">
        <v>80</v>
      </c>
      <c r="AC245" s="7">
        <v>20</v>
      </c>
      <c r="AD245" s="7">
        <v>30</v>
      </c>
      <c r="AE245" s="7" t="s">
        <v>141</v>
      </c>
      <c r="AF245" s="7"/>
      <c r="AG245" s="22"/>
      <c r="AI245" s="23">
        <v>440</v>
      </c>
      <c r="AJ245" s="7" t="s">
        <v>142</v>
      </c>
      <c r="AK245" s="24">
        <v>3300</v>
      </c>
      <c r="AL245" s="7" t="s">
        <v>143</v>
      </c>
      <c r="AM245" s="7">
        <v>30</v>
      </c>
      <c r="AN245" s="7" t="s">
        <v>144</v>
      </c>
      <c r="AO245" s="7">
        <v>44</v>
      </c>
      <c r="AP245" s="7" t="s">
        <v>145</v>
      </c>
      <c r="AQ245" s="7">
        <v>28</v>
      </c>
      <c r="AR245" s="7" t="s">
        <v>146</v>
      </c>
      <c r="AS245" s="7">
        <v>41</v>
      </c>
      <c r="AT245" s="7" t="s">
        <v>147</v>
      </c>
      <c r="AU245" s="7">
        <v>65</v>
      </c>
      <c r="AV245" s="7" t="s">
        <v>148</v>
      </c>
      <c r="AW245" s="7">
        <v>90</v>
      </c>
      <c r="AX245" s="7" t="s">
        <v>149</v>
      </c>
      <c r="AY245" s="7">
        <v>65</v>
      </c>
      <c r="AZ245" s="7" t="s">
        <v>150</v>
      </c>
      <c r="BA245" s="7">
        <v>90</v>
      </c>
      <c r="BB245" s="7" t="s">
        <v>151</v>
      </c>
      <c r="BC245" s="7">
        <v>0</v>
      </c>
      <c r="BD245" s="7" t="s">
        <v>152</v>
      </c>
      <c r="BE245" s="7">
        <v>0</v>
      </c>
      <c r="BF245" s="7" t="s">
        <v>153</v>
      </c>
      <c r="BG245" s="7">
        <v>100</v>
      </c>
      <c r="BH245" s="7" t="s">
        <v>154</v>
      </c>
      <c r="BI245" s="7">
        <v>10</v>
      </c>
      <c r="BJ245" s="7" t="s">
        <v>155</v>
      </c>
      <c r="BK245" s="7">
        <v>300</v>
      </c>
      <c r="BL245" s="20"/>
      <c r="BM245" s="20"/>
      <c r="BN245" s="20">
        <v>1</v>
      </c>
      <c r="BO245" s="20">
        <v>2500</v>
      </c>
      <c r="BP245" s="20">
        <v>2</v>
      </c>
      <c r="BQ245" s="20">
        <v>2500</v>
      </c>
      <c r="BR245" s="20" t="s">
        <v>156</v>
      </c>
    </row>
    <row r="246" s="7" customFormat="1" ht="16.5" spans="1:70">
      <c r="A246" s="7">
        <f>60000000+INDEX(编号表!$B:$B,MATCH(I246,编号表!$A:$A,0))*10000+INDEX(编号表!$B:$B,MATCH(J246,编号表!$C:$C,0))*1000+K246</f>
        <v>60301003</v>
      </c>
      <c r="B246" s="7" t="s">
        <v>709</v>
      </c>
      <c r="C246" s="7" t="s">
        <v>697</v>
      </c>
      <c r="D246" s="7" t="s">
        <v>710</v>
      </c>
      <c r="E246" s="7">
        <v>48</v>
      </c>
      <c r="F246" s="7" t="str" cm="1">
        <f t="array" ref="F246">INDEX(编号表!$E:$E,MATCH(J246,编号表!$C:$C,0))</f>
        <v>白色</v>
      </c>
      <c r="G246" s="7">
        <v>34</v>
      </c>
      <c r="H246" s="7" t="s">
        <v>704</v>
      </c>
      <c r="I246" s="7" t="s">
        <v>704</v>
      </c>
      <c r="J246" s="7" t="s">
        <v>137</v>
      </c>
      <c r="K246" s="7">
        <v>3</v>
      </c>
      <c r="L246" s="7">
        <f>COUNTIFS(I$11:I246,I246,J$11:J246,J246)-1</f>
        <v>3</v>
      </c>
      <c r="O246" s="7">
        <v>10</v>
      </c>
      <c r="P246" s="7">
        <v>300000</v>
      </c>
      <c r="Q246" s="7" t="s">
        <v>138</v>
      </c>
      <c r="R246" s="21">
        <v>40140007</v>
      </c>
      <c r="S246" s="7"/>
      <c r="T246" s="7"/>
      <c r="U246" s="7">
        <v>11010001</v>
      </c>
      <c r="V246" s="7">
        <v>11020001</v>
      </c>
      <c r="X246" s="7" t="s">
        <v>139</v>
      </c>
      <c r="Y246" s="7" t="s">
        <v>698</v>
      </c>
      <c r="Z246" s="7">
        <v>1.2</v>
      </c>
      <c r="AA246" s="7">
        <v>80</v>
      </c>
      <c r="AB246" s="7">
        <v>80</v>
      </c>
      <c r="AC246" s="7">
        <v>20</v>
      </c>
      <c r="AD246" s="7">
        <v>30</v>
      </c>
      <c r="AE246" s="7" t="s">
        <v>141</v>
      </c>
      <c r="AF246" s="7"/>
      <c r="AG246" s="22"/>
      <c r="AI246" s="23">
        <v>440</v>
      </c>
      <c r="AJ246" s="7" t="s">
        <v>142</v>
      </c>
      <c r="AK246" s="24">
        <v>3800</v>
      </c>
      <c r="AL246" s="7" t="s">
        <v>143</v>
      </c>
      <c r="AM246" s="7">
        <v>35</v>
      </c>
      <c r="AN246" s="7" t="s">
        <v>144</v>
      </c>
      <c r="AO246" s="7">
        <v>50</v>
      </c>
      <c r="AP246" s="7" t="s">
        <v>145</v>
      </c>
      <c r="AQ246" s="7">
        <v>33</v>
      </c>
      <c r="AR246" s="7" t="s">
        <v>146</v>
      </c>
      <c r="AS246" s="7">
        <v>48</v>
      </c>
      <c r="AT246" s="7" t="s">
        <v>147</v>
      </c>
      <c r="AU246" s="7">
        <v>70</v>
      </c>
      <c r="AV246" s="7" t="s">
        <v>148</v>
      </c>
      <c r="AW246" s="7">
        <v>95</v>
      </c>
      <c r="AX246" s="7" t="s">
        <v>149</v>
      </c>
      <c r="AY246" s="7">
        <v>70</v>
      </c>
      <c r="AZ246" s="7" t="s">
        <v>150</v>
      </c>
      <c r="BA246" s="7">
        <v>95</v>
      </c>
      <c r="BB246" s="7" t="s">
        <v>151</v>
      </c>
      <c r="BC246" s="7">
        <v>1</v>
      </c>
      <c r="BD246" s="7" t="s">
        <v>152</v>
      </c>
      <c r="BE246" s="7">
        <v>2</v>
      </c>
      <c r="BF246" s="7" t="s">
        <v>153</v>
      </c>
      <c r="BG246" s="7">
        <v>100</v>
      </c>
      <c r="BH246" s="7" t="s">
        <v>154</v>
      </c>
      <c r="BI246" s="7">
        <v>10</v>
      </c>
      <c r="BJ246" s="7" t="s">
        <v>155</v>
      </c>
      <c r="BK246" s="7">
        <v>300</v>
      </c>
      <c r="BL246" s="20"/>
      <c r="BM246" s="20"/>
      <c r="BN246" s="20">
        <v>1</v>
      </c>
      <c r="BO246" s="20">
        <v>2500</v>
      </c>
      <c r="BP246" s="20">
        <v>2</v>
      </c>
      <c r="BQ246" s="20">
        <v>2500</v>
      </c>
      <c r="BR246" s="20" t="s">
        <v>156</v>
      </c>
    </row>
    <row r="247" s="7" customFormat="1" ht="16.5" spans="1:70">
      <c r="A247" s="7">
        <f>60000000+INDEX(编号表!$B:$B,MATCH(I247,编号表!$A:$A,0))*10000+INDEX(编号表!$B:$B,MATCH(J247,编号表!$C:$C,0))*1000+K247</f>
        <v>60302000</v>
      </c>
      <c r="B247" s="7" t="s">
        <v>711</v>
      </c>
      <c r="C247" s="7" t="s">
        <v>691</v>
      </c>
      <c r="D247" s="7" t="s">
        <v>712</v>
      </c>
      <c r="E247" s="7">
        <v>49</v>
      </c>
      <c r="F247" s="7" t="str" cm="1">
        <f t="array" ref="F247">INDEX(编号表!$E:$E,MATCH(J247,编号表!$C:$C,0))</f>
        <v>绿色</v>
      </c>
      <c r="G247" s="7">
        <v>34</v>
      </c>
      <c r="H247" s="7" t="s">
        <v>704</v>
      </c>
      <c r="I247" s="7" t="s">
        <v>704</v>
      </c>
      <c r="J247" s="7" t="s">
        <v>221</v>
      </c>
      <c r="K247" s="7">
        <v>0</v>
      </c>
      <c r="L247" s="7">
        <f>COUNTIFS(I$11:I247,I247,J$11:J247,J247)-1</f>
        <v>0</v>
      </c>
      <c r="O247" s="7">
        <v>10</v>
      </c>
      <c r="P247" s="7">
        <v>150000</v>
      </c>
      <c r="Q247" s="7" t="s">
        <v>138</v>
      </c>
      <c r="R247" s="21">
        <v>40140007</v>
      </c>
      <c r="S247" s="7"/>
      <c r="T247" s="7"/>
      <c r="U247" s="7">
        <v>11010001</v>
      </c>
      <c r="V247" s="7">
        <v>11020001</v>
      </c>
      <c r="X247" s="7" t="s">
        <v>139</v>
      </c>
      <c r="Y247" s="7" t="s">
        <v>692</v>
      </c>
      <c r="Z247" s="7">
        <v>1.2</v>
      </c>
      <c r="AA247" s="7">
        <v>80</v>
      </c>
      <c r="AB247" s="7">
        <v>80</v>
      </c>
      <c r="AC247" s="7">
        <v>20</v>
      </c>
      <c r="AD247" s="7">
        <v>30</v>
      </c>
      <c r="AE247" s="7" t="s">
        <v>141</v>
      </c>
      <c r="AF247" s="7"/>
      <c r="AG247" s="22" t="s">
        <v>222</v>
      </c>
      <c r="AI247" s="23">
        <v>1840</v>
      </c>
      <c r="AJ247" s="7" t="s">
        <v>142</v>
      </c>
      <c r="AK247" s="24">
        <v>23000</v>
      </c>
      <c r="AL247" s="7" t="s">
        <v>143</v>
      </c>
      <c r="AM247" s="7">
        <v>55</v>
      </c>
      <c r="AN247" s="7" t="s">
        <v>144</v>
      </c>
      <c r="AO247" s="7">
        <v>80</v>
      </c>
      <c r="AP247" s="7" t="s">
        <v>145</v>
      </c>
      <c r="AQ247" s="7">
        <v>55</v>
      </c>
      <c r="AR247" s="7" t="s">
        <v>146</v>
      </c>
      <c r="AS247" s="7">
        <v>75</v>
      </c>
      <c r="AT247" s="7" t="s">
        <v>147</v>
      </c>
      <c r="AU247" s="7">
        <v>150</v>
      </c>
      <c r="AV247" s="7" t="s">
        <v>148</v>
      </c>
      <c r="AW247" s="7">
        <v>200</v>
      </c>
      <c r="AX247" s="7" t="s">
        <v>149</v>
      </c>
      <c r="AY247" s="7">
        <v>150</v>
      </c>
      <c r="AZ247" s="7" t="s">
        <v>150</v>
      </c>
      <c r="BA247" s="7">
        <v>200</v>
      </c>
      <c r="BB247" s="7" t="s">
        <v>151</v>
      </c>
      <c r="BC247" s="7">
        <v>0</v>
      </c>
      <c r="BD247" s="7" t="s">
        <v>152</v>
      </c>
      <c r="BE247" s="7">
        <v>0</v>
      </c>
      <c r="BF247" s="7" t="s">
        <v>153</v>
      </c>
      <c r="BG247" s="7">
        <v>100</v>
      </c>
      <c r="BH247" s="7" t="s">
        <v>154</v>
      </c>
      <c r="BI247" s="7">
        <v>10</v>
      </c>
      <c r="BJ247" s="7" t="s">
        <v>155</v>
      </c>
      <c r="BK247" s="7">
        <v>300</v>
      </c>
      <c r="BL247" s="20"/>
      <c r="BM247" s="20"/>
      <c r="BN247" s="20">
        <v>1</v>
      </c>
      <c r="BO247" s="20">
        <v>2500</v>
      </c>
      <c r="BP247" s="20">
        <v>2</v>
      </c>
      <c r="BQ247" s="20">
        <v>2500</v>
      </c>
      <c r="BR247" s="20" t="s">
        <v>156</v>
      </c>
    </row>
    <row r="248" s="7" customFormat="1" ht="16.5" spans="1:70">
      <c r="A248" s="7">
        <f>60000000+INDEX(编号表!$B:$B,MATCH(I248,编号表!$A:$A,0))*10000+INDEX(编号表!$B:$B,MATCH(J248,编号表!$C:$C,0))*1000+K248</f>
        <v>60304000</v>
      </c>
      <c r="B248" s="7" t="s">
        <v>713</v>
      </c>
      <c r="C248" s="7" t="s">
        <v>714</v>
      </c>
      <c r="D248" s="7" t="s">
        <v>714</v>
      </c>
      <c r="E248" s="7">
        <v>50</v>
      </c>
      <c r="F248" s="7" t="str" cm="1">
        <f t="array" ref="F248">INDEX(编号表!$E:$E,MATCH(J248,编号表!$C:$C,0))</f>
        <v>橙色</v>
      </c>
      <c r="G248" s="7">
        <v>34</v>
      </c>
      <c r="H248" s="7" t="s">
        <v>704</v>
      </c>
      <c r="I248" s="7" t="s">
        <v>704</v>
      </c>
      <c r="J248" s="7" t="s">
        <v>233</v>
      </c>
      <c r="K248" s="7">
        <v>0</v>
      </c>
      <c r="L248" s="7">
        <f>COUNTIFS(I$11:I248,I248,J$11:J248,J248)-1</f>
        <v>0</v>
      </c>
      <c r="O248" s="7">
        <v>10</v>
      </c>
      <c r="P248" s="7">
        <v>300000</v>
      </c>
      <c r="Q248" s="7" t="s">
        <v>138</v>
      </c>
      <c r="R248" s="21">
        <v>40140007</v>
      </c>
      <c r="S248" s="7"/>
      <c r="T248" s="7"/>
      <c r="U248" s="7">
        <v>11010001</v>
      </c>
      <c r="V248" s="7">
        <v>11020001</v>
      </c>
      <c r="X248" s="7" t="s">
        <v>139</v>
      </c>
      <c r="Y248" s="7" t="s">
        <v>715</v>
      </c>
      <c r="Z248" s="7">
        <v>1.5</v>
      </c>
      <c r="AA248" s="7">
        <v>100</v>
      </c>
      <c r="AB248" s="7">
        <v>100</v>
      </c>
      <c r="AC248" s="7">
        <v>20</v>
      </c>
      <c r="AD248" s="7">
        <v>30</v>
      </c>
      <c r="AE248" s="7" t="s">
        <v>141</v>
      </c>
      <c r="AF248" s="7"/>
      <c r="AG248" s="22" t="s">
        <v>234</v>
      </c>
      <c r="AI248" s="23">
        <v>9550</v>
      </c>
      <c r="AJ248" s="7" t="s">
        <v>142</v>
      </c>
      <c r="AK248" s="24">
        <v>224000</v>
      </c>
      <c r="AL248" s="7" t="s">
        <v>143</v>
      </c>
      <c r="AM248" s="7">
        <v>85</v>
      </c>
      <c r="AN248" s="7" t="s">
        <v>144</v>
      </c>
      <c r="AO248" s="7">
        <v>125</v>
      </c>
      <c r="AP248" s="7" t="s">
        <v>145</v>
      </c>
      <c r="AQ248" s="7">
        <v>80</v>
      </c>
      <c r="AR248" s="7" t="s">
        <v>146</v>
      </c>
      <c r="AS248" s="7">
        <v>115</v>
      </c>
      <c r="AT248" s="7" t="s">
        <v>147</v>
      </c>
      <c r="AU248" s="7">
        <v>310</v>
      </c>
      <c r="AV248" s="7" t="s">
        <v>148</v>
      </c>
      <c r="AW248" s="7">
        <v>420</v>
      </c>
      <c r="AX248" s="7" t="s">
        <v>149</v>
      </c>
      <c r="AY248" s="7">
        <v>310</v>
      </c>
      <c r="AZ248" s="7" t="s">
        <v>150</v>
      </c>
      <c r="BA248" s="7">
        <v>420</v>
      </c>
      <c r="BB248" s="7" t="s">
        <v>151</v>
      </c>
      <c r="BC248" s="7">
        <v>1</v>
      </c>
      <c r="BD248" s="7" t="s">
        <v>152</v>
      </c>
      <c r="BE248" s="7">
        <v>2</v>
      </c>
      <c r="BF248" s="7" t="s">
        <v>153</v>
      </c>
      <c r="BG248" s="7">
        <v>100</v>
      </c>
      <c r="BH248" s="7" t="s">
        <v>154</v>
      </c>
      <c r="BI248" s="7">
        <v>10</v>
      </c>
      <c r="BJ248" s="7" t="s">
        <v>155</v>
      </c>
      <c r="BK248" s="7">
        <v>300</v>
      </c>
      <c r="BL248" s="20"/>
      <c r="BM248" s="20"/>
      <c r="BN248" s="20">
        <v>1</v>
      </c>
      <c r="BO248" s="20">
        <v>2500</v>
      </c>
      <c r="BP248" s="20">
        <v>2</v>
      </c>
      <c r="BQ248" s="20">
        <v>2500</v>
      </c>
      <c r="BR248" s="20" t="s">
        <v>156</v>
      </c>
    </row>
    <row r="249" s="7" customFormat="1" ht="16.5" spans="1:70">
      <c r="A249" s="7">
        <f>60000000+INDEX(编号表!$B:$B,MATCH(I249,编号表!$A:$A,0))*10000+INDEX(编号表!$B:$B,MATCH(J249,编号表!$C:$C,0))*1000+K249</f>
        <v>60311000</v>
      </c>
      <c r="B249" s="7" t="s">
        <v>716</v>
      </c>
      <c r="C249" s="7" t="s">
        <v>717</v>
      </c>
      <c r="D249" s="7" t="s">
        <v>717</v>
      </c>
      <c r="E249" s="7">
        <v>50</v>
      </c>
      <c r="F249" s="7" t="str" cm="1">
        <f t="array" ref="F249">INDEX(编号表!$E:$E,MATCH(J249,编号表!$C:$C,0))</f>
        <v>白色</v>
      </c>
      <c r="G249" s="7">
        <v>35</v>
      </c>
      <c r="H249" s="7" t="s">
        <v>718</v>
      </c>
      <c r="I249" s="7" t="s">
        <v>718</v>
      </c>
      <c r="J249" s="7" t="s">
        <v>137</v>
      </c>
      <c r="K249" s="7">
        <v>0</v>
      </c>
      <c r="L249" s="7">
        <f>COUNTIFS(I$11:I249,I249,J$11:J249,J249)-1</f>
        <v>0</v>
      </c>
      <c r="O249" s="7">
        <v>10</v>
      </c>
      <c r="P249" s="7">
        <v>300000</v>
      </c>
      <c r="Q249" s="7" t="s">
        <v>138</v>
      </c>
      <c r="R249" s="21">
        <v>40140007</v>
      </c>
      <c r="S249" s="7"/>
      <c r="T249" s="7"/>
      <c r="U249" s="7">
        <v>11010001</v>
      </c>
      <c r="V249" s="7">
        <v>11020001</v>
      </c>
      <c r="X249" s="7" t="s">
        <v>139</v>
      </c>
      <c r="Y249" s="7" t="s">
        <v>719</v>
      </c>
      <c r="Z249" s="7"/>
      <c r="AA249" s="7">
        <v>80</v>
      </c>
      <c r="AB249" s="7">
        <v>80</v>
      </c>
      <c r="AC249" s="7">
        <v>20</v>
      </c>
      <c r="AD249" s="7">
        <v>30</v>
      </c>
      <c r="AE249" s="7" t="s">
        <v>141</v>
      </c>
      <c r="AF249" s="7"/>
      <c r="AG249" s="22"/>
      <c r="AI249" s="23">
        <v>480</v>
      </c>
      <c r="AJ249" s="7" t="s">
        <v>142</v>
      </c>
      <c r="AK249" s="24">
        <v>4100</v>
      </c>
      <c r="AL249" s="7" t="s">
        <v>143</v>
      </c>
      <c r="AM249" s="7">
        <v>37</v>
      </c>
      <c r="AN249" s="7" t="s">
        <v>144</v>
      </c>
      <c r="AO249" s="7">
        <v>55</v>
      </c>
      <c r="AP249" s="7" t="s">
        <v>145</v>
      </c>
      <c r="AQ249" s="7">
        <v>34</v>
      </c>
      <c r="AR249" s="7" t="s">
        <v>146</v>
      </c>
      <c r="AS249" s="7">
        <v>50</v>
      </c>
      <c r="AT249" s="7" t="s">
        <v>147</v>
      </c>
      <c r="AU249" s="7">
        <v>75</v>
      </c>
      <c r="AV249" s="7" t="s">
        <v>148</v>
      </c>
      <c r="AW249" s="7">
        <v>100</v>
      </c>
      <c r="AX249" s="7" t="s">
        <v>149</v>
      </c>
      <c r="AY249" s="7">
        <v>75</v>
      </c>
      <c r="AZ249" s="7" t="s">
        <v>150</v>
      </c>
      <c r="BA249" s="7">
        <v>100</v>
      </c>
      <c r="BB249" s="7" t="s">
        <v>151</v>
      </c>
      <c r="BC249" s="7">
        <v>1</v>
      </c>
      <c r="BD249" s="7" t="s">
        <v>152</v>
      </c>
      <c r="BE249" s="7">
        <v>2</v>
      </c>
      <c r="BF249" s="7" t="s">
        <v>153</v>
      </c>
      <c r="BG249" s="7">
        <v>100</v>
      </c>
      <c r="BH249" s="7" t="s">
        <v>154</v>
      </c>
      <c r="BI249" s="7">
        <v>10</v>
      </c>
      <c r="BJ249" s="7" t="s">
        <v>155</v>
      </c>
      <c r="BK249" s="7">
        <v>300</v>
      </c>
      <c r="BL249" s="20"/>
      <c r="BM249" s="20"/>
      <c r="BN249" s="20">
        <v>1</v>
      </c>
      <c r="BO249" s="20">
        <v>2500</v>
      </c>
      <c r="BP249" s="20">
        <v>2</v>
      </c>
      <c r="BQ249" s="20">
        <v>2500</v>
      </c>
      <c r="BR249" s="20" t="s">
        <v>156</v>
      </c>
    </row>
    <row r="250" s="7" customFormat="1" ht="16.5" spans="1:70">
      <c r="A250" s="7">
        <f>60000000+INDEX(编号表!$B:$B,MATCH(I250,编号表!$A:$A,0))*10000+INDEX(编号表!$B:$B,MATCH(J250,编号表!$C:$C,0))*1000+K250</f>
        <v>60311001</v>
      </c>
      <c r="B250" s="7" t="s">
        <v>720</v>
      </c>
      <c r="C250" s="7" t="s">
        <v>721</v>
      </c>
      <c r="D250" s="7" t="s">
        <v>721</v>
      </c>
      <c r="E250" s="7">
        <v>50</v>
      </c>
      <c r="F250" s="7" t="str" cm="1">
        <f t="array" ref="F250">INDEX(编号表!$E:$E,MATCH(J250,编号表!$C:$C,0))</f>
        <v>白色</v>
      </c>
      <c r="G250" s="7">
        <v>35</v>
      </c>
      <c r="H250" s="7" t="s">
        <v>718</v>
      </c>
      <c r="I250" s="7" t="s">
        <v>718</v>
      </c>
      <c r="J250" s="7" t="s">
        <v>137</v>
      </c>
      <c r="K250" s="7">
        <v>1</v>
      </c>
      <c r="L250" s="7">
        <f>COUNTIFS(I$11:I250,I250,J$11:J250,J250)-1</f>
        <v>1</v>
      </c>
      <c r="O250" s="7">
        <v>10</v>
      </c>
      <c r="P250" s="7">
        <v>300000</v>
      </c>
      <c r="Q250" s="7" t="s">
        <v>138</v>
      </c>
      <c r="R250" s="21">
        <v>40140007</v>
      </c>
      <c r="S250" s="7"/>
      <c r="T250" s="7"/>
      <c r="U250" s="7">
        <v>11010001</v>
      </c>
      <c r="V250" s="7">
        <v>11020001</v>
      </c>
      <c r="X250" s="7" t="s">
        <v>139</v>
      </c>
      <c r="Y250" s="7" t="s">
        <v>722</v>
      </c>
      <c r="Z250" s="7"/>
      <c r="AA250" s="7">
        <v>80</v>
      </c>
      <c r="AB250" s="7">
        <v>80</v>
      </c>
      <c r="AC250" s="7">
        <v>20</v>
      </c>
      <c r="AD250" s="7">
        <v>30</v>
      </c>
      <c r="AE250" s="7" t="s">
        <v>141</v>
      </c>
      <c r="AF250" s="7"/>
      <c r="AG250" s="22"/>
      <c r="AI250" s="23">
        <v>480</v>
      </c>
      <c r="AJ250" s="7" t="s">
        <v>142</v>
      </c>
      <c r="AK250" s="24">
        <v>3550</v>
      </c>
      <c r="AL250" s="7" t="s">
        <v>143</v>
      </c>
      <c r="AM250" s="7">
        <v>32</v>
      </c>
      <c r="AN250" s="7" t="s">
        <v>144</v>
      </c>
      <c r="AO250" s="7">
        <v>46</v>
      </c>
      <c r="AP250" s="7" t="s">
        <v>145</v>
      </c>
      <c r="AQ250" s="7">
        <v>30</v>
      </c>
      <c r="AR250" s="7" t="s">
        <v>146</v>
      </c>
      <c r="AS250" s="7">
        <v>44</v>
      </c>
      <c r="AT250" s="7" t="s">
        <v>147</v>
      </c>
      <c r="AU250" s="7">
        <v>70</v>
      </c>
      <c r="AV250" s="7" t="s">
        <v>148</v>
      </c>
      <c r="AW250" s="7">
        <v>95</v>
      </c>
      <c r="AX250" s="7" t="s">
        <v>149</v>
      </c>
      <c r="AY250" s="7">
        <v>70</v>
      </c>
      <c r="AZ250" s="7" t="s">
        <v>150</v>
      </c>
      <c r="BA250" s="7">
        <v>95</v>
      </c>
      <c r="BB250" s="7" t="s">
        <v>151</v>
      </c>
      <c r="BC250" s="7">
        <v>1</v>
      </c>
      <c r="BD250" s="7" t="s">
        <v>152</v>
      </c>
      <c r="BE250" s="7">
        <v>2</v>
      </c>
      <c r="BF250" s="7" t="s">
        <v>153</v>
      </c>
      <c r="BG250" s="7">
        <v>100</v>
      </c>
      <c r="BH250" s="7" t="s">
        <v>154</v>
      </c>
      <c r="BI250" s="7">
        <v>10</v>
      </c>
      <c r="BJ250" s="7" t="s">
        <v>155</v>
      </c>
      <c r="BK250" s="7">
        <v>300</v>
      </c>
      <c r="BL250" s="20"/>
      <c r="BM250" s="20"/>
      <c r="BN250" s="20">
        <v>1</v>
      </c>
      <c r="BO250" s="20">
        <v>2500</v>
      </c>
      <c r="BP250" s="20">
        <v>2</v>
      </c>
      <c r="BQ250" s="20">
        <v>2500</v>
      </c>
      <c r="BR250" s="20" t="s">
        <v>156</v>
      </c>
    </row>
    <row r="251" s="7" customFormat="1" ht="16.5" spans="1:70">
      <c r="A251" s="7">
        <f>60000000+INDEX(编号表!$B:$B,MATCH(I251,编号表!$A:$A,0))*10000+INDEX(编号表!$B:$B,MATCH(J251,编号表!$C:$C,0))*1000+K251</f>
        <v>60311002</v>
      </c>
      <c r="B251" s="7" t="s">
        <v>723</v>
      </c>
      <c r="C251" s="7" t="s">
        <v>724</v>
      </c>
      <c r="D251" s="7" t="s">
        <v>724</v>
      </c>
      <c r="E251" s="7">
        <v>50</v>
      </c>
      <c r="F251" s="7" t="str" cm="1">
        <f t="array" ref="F251">INDEX(编号表!$E:$E,MATCH(J251,编号表!$C:$C,0))</f>
        <v>白色</v>
      </c>
      <c r="G251" s="7">
        <v>35</v>
      </c>
      <c r="H251" s="7" t="s">
        <v>718</v>
      </c>
      <c r="I251" s="7" t="s">
        <v>718</v>
      </c>
      <c r="J251" s="7" t="s">
        <v>137</v>
      </c>
      <c r="K251" s="7">
        <v>2</v>
      </c>
      <c r="L251" s="7">
        <f>COUNTIFS(I$11:I251,I251,J$11:J251,J251)-1</f>
        <v>2</v>
      </c>
      <c r="O251" s="7">
        <v>10</v>
      </c>
      <c r="P251" s="7">
        <v>300000</v>
      </c>
      <c r="Q251" s="7" t="s">
        <v>138</v>
      </c>
      <c r="R251" s="21">
        <v>40140007</v>
      </c>
      <c r="S251" s="7"/>
      <c r="T251" s="7"/>
      <c r="U251" s="7">
        <v>11010001</v>
      </c>
      <c r="V251" s="7">
        <v>11020001</v>
      </c>
      <c r="X251" s="7" t="s">
        <v>139</v>
      </c>
      <c r="Y251" s="7" t="s">
        <v>725</v>
      </c>
      <c r="Z251" s="7"/>
      <c r="AA251" s="7">
        <v>80</v>
      </c>
      <c r="AB251" s="7">
        <v>80</v>
      </c>
      <c r="AC251" s="7">
        <v>20</v>
      </c>
      <c r="AD251" s="7">
        <v>30</v>
      </c>
      <c r="AE251" s="7" t="s">
        <v>141</v>
      </c>
      <c r="AF251" s="7"/>
      <c r="AG251" s="22"/>
      <c r="AI251" s="23">
        <v>480</v>
      </c>
      <c r="AJ251" s="7" t="s">
        <v>142</v>
      </c>
      <c r="AK251" s="24">
        <v>4100</v>
      </c>
      <c r="AL251" s="7" t="s">
        <v>143</v>
      </c>
      <c r="AM251" s="7">
        <v>37</v>
      </c>
      <c r="AN251" s="7" t="s">
        <v>144</v>
      </c>
      <c r="AO251" s="7">
        <v>55</v>
      </c>
      <c r="AP251" s="7" t="s">
        <v>145</v>
      </c>
      <c r="AQ251" s="7">
        <v>34</v>
      </c>
      <c r="AR251" s="7" t="s">
        <v>146</v>
      </c>
      <c r="AS251" s="7">
        <v>50</v>
      </c>
      <c r="AT251" s="7" t="s">
        <v>147</v>
      </c>
      <c r="AU251" s="7">
        <v>75</v>
      </c>
      <c r="AV251" s="7" t="s">
        <v>148</v>
      </c>
      <c r="AW251" s="7">
        <v>100</v>
      </c>
      <c r="AX251" s="7" t="s">
        <v>149</v>
      </c>
      <c r="AY251" s="7">
        <v>75</v>
      </c>
      <c r="AZ251" s="7" t="s">
        <v>150</v>
      </c>
      <c r="BA251" s="7">
        <v>100</v>
      </c>
      <c r="BB251" s="7" t="s">
        <v>151</v>
      </c>
      <c r="BC251" s="7">
        <v>1</v>
      </c>
      <c r="BD251" s="7" t="s">
        <v>152</v>
      </c>
      <c r="BE251" s="7">
        <v>2</v>
      </c>
      <c r="BF251" s="7" t="s">
        <v>153</v>
      </c>
      <c r="BG251" s="7">
        <v>100</v>
      </c>
      <c r="BH251" s="7" t="s">
        <v>154</v>
      </c>
      <c r="BI251" s="7">
        <v>10</v>
      </c>
      <c r="BJ251" s="7" t="s">
        <v>155</v>
      </c>
      <c r="BK251" s="7">
        <v>300</v>
      </c>
      <c r="BL251" s="20"/>
      <c r="BM251" s="20"/>
      <c r="BN251" s="20">
        <v>1</v>
      </c>
      <c r="BO251" s="20">
        <v>2500</v>
      </c>
      <c r="BP251" s="20">
        <v>2</v>
      </c>
      <c r="BQ251" s="20">
        <v>2500</v>
      </c>
      <c r="BR251" s="20" t="s">
        <v>156</v>
      </c>
    </row>
    <row r="252" s="7" customFormat="1" ht="16.5" spans="1:70">
      <c r="A252" s="7">
        <f>60000000+INDEX(编号表!$B:$B,MATCH(I252,编号表!$A:$A,0))*10000+INDEX(编号表!$B:$B,MATCH(J252,编号表!$C:$C,0))*1000+K252</f>
        <v>60311003</v>
      </c>
      <c r="B252" s="7" t="s">
        <v>726</v>
      </c>
      <c r="C252" s="7" t="s">
        <v>727</v>
      </c>
      <c r="D252" s="7" t="s">
        <v>727</v>
      </c>
      <c r="E252" s="7">
        <v>50</v>
      </c>
      <c r="F252" s="7" t="str" cm="1">
        <f t="array" ref="F252">INDEX(编号表!$E:$E,MATCH(J252,编号表!$C:$C,0))</f>
        <v>白色</v>
      </c>
      <c r="G252" s="7">
        <v>35</v>
      </c>
      <c r="H252" s="7" t="s">
        <v>718</v>
      </c>
      <c r="I252" s="7" t="s">
        <v>718</v>
      </c>
      <c r="J252" s="7" t="s">
        <v>137</v>
      </c>
      <c r="K252" s="7">
        <v>3</v>
      </c>
      <c r="L252" s="7">
        <f>COUNTIFS(I$11:I252,I252,J$11:J252,J252)-1</f>
        <v>3</v>
      </c>
      <c r="O252" s="7">
        <v>10</v>
      </c>
      <c r="P252" s="7">
        <v>300000</v>
      </c>
      <c r="Q252" s="7" t="s">
        <v>138</v>
      </c>
      <c r="R252" s="21">
        <v>40140007</v>
      </c>
      <c r="S252" s="7"/>
      <c r="T252" s="7"/>
      <c r="U252" s="7">
        <v>11010001</v>
      </c>
      <c r="V252" s="7">
        <v>11020001</v>
      </c>
      <c r="X252" s="7" t="s">
        <v>139</v>
      </c>
      <c r="Y252" s="7" t="s">
        <v>728</v>
      </c>
      <c r="Z252" s="7"/>
      <c r="AA252" s="7">
        <v>80</v>
      </c>
      <c r="AB252" s="7">
        <v>80</v>
      </c>
      <c r="AC252" s="7">
        <v>20</v>
      </c>
      <c r="AD252" s="7">
        <v>30</v>
      </c>
      <c r="AE252" s="7" t="s">
        <v>206</v>
      </c>
      <c r="AF252" s="7" t="s">
        <v>729</v>
      </c>
      <c r="AG252" s="22"/>
      <c r="AI252" s="23">
        <v>480</v>
      </c>
      <c r="AJ252" s="7" t="s">
        <v>142</v>
      </c>
      <c r="AK252" s="24">
        <v>3250</v>
      </c>
      <c r="AL252" s="7" t="s">
        <v>143</v>
      </c>
      <c r="AM252" s="7">
        <v>29</v>
      </c>
      <c r="AN252" s="7" t="s">
        <v>144</v>
      </c>
      <c r="AO252" s="7">
        <v>41</v>
      </c>
      <c r="AP252" s="7" t="s">
        <v>145</v>
      </c>
      <c r="AQ252" s="7">
        <v>27</v>
      </c>
      <c r="AR252" s="7" t="s">
        <v>146</v>
      </c>
      <c r="AS252" s="7">
        <v>39</v>
      </c>
      <c r="AT252" s="7" t="s">
        <v>147</v>
      </c>
      <c r="AU252" s="7">
        <v>80</v>
      </c>
      <c r="AV252" s="7" t="s">
        <v>148</v>
      </c>
      <c r="AW252" s="7">
        <v>110</v>
      </c>
      <c r="AX252" s="7" t="s">
        <v>149</v>
      </c>
      <c r="AY252" s="7">
        <v>80</v>
      </c>
      <c r="AZ252" s="7" t="s">
        <v>150</v>
      </c>
      <c r="BA252" s="7">
        <v>110</v>
      </c>
      <c r="BB252" s="7" t="s">
        <v>151</v>
      </c>
      <c r="BC252" s="7">
        <v>1</v>
      </c>
      <c r="BD252" s="7" t="s">
        <v>152</v>
      </c>
      <c r="BE252" s="7">
        <v>2</v>
      </c>
      <c r="BF252" s="7" t="s">
        <v>153</v>
      </c>
      <c r="BG252" s="7">
        <v>100</v>
      </c>
      <c r="BH252" s="7" t="s">
        <v>154</v>
      </c>
      <c r="BI252" s="7">
        <v>300</v>
      </c>
      <c r="BJ252" s="7" t="s">
        <v>155</v>
      </c>
      <c r="BK252" s="7">
        <v>300</v>
      </c>
      <c r="BL252" s="20"/>
      <c r="BM252" s="20"/>
      <c r="BN252" s="20">
        <v>1</v>
      </c>
      <c r="BO252" s="20">
        <v>2500</v>
      </c>
      <c r="BP252" s="20">
        <v>2</v>
      </c>
      <c r="BQ252" s="20">
        <v>2500</v>
      </c>
      <c r="BR252" s="20" t="s">
        <v>156</v>
      </c>
    </row>
    <row r="253" s="7" customFormat="1" ht="16.5" spans="1:70">
      <c r="A253" s="7">
        <f>60000000+INDEX(编号表!$B:$B,MATCH(I253,编号表!$A:$A,0))*10000+INDEX(编号表!$B:$B,MATCH(J253,编号表!$C:$C,0))*1000+K253</f>
        <v>60311004</v>
      </c>
      <c r="B253" s="7" t="s">
        <v>730</v>
      </c>
      <c r="C253" s="7" t="s">
        <v>731</v>
      </c>
      <c r="D253" s="7" t="s">
        <v>731</v>
      </c>
      <c r="E253" s="7">
        <v>50</v>
      </c>
      <c r="F253" s="7" t="str" cm="1">
        <f t="array" ref="F253">INDEX(编号表!$E:$E,MATCH(J253,编号表!$C:$C,0))</f>
        <v>白色</v>
      </c>
      <c r="G253" s="7">
        <v>35</v>
      </c>
      <c r="H253" s="7" t="s">
        <v>718</v>
      </c>
      <c r="I253" s="7" t="s">
        <v>718</v>
      </c>
      <c r="J253" s="7" t="s">
        <v>137</v>
      </c>
      <c r="K253" s="7">
        <v>4</v>
      </c>
      <c r="L253" s="7">
        <f>COUNTIFS(I$11:I253,I253,J$11:J253,J253)-1</f>
        <v>4</v>
      </c>
      <c r="O253" s="7">
        <v>10</v>
      </c>
      <c r="P253" s="7">
        <v>300000</v>
      </c>
      <c r="Q253" s="7" t="s">
        <v>138</v>
      </c>
      <c r="R253" s="21">
        <v>40140007</v>
      </c>
      <c r="S253" s="7"/>
      <c r="T253" s="7"/>
      <c r="U253" s="7">
        <v>11010001</v>
      </c>
      <c r="V253" s="7">
        <v>11020001</v>
      </c>
      <c r="X253" s="7" t="s">
        <v>139</v>
      </c>
      <c r="Y253" s="7" t="s">
        <v>732</v>
      </c>
      <c r="Z253" s="7"/>
      <c r="AA253" s="7">
        <v>80</v>
      </c>
      <c r="AB253" s="7">
        <v>80</v>
      </c>
      <c r="AC253" s="7">
        <v>20</v>
      </c>
      <c r="AD253" s="7">
        <v>30</v>
      </c>
      <c r="AE253" s="7" t="s">
        <v>141</v>
      </c>
      <c r="AF253" s="7"/>
      <c r="AG253" s="22"/>
      <c r="AI253" s="23">
        <v>480</v>
      </c>
      <c r="AJ253" s="7" t="s">
        <v>142</v>
      </c>
      <c r="AK253" s="24">
        <v>4100</v>
      </c>
      <c r="AL253" s="7" t="s">
        <v>143</v>
      </c>
      <c r="AM253" s="7">
        <v>37</v>
      </c>
      <c r="AN253" s="7" t="s">
        <v>144</v>
      </c>
      <c r="AO253" s="7">
        <v>55</v>
      </c>
      <c r="AP253" s="7" t="s">
        <v>145</v>
      </c>
      <c r="AQ253" s="7">
        <v>34</v>
      </c>
      <c r="AR253" s="7" t="s">
        <v>146</v>
      </c>
      <c r="AS253" s="7">
        <v>50</v>
      </c>
      <c r="AT253" s="7" t="s">
        <v>147</v>
      </c>
      <c r="AU253" s="7">
        <v>75</v>
      </c>
      <c r="AV253" s="7" t="s">
        <v>148</v>
      </c>
      <c r="AW253" s="7">
        <v>100</v>
      </c>
      <c r="AX253" s="7" t="s">
        <v>149</v>
      </c>
      <c r="AY253" s="7">
        <v>75</v>
      </c>
      <c r="AZ253" s="7" t="s">
        <v>150</v>
      </c>
      <c r="BA253" s="7">
        <v>100</v>
      </c>
      <c r="BB253" s="7" t="s">
        <v>151</v>
      </c>
      <c r="BC253" s="7">
        <v>1</v>
      </c>
      <c r="BD253" s="7" t="s">
        <v>152</v>
      </c>
      <c r="BE253" s="7">
        <v>2</v>
      </c>
      <c r="BF253" s="7" t="s">
        <v>153</v>
      </c>
      <c r="BG253" s="7">
        <v>100</v>
      </c>
      <c r="BH253" s="7" t="s">
        <v>154</v>
      </c>
      <c r="BI253" s="7">
        <v>10</v>
      </c>
      <c r="BJ253" s="7" t="s">
        <v>155</v>
      </c>
      <c r="BK253" s="7">
        <v>300</v>
      </c>
      <c r="BL253" s="20"/>
      <c r="BM253" s="20"/>
      <c r="BN253" s="20">
        <v>1</v>
      </c>
      <c r="BO253" s="20">
        <v>2500</v>
      </c>
      <c r="BP253" s="20">
        <v>2</v>
      </c>
      <c r="BQ253" s="20">
        <v>2500</v>
      </c>
      <c r="BR253" s="20" t="s">
        <v>156</v>
      </c>
    </row>
    <row r="254" s="7" customFormat="1" ht="16.5" spans="1:70">
      <c r="A254" s="7">
        <f>60000000+INDEX(编号表!$B:$B,MATCH(I254,编号表!$A:$A,0))*10000+INDEX(编号表!$B:$B,MATCH(J254,编号表!$C:$C,0))*1000+K254</f>
        <v>60312000</v>
      </c>
      <c r="B254" s="7" t="s">
        <v>733</v>
      </c>
      <c r="C254" s="7" t="s">
        <v>724</v>
      </c>
      <c r="D254" s="7" t="s">
        <v>734</v>
      </c>
      <c r="E254" s="7">
        <v>51</v>
      </c>
      <c r="F254" s="7" t="str" cm="1">
        <f t="array" ref="F254">INDEX(编号表!$E:$E,MATCH(J254,编号表!$C:$C,0))</f>
        <v>绿色</v>
      </c>
      <c r="G254" s="7">
        <v>35</v>
      </c>
      <c r="H254" s="7" t="s">
        <v>718</v>
      </c>
      <c r="I254" s="7" t="s">
        <v>718</v>
      </c>
      <c r="J254" s="7" t="s">
        <v>221</v>
      </c>
      <c r="K254" s="7">
        <v>0</v>
      </c>
      <c r="L254" s="7">
        <f>COUNTIFS(I$11:I254,I254,J$11:J254,J254)-1</f>
        <v>0</v>
      </c>
      <c r="O254" s="7">
        <v>10</v>
      </c>
      <c r="P254" s="7">
        <v>300000</v>
      </c>
      <c r="Q254" s="7" t="s">
        <v>138</v>
      </c>
      <c r="R254" s="21">
        <v>40140008</v>
      </c>
      <c r="S254" s="7"/>
      <c r="T254" s="7"/>
      <c r="U254" s="7">
        <v>11010001</v>
      </c>
      <c r="V254" s="7">
        <v>11020001</v>
      </c>
      <c r="X254" s="7" t="s">
        <v>139</v>
      </c>
      <c r="Y254" s="7" t="s">
        <v>725</v>
      </c>
      <c r="Z254" s="7"/>
      <c r="AA254" s="7">
        <v>80</v>
      </c>
      <c r="AB254" s="7">
        <v>80</v>
      </c>
      <c r="AC254" s="7">
        <v>20</v>
      </c>
      <c r="AD254" s="7">
        <v>30</v>
      </c>
      <c r="AE254" s="7" t="s">
        <v>141</v>
      </c>
      <c r="AF254" s="7"/>
      <c r="AG254" s="22" t="s">
        <v>222</v>
      </c>
      <c r="AI254" s="23">
        <v>2000</v>
      </c>
      <c r="AJ254" s="7" t="s">
        <v>142</v>
      </c>
      <c r="AK254" s="24">
        <v>25000</v>
      </c>
      <c r="AL254" s="7" t="s">
        <v>143</v>
      </c>
      <c r="AM254" s="7">
        <v>60</v>
      </c>
      <c r="AN254" s="7" t="s">
        <v>144</v>
      </c>
      <c r="AO254" s="7">
        <v>85</v>
      </c>
      <c r="AP254" s="7" t="s">
        <v>145</v>
      </c>
      <c r="AQ254" s="7">
        <v>55</v>
      </c>
      <c r="AR254" s="7" t="s">
        <v>146</v>
      </c>
      <c r="AS254" s="7">
        <v>80</v>
      </c>
      <c r="AT254" s="7" t="s">
        <v>147</v>
      </c>
      <c r="AU254" s="7">
        <v>160</v>
      </c>
      <c r="AV254" s="7" t="s">
        <v>148</v>
      </c>
      <c r="AW254" s="7">
        <v>220</v>
      </c>
      <c r="AX254" s="7" t="s">
        <v>149</v>
      </c>
      <c r="AY254" s="7">
        <v>160</v>
      </c>
      <c r="AZ254" s="7" t="s">
        <v>150</v>
      </c>
      <c r="BA254" s="7">
        <v>220</v>
      </c>
      <c r="BB254" s="7" t="s">
        <v>151</v>
      </c>
      <c r="BC254" s="7">
        <v>1</v>
      </c>
      <c r="BD254" s="7" t="s">
        <v>152</v>
      </c>
      <c r="BE254" s="7">
        <v>2</v>
      </c>
      <c r="BF254" s="7" t="s">
        <v>153</v>
      </c>
      <c r="BG254" s="7">
        <v>100</v>
      </c>
      <c r="BH254" s="7" t="s">
        <v>154</v>
      </c>
      <c r="BI254" s="7">
        <v>10</v>
      </c>
      <c r="BJ254" s="7" t="s">
        <v>155</v>
      </c>
      <c r="BK254" s="7">
        <v>300</v>
      </c>
      <c r="BL254" s="20"/>
      <c r="BM254" s="20"/>
      <c r="BN254" s="20">
        <v>1</v>
      </c>
      <c r="BO254" s="20">
        <v>2500</v>
      </c>
      <c r="BP254" s="20">
        <v>2</v>
      </c>
      <c r="BQ254" s="20">
        <v>2500</v>
      </c>
      <c r="BR254" s="20" t="s">
        <v>156</v>
      </c>
    </row>
    <row r="255" s="15" customFormat="1" ht="16.5" spans="1:70">
      <c r="A255" s="15">
        <f>60000000+INDEX(编号表!$B:$B,MATCH(I255,编号表!$A:$A,0))*10000+INDEX(编号表!$B:$B,MATCH(J255,编号表!$C:$C,0))*1000+K255</f>
        <v>60314000</v>
      </c>
      <c r="B255" s="15" t="s">
        <v>735</v>
      </c>
      <c r="C255" s="15" t="s">
        <v>724</v>
      </c>
      <c r="D255" s="15" t="s">
        <v>734</v>
      </c>
      <c r="E255" s="15">
        <v>51</v>
      </c>
      <c r="F255" s="15" t="str" cm="1">
        <f t="array" ref="F255">INDEX(编号表!$E:$E,MATCH(J255,编号表!$C:$C,0))</f>
        <v>橙色</v>
      </c>
      <c r="G255" s="15">
        <v>35</v>
      </c>
      <c r="H255" s="15" t="s">
        <v>718</v>
      </c>
      <c r="I255" s="15" t="s">
        <v>718</v>
      </c>
      <c r="J255" s="15" t="s">
        <v>233</v>
      </c>
      <c r="K255" s="15">
        <v>0</v>
      </c>
      <c r="L255" s="15">
        <f>COUNTIFS(I$11:I255,I255,J$11:J255,J255)-1</f>
        <v>0</v>
      </c>
      <c r="O255" s="7">
        <v>10</v>
      </c>
      <c r="P255" s="7">
        <v>300000</v>
      </c>
      <c r="Q255" s="15" t="s">
        <v>138</v>
      </c>
      <c r="R255" s="21">
        <v>40140008</v>
      </c>
      <c r="S255" s="15"/>
      <c r="T255" s="15"/>
      <c r="U255" s="15">
        <v>11010001</v>
      </c>
      <c r="V255" s="15">
        <v>11020001</v>
      </c>
      <c r="X255" s="15" t="s">
        <v>139</v>
      </c>
      <c r="Y255" s="7" t="s">
        <v>725</v>
      </c>
      <c r="Z255" s="7">
        <v>1.5</v>
      </c>
      <c r="AA255" s="7">
        <v>80</v>
      </c>
      <c r="AB255" s="7">
        <v>80</v>
      </c>
      <c r="AC255" s="7">
        <v>20</v>
      </c>
      <c r="AD255" s="7">
        <v>30</v>
      </c>
      <c r="AE255" s="15" t="s">
        <v>141</v>
      </c>
      <c r="AF255" s="15"/>
      <c r="AG255" s="22" t="s">
        <v>234</v>
      </c>
      <c r="AH255" s="15"/>
      <c r="AI255" s="23">
        <v>10000</v>
      </c>
      <c r="AJ255" s="15" t="s">
        <v>142</v>
      </c>
      <c r="AK255" s="24">
        <v>176000</v>
      </c>
      <c r="AL255" s="15" t="s">
        <v>143</v>
      </c>
      <c r="AM255" s="15">
        <v>85</v>
      </c>
      <c r="AN255" s="15" t="s">
        <v>144</v>
      </c>
      <c r="AO255" s="15">
        <v>125</v>
      </c>
      <c r="AP255" s="15" t="s">
        <v>145</v>
      </c>
      <c r="AQ255" s="15">
        <v>80</v>
      </c>
      <c r="AR255" s="15" t="s">
        <v>146</v>
      </c>
      <c r="AS255" s="15">
        <v>120</v>
      </c>
      <c r="AT255" s="15" t="s">
        <v>147</v>
      </c>
      <c r="AU255" s="15">
        <v>260</v>
      </c>
      <c r="AV255" s="15" t="s">
        <v>148</v>
      </c>
      <c r="AW255" s="15">
        <v>350</v>
      </c>
      <c r="AX255" s="15" t="s">
        <v>149</v>
      </c>
      <c r="AY255" s="15">
        <v>260</v>
      </c>
      <c r="AZ255" s="15" t="s">
        <v>150</v>
      </c>
      <c r="BA255" s="15">
        <v>350</v>
      </c>
      <c r="BB255" s="15" t="s">
        <v>151</v>
      </c>
      <c r="BC255" s="15">
        <v>1</v>
      </c>
      <c r="BD255" s="15" t="s">
        <v>152</v>
      </c>
      <c r="BE255" s="15">
        <v>2</v>
      </c>
      <c r="BF255" s="15" t="s">
        <v>153</v>
      </c>
      <c r="BG255" s="15">
        <v>100</v>
      </c>
      <c r="BH255" s="15" t="s">
        <v>154</v>
      </c>
      <c r="BI255" s="15">
        <v>10</v>
      </c>
      <c r="BJ255" s="15" t="s">
        <v>155</v>
      </c>
      <c r="BK255" s="7">
        <v>300</v>
      </c>
      <c r="BL255" s="25"/>
      <c r="BM255" s="25"/>
      <c r="BN255" s="20">
        <v>1</v>
      </c>
      <c r="BO255" s="20">
        <v>2500</v>
      </c>
      <c r="BP255" s="20">
        <v>2</v>
      </c>
      <c r="BQ255" s="20">
        <v>2500</v>
      </c>
      <c r="BR255" s="25" t="s">
        <v>156</v>
      </c>
    </row>
    <row r="256" s="7" customFormat="1" ht="16.5" spans="1:70">
      <c r="A256" s="7">
        <f>60000000+INDEX(编号表!$B:$B,MATCH(I256,编号表!$A:$A,0))*10000+INDEX(编号表!$B:$B,MATCH(J256,编号表!$C:$C,0))*1000+K256</f>
        <v>60321000</v>
      </c>
      <c r="B256" s="7" t="s">
        <v>736</v>
      </c>
      <c r="C256" s="7" t="s">
        <v>721</v>
      </c>
      <c r="D256" s="7" t="s">
        <v>737</v>
      </c>
      <c r="E256" s="7">
        <v>51</v>
      </c>
      <c r="F256" s="7" t="str" cm="1">
        <f t="array" ref="F256">INDEX(编号表!$E:$E,MATCH(J256,编号表!$C:$C,0))</f>
        <v>白色</v>
      </c>
      <c r="G256" s="7">
        <v>36</v>
      </c>
      <c r="H256" s="7" t="s">
        <v>738</v>
      </c>
      <c r="I256" s="7" t="s">
        <v>738</v>
      </c>
      <c r="J256" s="7" t="s">
        <v>137</v>
      </c>
      <c r="K256" s="7">
        <v>0</v>
      </c>
      <c r="L256" s="7">
        <f>COUNTIFS(I$11:I256,I256,J$11:J256,J256)-1</f>
        <v>0</v>
      </c>
      <c r="O256" s="7">
        <v>10</v>
      </c>
      <c r="P256" s="7">
        <v>300000</v>
      </c>
      <c r="Q256" s="7" t="s">
        <v>138</v>
      </c>
      <c r="R256" s="21">
        <v>40140008</v>
      </c>
      <c r="S256" s="7"/>
      <c r="T256" s="7"/>
      <c r="U256" s="7">
        <v>11010001</v>
      </c>
      <c r="V256" s="7">
        <v>11020001</v>
      </c>
      <c r="X256" s="7" t="s">
        <v>139</v>
      </c>
      <c r="Y256" s="7" t="s">
        <v>722</v>
      </c>
      <c r="Z256" s="7"/>
      <c r="AA256" s="7">
        <v>80</v>
      </c>
      <c r="AB256" s="7">
        <v>80</v>
      </c>
      <c r="AC256" s="7">
        <v>20</v>
      </c>
      <c r="AD256" s="7">
        <v>30</v>
      </c>
      <c r="AE256" s="7" t="s">
        <v>141</v>
      </c>
      <c r="AF256" s="7"/>
      <c r="AG256" s="22"/>
      <c r="AI256" s="23">
        <v>510</v>
      </c>
      <c r="AJ256" s="7" t="s">
        <v>142</v>
      </c>
      <c r="AK256" s="24">
        <v>3700</v>
      </c>
      <c r="AL256" s="7" t="s">
        <v>143</v>
      </c>
      <c r="AM256" s="7">
        <v>33</v>
      </c>
      <c r="AN256" s="7" t="s">
        <v>144</v>
      </c>
      <c r="AO256" s="7">
        <v>47</v>
      </c>
      <c r="AP256" s="7" t="s">
        <v>145</v>
      </c>
      <c r="AQ256" s="7">
        <v>31</v>
      </c>
      <c r="AR256" s="7" t="s">
        <v>146</v>
      </c>
      <c r="AS256" s="7">
        <v>45</v>
      </c>
      <c r="AT256" s="7" t="s">
        <v>147</v>
      </c>
      <c r="AU256" s="7">
        <v>75</v>
      </c>
      <c r="AV256" s="7" t="s">
        <v>148</v>
      </c>
      <c r="AW256" s="7">
        <v>100</v>
      </c>
      <c r="AX256" s="7" t="s">
        <v>149</v>
      </c>
      <c r="AY256" s="7">
        <v>75</v>
      </c>
      <c r="AZ256" s="7" t="s">
        <v>150</v>
      </c>
      <c r="BA256" s="7">
        <v>100</v>
      </c>
      <c r="BB256" s="7" t="s">
        <v>151</v>
      </c>
      <c r="BC256" s="7">
        <v>1</v>
      </c>
      <c r="BD256" s="7" t="s">
        <v>152</v>
      </c>
      <c r="BE256" s="7">
        <v>2</v>
      </c>
      <c r="BF256" s="7" t="s">
        <v>153</v>
      </c>
      <c r="BG256" s="7">
        <v>100</v>
      </c>
      <c r="BH256" s="7" t="s">
        <v>154</v>
      </c>
      <c r="BI256" s="7">
        <v>10</v>
      </c>
      <c r="BJ256" s="7" t="s">
        <v>155</v>
      </c>
      <c r="BK256" s="7">
        <v>300</v>
      </c>
      <c r="BL256" s="20"/>
      <c r="BM256" s="20"/>
      <c r="BN256" s="20">
        <v>1</v>
      </c>
      <c r="BO256" s="20">
        <v>2500</v>
      </c>
      <c r="BP256" s="20">
        <v>2</v>
      </c>
      <c r="BQ256" s="20">
        <v>2500</v>
      </c>
      <c r="BR256" s="20" t="s">
        <v>156</v>
      </c>
    </row>
    <row r="257" s="7" customFormat="1" ht="16.5" spans="1:70">
      <c r="A257" s="7">
        <f>60000000+INDEX(编号表!$B:$B,MATCH(I257,编号表!$A:$A,0))*10000+INDEX(编号表!$B:$B,MATCH(J257,编号表!$C:$C,0))*1000+K257</f>
        <v>60321001</v>
      </c>
      <c r="B257" s="7" t="s">
        <v>739</v>
      </c>
      <c r="C257" s="7" t="s">
        <v>724</v>
      </c>
      <c r="D257" s="7" t="s">
        <v>740</v>
      </c>
      <c r="E257" s="7">
        <v>51</v>
      </c>
      <c r="F257" s="7" t="str" cm="1">
        <f t="array" ref="F257">INDEX(编号表!$E:$E,MATCH(J257,编号表!$C:$C,0))</f>
        <v>白色</v>
      </c>
      <c r="G257" s="7">
        <v>36</v>
      </c>
      <c r="H257" s="7" t="s">
        <v>738</v>
      </c>
      <c r="I257" s="7" t="s">
        <v>738</v>
      </c>
      <c r="J257" s="7" t="s">
        <v>137</v>
      </c>
      <c r="K257" s="7">
        <v>1</v>
      </c>
      <c r="L257" s="7">
        <f>COUNTIFS(I$11:I257,I257,J$11:J257,J257)-1</f>
        <v>1</v>
      </c>
      <c r="O257" s="7">
        <v>10</v>
      </c>
      <c r="P257" s="7">
        <v>300000</v>
      </c>
      <c r="Q257" s="7" t="s">
        <v>138</v>
      </c>
      <c r="R257" s="21">
        <v>40140008</v>
      </c>
      <c r="S257" s="7"/>
      <c r="T257" s="7"/>
      <c r="U257" s="7">
        <v>11010001</v>
      </c>
      <c r="V257" s="7">
        <v>11020001</v>
      </c>
      <c r="X257" s="7" t="s">
        <v>139</v>
      </c>
      <c r="Y257" s="7" t="s">
        <v>725</v>
      </c>
      <c r="Z257" s="7"/>
      <c r="AA257" s="7">
        <v>80</v>
      </c>
      <c r="AB257" s="7">
        <v>80</v>
      </c>
      <c r="AC257" s="7">
        <v>20</v>
      </c>
      <c r="AD257" s="7">
        <v>30</v>
      </c>
      <c r="AE257" s="7" t="s">
        <v>141</v>
      </c>
      <c r="AF257" s="7"/>
      <c r="AG257" s="22"/>
      <c r="AI257" s="23">
        <v>510</v>
      </c>
      <c r="AJ257" s="7" t="s">
        <v>142</v>
      </c>
      <c r="AK257" s="24">
        <v>4300</v>
      </c>
      <c r="AL257" s="7" t="s">
        <v>143</v>
      </c>
      <c r="AM257" s="7">
        <v>38</v>
      </c>
      <c r="AN257" s="7" t="s">
        <v>144</v>
      </c>
      <c r="AO257" s="7">
        <v>55</v>
      </c>
      <c r="AP257" s="7" t="s">
        <v>145</v>
      </c>
      <c r="AQ257" s="7">
        <v>35</v>
      </c>
      <c r="AR257" s="7" t="s">
        <v>146</v>
      </c>
      <c r="AS257" s="7">
        <v>50</v>
      </c>
      <c r="AT257" s="7" t="s">
        <v>147</v>
      </c>
      <c r="AU257" s="7">
        <v>75</v>
      </c>
      <c r="AV257" s="7" t="s">
        <v>148</v>
      </c>
      <c r="AW257" s="7">
        <v>105</v>
      </c>
      <c r="AX257" s="7" t="s">
        <v>149</v>
      </c>
      <c r="AY257" s="7">
        <v>75</v>
      </c>
      <c r="AZ257" s="7" t="s">
        <v>150</v>
      </c>
      <c r="BA257" s="7">
        <v>105</v>
      </c>
      <c r="BB257" s="7" t="s">
        <v>151</v>
      </c>
      <c r="BC257" s="7">
        <v>1</v>
      </c>
      <c r="BD257" s="7" t="s">
        <v>152</v>
      </c>
      <c r="BE257" s="7">
        <v>2</v>
      </c>
      <c r="BF257" s="7" t="s">
        <v>153</v>
      </c>
      <c r="BG257" s="7">
        <v>100</v>
      </c>
      <c r="BH257" s="7" t="s">
        <v>154</v>
      </c>
      <c r="BI257" s="7">
        <v>10</v>
      </c>
      <c r="BJ257" s="7" t="s">
        <v>155</v>
      </c>
      <c r="BK257" s="7">
        <v>300</v>
      </c>
      <c r="BL257" s="20"/>
      <c r="BM257" s="20"/>
      <c r="BN257" s="20">
        <v>1</v>
      </c>
      <c r="BO257" s="20">
        <v>2500</v>
      </c>
      <c r="BP257" s="20">
        <v>2</v>
      </c>
      <c r="BQ257" s="20">
        <v>2500</v>
      </c>
      <c r="BR257" s="20" t="s">
        <v>156</v>
      </c>
    </row>
    <row r="258" s="7" customFormat="1" ht="16.5" spans="1:70">
      <c r="A258" s="7">
        <f>60000000+INDEX(编号表!$B:$B,MATCH(I258,编号表!$A:$A,0))*10000+INDEX(编号表!$B:$B,MATCH(J258,编号表!$C:$C,0))*1000+K258</f>
        <v>60321002</v>
      </c>
      <c r="B258" s="7" t="s">
        <v>741</v>
      </c>
      <c r="C258" s="7" t="s">
        <v>727</v>
      </c>
      <c r="D258" s="7" t="s">
        <v>742</v>
      </c>
      <c r="E258" s="7">
        <v>51</v>
      </c>
      <c r="F258" s="7" t="str" cm="1">
        <f t="array" ref="F258">INDEX(编号表!$E:$E,MATCH(J258,编号表!$C:$C,0))</f>
        <v>白色</v>
      </c>
      <c r="G258" s="7">
        <v>36</v>
      </c>
      <c r="H258" s="7" t="s">
        <v>738</v>
      </c>
      <c r="I258" s="7" t="s">
        <v>738</v>
      </c>
      <c r="J258" s="7" t="s">
        <v>137</v>
      </c>
      <c r="K258" s="7">
        <v>2</v>
      </c>
      <c r="L258" s="7">
        <f>COUNTIFS(I$11:I258,I258,J$11:J258,J258)-1</f>
        <v>2</v>
      </c>
      <c r="O258" s="7">
        <v>10</v>
      </c>
      <c r="P258" s="7">
        <v>300000</v>
      </c>
      <c r="Q258" s="7" t="s">
        <v>138</v>
      </c>
      <c r="R258" s="21">
        <v>40140008</v>
      </c>
      <c r="S258" s="7"/>
      <c r="T258" s="7"/>
      <c r="U258" s="7">
        <v>11010001</v>
      </c>
      <c r="V258" s="7">
        <v>11020001</v>
      </c>
      <c r="X258" s="7" t="s">
        <v>139</v>
      </c>
      <c r="Y258" s="7" t="s">
        <v>728</v>
      </c>
      <c r="Z258" s="7"/>
      <c r="AA258" s="7">
        <v>80</v>
      </c>
      <c r="AB258" s="7">
        <v>80</v>
      </c>
      <c r="AC258" s="7">
        <v>20</v>
      </c>
      <c r="AD258" s="7">
        <v>30</v>
      </c>
      <c r="AE258" s="7" t="s">
        <v>206</v>
      </c>
      <c r="AF258" s="7" t="s">
        <v>729</v>
      </c>
      <c r="AG258" s="22"/>
      <c r="AI258" s="23">
        <v>510</v>
      </c>
      <c r="AJ258" s="7" t="s">
        <v>142</v>
      </c>
      <c r="AK258" s="24">
        <v>3400</v>
      </c>
      <c r="AL258" s="7" t="s">
        <v>143</v>
      </c>
      <c r="AM258" s="7">
        <v>30</v>
      </c>
      <c r="AN258" s="7" t="s">
        <v>144</v>
      </c>
      <c r="AO258" s="7">
        <v>43</v>
      </c>
      <c r="AP258" s="7" t="s">
        <v>145</v>
      </c>
      <c r="AQ258" s="7">
        <v>28</v>
      </c>
      <c r="AR258" s="7" t="s">
        <v>146</v>
      </c>
      <c r="AS258" s="7">
        <v>41</v>
      </c>
      <c r="AT258" s="7" t="s">
        <v>147</v>
      </c>
      <c r="AU258" s="7">
        <v>80</v>
      </c>
      <c r="AV258" s="7" t="s">
        <v>148</v>
      </c>
      <c r="AW258" s="7">
        <v>110</v>
      </c>
      <c r="AX258" s="7" t="s">
        <v>149</v>
      </c>
      <c r="AY258" s="7">
        <v>80</v>
      </c>
      <c r="AZ258" s="7" t="s">
        <v>150</v>
      </c>
      <c r="BA258" s="7">
        <v>110</v>
      </c>
      <c r="BB258" s="7" t="s">
        <v>151</v>
      </c>
      <c r="BC258" s="7">
        <v>1</v>
      </c>
      <c r="BD258" s="7" t="s">
        <v>152</v>
      </c>
      <c r="BE258" s="7">
        <v>2</v>
      </c>
      <c r="BF258" s="7" t="s">
        <v>153</v>
      </c>
      <c r="BG258" s="7">
        <v>100</v>
      </c>
      <c r="BH258" s="7" t="s">
        <v>154</v>
      </c>
      <c r="BI258" s="7">
        <v>300</v>
      </c>
      <c r="BJ258" s="7" t="s">
        <v>155</v>
      </c>
      <c r="BK258" s="7">
        <v>300</v>
      </c>
      <c r="BL258" s="20"/>
      <c r="BM258" s="20"/>
      <c r="BN258" s="20">
        <v>1</v>
      </c>
      <c r="BO258" s="20">
        <v>2500</v>
      </c>
      <c r="BP258" s="20">
        <v>2</v>
      </c>
      <c r="BQ258" s="20">
        <v>2500</v>
      </c>
      <c r="BR258" s="20" t="s">
        <v>156</v>
      </c>
    </row>
    <row r="259" s="7" customFormat="1" ht="16.5" spans="1:70">
      <c r="A259" s="7">
        <f>60000000+INDEX(编号表!$B:$B,MATCH(I259,编号表!$A:$A,0))*10000+INDEX(编号表!$B:$B,MATCH(J259,编号表!$C:$C,0))*1000+K259</f>
        <v>60321003</v>
      </c>
      <c r="B259" s="7" t="s">
        <v>743</v>
      </c>
      <c r="C259" s="7" t="s">
        <v>731</v>
      </c>
      <c r="D259" s="7" t="s">
        <v>744</v>
      </c>
      <c r="E259" s="7">
        <v>51</v>
      </c>
      <c r="F259" s="7" t="str" cm="1">
        <f t="array" ref="F259">INDEX(编号表!$E:$E,MATCH(J259,编号表!$C:$C,0))</f>
        <v>白色</v>
      </c>
      <c r="G259" s="7">
        <v>36</v>
      </c>
      <c r="H259" s="7" t="s">
        <v>738</v>
      </c>
      <c r="I259" s="7" t="s">
        <v>738</v>
      </c>
      <c r="J259" s="7" t="s">
        <v>137</v>
      </c>
      <c r="K259" s="7">
        <v>3</v>
      </c>
      <c r="L259" s="7">
        <f>COUNTIFS(I$11:I259,I259,J$11:J259,J259)-1</f>
        <v>3</v>
      </c>
      <c r="O259" s="7">
        <v>10</v>
      </c>
      <c r="P259" s="7">
        <v>300000</v>
      </c>
      <c r="Q259" s="7" t="s">
        <v>138</v>
      </c>
      <c r="R259" s="21">
        <v>40140008</v>
      </c>
      <c r="S259" s="7"/>
      <c r="T259" s="7"/>
      <c r="U259" s="7">
        <v>11010001</v>
      </c>
      <c r="V259" s="7">
        <v>11020001</v>
      </c>
      <c r="X259" s="7" t="s">
        <v>139</v>
      </c>
      <c r="Y259" s="7" t="s">
        <v>732</v>
      </c>
      <c r="Z259" s="7"/>
      <c r="AA259" s="7">
        <v>80</v>
      </c>
      <c r="AB259" s="7">
        <v>80</v>
      </c>
      <c r="AC259" s="7">
        <v>20</v>
      </c>
      <c r="AD259" s="7">
        <v>30</v>
      </c>
      <c r="AE259" s="7" t="s">
        <v>141</v>
      </c>
      <c r="AF259" s="7"/>
      <c r="AG259" s="22"/>
      <c r="AI259" s="23">
        <v>510</v>
      </c>
      <c r="AJ259" s="7" t="s">
        <v>142</v>
      </c>
      <c r="AK259" s="24">
        <v>4300</v>
      </c>
      <c r="AL259" s="7" t="s">
        <v>143</v>
      </c>
      <c r="AM259" s="7">
        <v>38</v>
      </c>
      <c r="AN259" s="7" t="s">
        <v>144</v>
      </c>
      <c r="AO259" s="7">
        <v>55</v>
      </c>
      <c r="AP259" s="7" t="s">
        <v>145</v>
      </c>
      <c r="AQ259" s="7">
        <v>35</v>
      </c>
      <c r="AR259" s="7" t="s">
        <v>146</v>
      </c>
      <c r="AS259" s="7">
        <v>50</v>
      </c>
      <c r="AT259" s="7" t="s">
        <v>147</v>
      </c>
      <c r="AU259" s="7">
        <v>75</v>
      </c>
      <c r="AV259" s="7" t="s">
        <v>148</v>
      </c>
      <c r="AW259" s="7">
        <v>105</v>
      </c>
      <c r="AX259" s="7" t="s">
        <v>149</v>
      </c>
      <c r="AY259" s="7">
        <v>75</v>
      </c>
      <c r="AZ259" s="7" t="s">
        <v>150</v>
      </c>
      <c r="BA259" s="7">
        <v>105</v>
      </c>
      <c r="BB259" s="7" t="s">
        <v>151</v>
      </c>
      <c r="BC259" s="7">
        <v>1</v>
      </c>
      <c r="BD259" s="7" t="s">
        <v>152</v>
      </c>
      <c r="BE259" s="7">
        <v>2</v>
      </c>
      <c r="BF259" s="7" t="s">
        <v>153</v>
      </c>
      <c r="BG259" s="7">
        <v>100</v>
      </c>
      <c r="BH259" s="7" t="s">
        <v>154</v>
      </c>
      <c r="BI259" s="7">
        <v>10</v>
      </c>
      <c r="BJ259" s="7" t="s">
        <v>155</v>
      </c>
      <c r="BK259" s="7">
        <v>300</v>
      </c>
      <c r="BL259" s="20"/>
      <c r="BM259" s="20"/>
      <c r="BN259" s="20">
        <v>1</v>
      </c>
      <c r="BO259" s="20">
        <v>2500</v>
      </c>
      <c r="BP259" s="20">
        <v>2</v>
      </c>
      <c r="BQ259" s="20">
        <v>2500</v>
      </c>
      <c r="BR259" s="20" t="s">
        <v>156</v>
      </c>
    </row>
    <row r="260" s="7" customFormat="1" ht="16.5" spans="1:70">
      <c r="A260" s="7">
        <f>60000000+INDEX(编号表!$B:$B,MATCH(I260,编号表!$A:$A,0))*10000+INDEX(编号表!$B:$B,MATCH(J260,编号表!$C:$C,0))*1000+K260</f>
        <v>60321004</v>
      </c>
      <c r="B260" s="7" t="s">
        <v>745</v>
      </c>
      <c r="C260" s="28" t="s">
        <v>746</v>
      </c>
      <c r="D260" s="7" t="s">
        <v>746</v>
      </c>
      <c r="E260" s="7">
        <v>51</v>
      </c>
      <c r="F260" s="7" t="str" cm="1">
        <f t="array" ref="F260">INDEX(编号表!$E:$E,MATCH(J260,编号表!$C:$C,0))</f>
        <v>白色</v>
      </c>
      <c r="G260" s="7">
        <v>36</v>
      </c>
      <c r="H260" s="7" t="s">
        <v>738</v>
      </c>
      <c r="I260" s="7" t="s">
        <v>738</v>
      </c>
      <c r="J260" s="7" t="s">
        <v>137</v>
      </c>
      <c r="K260" s="7">
        <v>4</v>
      </c>
      <c r="L260" s="7">
        <f>COUNTIFS(I$11:I260,I260,J$11:J260,J260)-1</f>
        <v>4</v>
      </c>
      <c r="O260" s="7">
        <v>10</v>
      </c>
      <c r="P260" s="7">
        <v>300000</v>
      </c>
      <c r="Q260" s="7" t="s">
        <v>138</v>
      </c>
      <c r="R260" s="21">
        <v>40140008</v>
      </c>
      <c r="S260" s="7"/>
      <c r="T260" s="7"/>
      <c r="U260" s="7">
        <v>11010001</v>
      </c>
      <c r="V260" s="7">
        <v>11020001</v>
      </c>
      <c r="X260" s="7" t="s">
        <v>139</v>
      </c>
      <c r="Y260" s="7" t="s">
        <v>747</v>
      </c>
      <c r="Z260" s="7"/>
      <c r="AA260" s="7">
        <v>80</v>
      </c>
      <c r="AB260" s="7">
        <v>80</v>
      </c>
      <c r="AC260" s="7">
        <v>20</v>
      </c>
      <c r="AD260" s="7">
        <v>30</v>
      </c>
      <c r="AE260" s="7" t="s">
        <v>206</v>
      </c>
      <c r="AF260" s="7" t="s">
        <v>748</v>
      </c>
      <c r="AG260" s="22"/>
      <c r="AI260" s="23">
        <v>510</v>
      </c>
      <c r="AJ260" s="7" t="s">
        <v>142</v>
      </c>
      <c r="AK260" s="24">
        <v>3400</v>
      </c>
      <c r="AL260" s="7" t="s">
        <v>143</v>
      </c>
      <c r="AM260" s="7">
        <v>30</v>
      </c>
      <c r="AN260" s="7" t="s">
        <v>144</v>
      </c>
      <c r="AO260" s="7">
        <v>43</v>
      </c>
      <c r="AP260" s="7" t="s">
        <v>145</v>
      </c>
      <c r="AQ260" s="7">
        <v>28</v>
      </c>
      <c r="AR260" s="7" t="s">
        <v>146</v>
      </c>
      <c r="AS260" s="7">
        <v>41</v>
      </c>
      <c r="AT260" s="7" t="s">
        <v>147</v>
      </c>
      <c r="AU260" s="7">
        <v>80</v>
      </c>
      <c r="AV260" s="7" t="s">
        <v>148</v>
      </c>
      <c r="AW260" s="7">
        <v>110</v>
      </c>
      <c r="AX260" s="7" t="s">
        <v>149</v>
      </c>
      <c r="AY260" s="7">
        <v>80</v>
      </c>
      <c r="AZ260" s="7" t="s">
        <v>150</v>
      </c>
      <c r="BA260" s="7">
        <v>110</v>
      </c>
      <c r="BB260" s="7" t="s">
        <v>151</v>
      </c>
      <c r="BC260" s="7">
        <v>1</v>
      </c>
      <c r="BD260" s="7" t="s">
        <v>152</v>
      </c>
      <c r="BE260" s="7">
        <v>2</v>
      </c>
      <c r="BF260" s="7" t="s">
        <v>153</v>
      </c>
      <c r="BG260" s="7">
        <v>100</v>
      </c>
      <c r="BH260" s="7" t="s">
        <v>154</v>
      </c>
      <c r="BI260" s="7">
        <v>300</v>
      </c>
      <c r="BJ260" s="7" t="s">
        <v>155</v>
      </c>
      <c r="BK260" s="7">
        <v>300</v>
      </c>
      <c r="BL260" s="20"/>
      <c r="BM260" s="20"/>
      <c r="BN260" s="20">
        <v>1</v>
      </c>
      <c r="BO260" s="20">
        <v>2500</v>
      </c>
      <c r="BP260" s="20">
        <v>2</v>
      </c>
      <c r="BQ260" s="20">
        <v>2500</v>
      </c>
      <c r="BR260" s="20" t="s">
        <v>156</v>
      </c>
    </row>
    <row r="261" s="7" customFormat="1" ht="16.5" spans="1:70">
      <c r="A261" s="7">
        <f>60000000+INDEX(编号表!$B:$B,MATCH(I261,编号表!$A:$A,0))*10000+INDEX(编号表!$B:$B,MATCH(J261,编号表!$C:$C,0))*1000+K261</f>
        <v>60321005</v>
      </c>
      <c r="B261" s="7" t="s">
        <v>749</v>
      </c>
      <c r="C261" s="7" t="s">
        <v>750</v>
      </c>
      <c r="D261" s="7" t="s">
        <v>750</v>
      </c>
      <c r="E261" s="7">
        <v>51</v>
      </c>
      <c r="F261" s="7" t="str" cm="1">
        <f t="array" ref="F261">INDEX(编号表!$E:$E,MATCH(J261,编号表!$C:$C,0))</f>
        <v>白色</v>
      </c>
      <c r="G261" s="7">
        <v>36</v>
      </c>
      <c r="H261" s="7" t="s">
        <v>738</v>
      </c>
      <c r="I261" s="7" t="s">
        <v>738</v>
      </c>
      <c r="J261" s="7" t="s">
        <v>137</v>
      </c>
      <c r="K261" s="7">
        <v>5</v>
      </c>
      <c r="L261" s="7">
        <f>COUNTIFS(I$11:I261,I261,J$11:J261,J261)-1</f>
        <v>5</v>
      </c>
      <c r="O261" s="7">
        <v>10</v>
      </c>
      <c r="P261" s="7">
        <v>300000</v>
      </c>
      <c r="Q261" s="7" t="s">
        <v>138</v>
      </c>
      <c r="R261" s="21">
        <v>40140008</v>
      </c>
      <c r="S261" s="7"/>
      <c r="T261" s="7"/>
      <c r="U261" s="7">
        <v>11010001</v>
      </c>
      <c r="V261" s="7">
        <v>11020001</v>
      </c>
      <c r="X261" s="7" t="s">
        <v>139</v>
      </c>
      <c r="Y261" s="7" t="s">
        <v>751</v>
      </c>
      <c r="Z261" s="7"/>
      <c r="AA261" s="7">
        <v>80</v>
      </c>
      <c r="AB261" s="7">
        <v>80</v>
      </c>
      <c r="AC261" s="7">
        <v>20</v>
      </c>
      <c r="AD261" s="7">
        <v>30</v>
      </c>
      <c r="AE261" s="7" t="s">
        <v>141</v>
      </c>
      <c r="AF261" s="7"/>
      <c r="AG261" s="22"/>
      <c r="AI261" s="23">
        <v>510</v>
      </c>
      <c r="AJ261" s="7" t="s">
        <v>142</v>
      </c>
      <c r="AK261" s="24">
        <v>4300</v>
      </c>
      <c r="AL261" s="7" t="s">
        <v>143</v>
      </c>
      <c r="AM261" s="7">
        <v>38</v>
      </c>
      <c r="AN261" s="7" t="s">
        <v>144</v>
      </c>
      <c r="AO261" s="7">
        <v>55</v>
      </c>
      <c r="AP261" s="7" t="s">
        <v>145</v>
      </c>
      <c r="AQ261" s="7">
        <v>35</v>
      </c>
      <c r="AR261" s="7" t="s">
        <v>146</v>
      </c>
      <c r="AS261" s="7">
        <v>50</v>
      </c>
      <c r="AT261" s="7" t="s">
        <v>147</v>
      </c>
      <c r="AU261" s="7">
        <v>75</v>
      </c>
      <c r="AV261" s="7" t="s">
        <v>148</v>
      </c>
      <c r="AW261" s="7">
        <v>105</v>
      </c>
      <c r="AX261" s="7" t="s">
        <v>149</v>
      </c>
      <c r="AY261" s="7">
        <v>75</v>
      </c>
      <c r="AZ261" s="7" t="s">
        <v>150</v>
      </c>
      <c r="BA261" s="7">
        <v>105</v>
      </c>
      <c r="BB261" s="7" t="s">
        <v>151</v>
      </c>
      <c r="BC261" s="7">
        <v>1</v>
      </c>
      <c r="BD261" s="7" t="s">
        <v>152</v>
      </c>
      <c r="BE261" s="7">
        <v>2</v>
      </c>
      <c r="BF261" s="7" t="s">
        <v>153</v>
      </c>
      <c r="BG261" s="7">
        <v>100</v>
      </c>
      <c r="BH261" s="7" t="s">
        <v>154</v>
      </c>
      <c r="BI261" s="7">
        <v>10</v>
      </c>
      <c r="BJ261" s="7" t="s">
        <v>155</v>
      </c>
      <c r="BK261" s="7">
        <v>300</v>
      </c>
      <c r="BL261" s="20"/>
      <c r="BM261" s="20"/>
      <c r="BN261" s="20">
        <v>1</v>
      </c>
      <c r="BO261" s="20">
        <v>2500</v>
      </c>
      <c r="BP261" s="20">
        <v>2</v>
      </c>
      <c r="BQ261" s="20">
        <v>2500</v>
      </c>
      <c r="BR261" s="20" t="s">
        <v>156</v>
      </c>
    </row>
    <row r="262" s="7" customFormat="1" ht="16.5" spans="1:70">
      <c r="A262" s="7">
        <f>60000000+INDEX(编号表!$B:$B,MATCH(I262,编号表!$A:$A,0))*10000+INDEX(编号表!$B:$B,MATCH(J262,编号表!$C:$C,0))*1000+K262</f>
        <v>60322000</v>
      </c>
      <c r="B262" s="7" t="s">
        <v>752</v>
      </c>
      <c r="C262" s="7" t="s">
        <v>724</v>
      </c>
      <c r="D262" s="7" t="s">
        <v>753</v>
      </c>
      <c r="E262" s="7">
        <v>52</v>
      </c>
      <c r="F262" s="7" t="str" cm="1">
        <f t="array" ref="F262">INDEX(编号表!$E:$E,MATCH(J262,编号表!$C:$C,0))</f>
        <v>绿色</v>
      </c>
      <c r="G262" s="7">
        <v>36</v>
      </c>
      <c r="H262" s="7" t="s">
        <v>738</v>
      </c>
      <c r="I262" s="7" t="s">
        <v>738</v>
      </c>
      <c r="J262" s="7" t="s">
        <v>221</v>
      </c>
      <c r="K262" s="7">
        <v>0</v>
      </c>
      <c r="L262" s="7">
        <f>COUNTIFS(I$11:I262,I262,J$11:J262,J262)-1</f>
        <v>0</v>
      </c>
      <c r="O262" s="7">
        <v>10</v>
      </c>
      <c r="P262" s="7">
        <v>300000</v>
      </c>
      <c r="Q262" s="7" t="s">
        <v>138</v>
      </c>
      <c r="R262" s="21">
        <v>40140008</v>
      </c>
      <c r="S262" s="7"/>
      <c r="T262" s="7"/>
      <c r="U262" s="7">
        <v>11010001</v>
      </c>
      <c r="V262" s="7">
        <v>11020001</v>
      </c>
      <c r="X262" s="7" t="s">
        <v>139</v>
      </c>
      <c r="Y262" s="7" t="s">
        <v>725</v>
      </c>
      <c r="Z262" s="7"/>
      <c r="AA262" s="7">
        <v>80</v>
      </c>
      <c r="AB262" s="7">
        <v>80</v>
      </c>
      <c r="AC262" s="7">
        <v>20</v>
      </c>
      <c r="AD262" s="7">
        <v>30</v>
      </c>
      <c r="AE262" s="7" t="s">
        <v>141</v>
      </c>
      <c r="AF262" s="7"/>
      <c r="AG262" s="22" t="s">
        <v>222</v>
      </c>
      <c r="AI262" s="23">
        <v>2100</v>
      </c>
      <c r="AJ262" s="7" t="s">
        <v>142</v>
      </c>
      <c r="AK262" s="24">
        <v>26500</v>
      </c>
      <c r="AL262" s="7" t="s">
        <v>143</v>
      </c>
      <c r="AM262" s="7">
        <v>60</v>
      </c>
      <c r="AN262" s="7" t="s">
        <v>144</v>
      </c>
      <c r="AO262" s="7">
        <v>90</v>
      </c>
      <c r="AP262" s="7" t="s">
        <v>145</v>
      </c>
      <c r="AQ262" s="7">
        <v>60</v>
      </c>
      <c r="AR262" s="7" t="s">
        <v>146</v>
      </c>
      <c r="AS262" s="7">
        <v>85</v>
      </c>
      <c r="AT262" s="7" t="s">
        <v>147</v>
      </c>
      <c r="AU262" s="7">
        <v>170</v>
      </c>
      <c r="AV262" s="7" t="s">
        <v>148</v>
      </c>
      <c r="AW262" s="7">
        <v>230</v>
      </c>
      <c r="AX262" s="7" t="s">
        <v>149</v>
      </c>
      <c r="AY262" s="7">
        <v>170</v>
      </c>
      <c r="AZ262" s="7" t="s">
        <v>150</v>
      </c>
      <c r="BA262" s="7">
        <v>230</v>
      </c>
      <c r="BB262" s="7" t="s">
        <v>151</v>
      </c>
      <c r="BC262" s="7">
        <v>1</v>
      </c>
      <c r="BD262" s="7" t="s">
        <v>152</v>
      </c>
      <c r="BE262" s="7">
        <v>2</v>
      </c>
      <c r="BF262" s="7" t="s">
        <v>153</v>
      </c>
      <c r="BG262" s="7">
        <v>100</v>
      </c>
      <c r="BH262" s="7" t="s">
        <v>154</v>
      </c>
      <c r="BI262" s="7">
        <v>10</v>
      </c>
      <c r="BJ262" s="7" t="s">
        <v>155</v>
      </c>
      <c r="BK262" s="7">
        <v>300</v>
      </c>
      <c r="BL262" s="20"/>
      <c r="BM262" s="20"/>
      <c r="BN262" s="20">
        <v>1</v>
      </c>
      <c r="BO262" s="20">
        <v>2500</v>
      </c>
      <c r="BP262" s="20">
        <v>2</v>
      </c>
      <c r="BQ262" s="20">
        <v>2500</v>
      </c>
      <c r="BR262" s="20" t="s">
        <v>156</v>
      </c>
    </row>
    <row r="263" s="7" customFormat="1" ht="16.5" spans="1:70">
      <c r="A263" s="7">
        <f>60000000+INDEX(编号表!$B:$B,MATCH(I263,编号表!$A:$A,0))*10000+INDEX(编号表!$B:$B,MATCH(J263,编号表!$C:$C,0))*1000+K263</f>
        <v>60322001</v>
      </c>
      <c r="B263" s="7" t="s">
        <v>754</v>
      </c>
      <c r="C263" s="7" t="s">
        <v>750</v>
      </c>
      <c r="D263" s="7" t="s">
        <v>755</v>
      </c>
      <c r="E263" s="7">
        <v>52</v>
      </c>
      <c r="F263" s="7" t="str" cm="1">
        <f t="array" ref="F263">INDEX(编号表!$E:$E,MATCH(J263,编号表!$C:$C,0))</f>
        <v>绿色</v>
      </c>
      <c r="G263" s="7">
        <v>36</v>
      </c>
      <c r="H263" s="7" t="s">
        <v>738</v>
      </c>
      <c r="I263" s="7" t="s">
        <v>738</v>
      </c>
      <c r="J263" s="7" t="s">
        <v>221</v>
      </c>
      <c r="K263" s="7">
        <v>1</v>
      </c>
      <c r="L263" s="7">
        <f>COUNTIFS(I$11:I263,I263,J$11:J263,J263)-1</f>
        <v>1</v>
      </c>
      <c r="O263" s="7">
        <v>10</v>
      </c>
      <c r="P263" s="7">
        <v>300000</v>
      </c>
      <c r="Q263" s="7" t="s">
        <v>138</v>
      </c>
      <c r="R263" s="21">
        <v>40140008</v>
      </c>
      <c r="S263" s="7"/>
      <c r="T263" s="7"/>
      <c r="U263" s="7">
        <v>11010001</v>
      </c>
      <c r="V263" s="7">
        <v>11020001</v>
      </c>
      <c r="X263" s="7" t="s">
        <v>139</v>
      </c>
      <c r="Y263" s="7" t="s">
        <v>751</v>
      </c>
      <c r="Z263" s="7"/>
      <c r="AA263" s="7">
        <v>80</v>
      </c>
      <c r="AB263" s="7">
        <v>80</v>
      </c>
      <c r="AC263" s="7">
        <v>20</v>
      </c>
      <c r="AD263" s="7">
        <v>30</v>
      </c>
      <c r="AE263" s="7" t="s">
        <v>141</v>
      </c>
      <c r="AF263" s="7"/>
      <c r="AG263" s="22" t="s">
        <v>222</v>
      </c>
      <c r="AI263" s="23">
        <v>2100</v>
      </c>
      <c r="AJ263" s="7" t="s">
        <v>142</v>
      </c>
      <c r="AK263" s="24">
        <v>26500</v>
      </c>
      <c r="AL263" s="7" t="s">
        <v>143</v>
      </c>
      <c r="AM263" s="7">
        <v>60</v>
      </c>
      <c r="AN263" s="7" t="s">
        <v>144</v>
      </c>
      <c r="AO263" s="7">
        <v>90</v>
      </c>
      <c r="AP263" s="7" t="s">
        <v>145</v>
      </c>
      <c r="AQ263" s="7">
        <v>60</v>
      </c>
      <c r="AR263" s="7" t="s">
        <v>146</v>
      </c>
      <c r="AS263" s="7">
        <v>85</v>
      </c>
      <c r="AT263" s="7" t="s">
        <v>147</v>
      </c>
      <c r="AU263" s="7">
        <v>170</v>
      </c>
      <c r="AV263" s="7" t="s">
        <v>148</v>
      </c>
      <c r="AW263" s="7">
        <v>230</v>
      </c>
      <c r="AX263" s="7" t="s">
        <v>149</v>
      </c>
      <c r="AY263" s="7">
        <v>170</v>
      </c>
      <c r="AZ263" s="7" t="s">
        <v>150</v>
      </c>
      <c r="BA263" s="7">
        <v>230</v>
      </c>
      <c r="BB263" s="7" t="s">
        <v>151</v>
      </c>
      <c r="BC263" s="7">
        <v>1</v>
      </c>
      <c r="BD263" s="7" t="s">
        <v>152</v>
      </c>
      <c r="BE263" s="7">
        <v>2</v>
      </c>
      <c r="BF263" s="7" t="s">
        <v>153</v>
      </c>
      <c r="BG263" s="7">
        <v>100</v>
      </c>
      <c r="BH263" s="7" t="s">
        <v>154</v>
      </c>
      <c r="BI263" s="7">
        <v>10</v>
      </c>
      <c r="BJ263" s="7" t="s">
        <v>155</v>
      </c>
      <c r="BK263" s="7">
        <v>300</v>
      </c>
      <c r="BL263" s="20"/>
      <c r="BM263" s="20"/>
      <c r="BN263" s="20">
        <v>1</v>
      </c>
      <c r="BO263" s="20">
        <v>2500</v>
      </c>
      <c r="BP263" s="20">
        <v>2</v>
      </c>
      <c r="BQ263" s="20">
        <v>2500</v>
      </c>
      <c r="BR263" s="20" t="s">
        <v>156</v>
      </c>
    </row>
    <row r="264" s="7" customFormat="1" ht="16.5" spans="1:70">
      <c r="A264" s="15">
        <f>60000000+INDEX(编号表!$B:$B,MATCH(I264,编号表!$A:$A,0))*10000+INDEX(编号表!$B:$B,MATCH(J264,编号表!$C:$C,0))*1000+K264</f>
        <v>60324000</v>
      </c>
      <c r="B264" s="15" t="s">
        <v>756</v>
      </c>
      <c r="C264" s="15" t="s">
        <v>750</v>
      </c>
      <c r="D264" s="15" t="s">
        <v>755</v>
      </c>
      <c r="E264" s="15">
        <v>52</v>
      </c>
      <c r="F264" s="15" t="str" cm="1">
        <f t="array" ref="F264">INDEX(编号表!$E:$E,MATCH(J264,编号表!$C:$C,0))</f>
        <v>橙色</v>
      </c>
      <c r="G264" s="15">
        <v>36</v>
      </c>
      <c r="H264" s="15" t="s">
        <v>738</v>
      </c>
      <c r="I264" s="15" t="s">
        <v>738</v>
      </c>
      <c r="J264" s="15" t="s">
        <v>233</v>
      </c>
      <c r="K264" s="7">
        <v>0</v>
      </c>
      <c r="L264" s="7">
        <f>COUNTIFS(I$11:I264,I264,J$11:J264,J264)-1</f>
        <v>0</v>
      </c>
      <c r="O264" s="7">
        <v>10</v>
      </c>
      <c r="P264" s="7">
        <v>300000</v>
      </c>
      <c r="Q264" s="7" t="s">
        <v>138</v>
      </c>
      <c r="R264" s="21">
        <v>40140008</v>
      </c>
      <c r="S264" s="7"/>
      <c r="T264" s="7"/>
      <c r="U264" s="7">
        <v>11010001</v>
      </c>
      <c r="V264" s="7">
        <v>11020001</v>
      </c>
      <c r="X264" s="7" t="s">
        <v>139</v>
      </c>
      <c r="Y264" s="7" t="s">
        <v>751</v>
      </c>
      <c r="Z264" s="7">
        <v>1.5</v>
      </c>
      <c r="AA264" s="7">
        <v>80</v>
      </c>
      <c r="AB264" s="7">
        <v>80</v>
      </c>
      <c r="AC264" s="7">
        <v>20</v>
      </c>
      <c r="AD264" s="7">
        <v>30</v>
      </c>
      <c r="AE264" s="7" t="s">
        <v>141</v>
      </c>
      <c r="AF264" s="7"/>
      <c r="AG264" s="22" t="s">
        <v>234</v>
      </c>
      <c r="AI264" s="23">
        <v>10500</v>
      </c>
      <c r="AJ264" s="7" t="s">
        <v>142</v>
      </c>
      <c r="AK264" s="24">
        <v>188000</v>
      </c>
      <c r="AL264" s="7" t="s">
        <v>143</v>
      </c>
      <c r="AM264" s="7">
        <v>90</v>
      </c>
      <c r="AN264" s="7" t="s">
        <v>144</v>
      </c>
      <c r="AO264" s="7">
        <v>130</v>
      </c>
      <c r="AP264" s="7" t="s">
        <v>145</v>
      </c>
      <c r="AQ264" s="7">
        <v>85</v>
      </c>
      <c r="AR264" s="7" t="s">
        <v>146</v>
      </c>
      <c r="AS264" s="7">
        <v>125</v>
      </c>
      <c r="AT264" s="7" t="s">
        <v>147</v>
      </c>
      <c r="AU264" s="7">
        <v>270</v>
      </c>
      <c r="AV264" s="7" t="s">
        <v>148</v>
      </c>
      <c r="AW264" s="7">
        <v>370</v>
      </c>
      <c r="AX264" s="7" t="s">
        <v>149</v>
      </c>
      <c r="AY264" s="7">
        <v>270</v>
      </c>
      <c r="AZ264" s="7" t="s">
        <v>150</v>
      </c>
      <c r="BA264" s="7">
        <v>370</v>
      </c>
      <c r="BB264" s="7" t="s">
        <v>151</v>
      </c>
      <c r="BC264" s="7">
        <v>1</v>
      </c>
      <c r="BD264" s="7" t="s">
        <v>152</v>
      </c>
      <c r="BE264" s="7">
        <v>2</v>
      </c>
      <c r="BF264" s="7" t="s">
        <v>153</v>
      </c>
      <c r="BG264" s="7">
        <v>100</v>
      </c>
      <c r="BH264" s="7" t="s">
        <v>154</v>
      </c>
      <c r="BI264" s="7">
        <v>10</v>
      </c>
      <c r="BJ264" s="7" t="s">
        <v>155</v>
      </c>
      <c r="BK264" s="7">
        <v>300</v>
      </c>
      <c r="BL264" s="20"/>
      <c r="BM264" s="20"/>
      <c r="BN264" s="20">
        <v>1</v>
      </c>
      <c r="BO264" s="20">
        <v>2500</v>
      </c>
      <c r="BP264" s="20">
        <v>2</v>
      </c>
      <c r="BQ264" s="20">
        <v>2500</v>
      </c>
      <c r="BR264" s="20" t="s">
        <v>156</v>
      </c>
    </row>
    <row r="265" s="7" customFormat="1" ht="16.5" spans="1:70">
      <c r="A265" s="7">
        <f>60000000+INDEX(编号表!$B:$B,MATCH(I265,编号表!$A:$A,0))*10000+INDEX(编号表!$B:$B,MATCH(J265,编号表!$C:$C,0))*1000+K265</f>
        <v>60331000</v>
      </c>
      <c r="B265" s="7" t="s">
        <v>757</v>
      </c>
      <c r="C265" s="7" t="s">
        <v>721</v>
      </c>
      <c r="D265" s="7" t="s">
        <v>758</v>
      </c>
      <c r="E265" s="7">
        <v>52</v>
      </c>
      <c r="F265" s="7" t="str" cm="1">
        <f t="array" ref="F265">INDEX(编号表!$E:$E,MATCH(J265,编号表!$C:$C,0))</f>
        <v>白色</v>
      </c>
      <c r="G265" s="7">
        <v>37</v>
      </c>
      <c r="H265" s="7" t="s">
        <v>759</v>
      </c>
      <c r="I265" s="7" t="s">
        <v>759</v>
      </c>
      <c r="J265" s="7" t="s">
        <v>137</v>
      </c>
      <c r="K265" s="7">
        <v>0</v>
      </c>
      <c r="L265" s="7">
        <f>COUNTIFS(I$11:I265,I265,J$11:J265,J265)-1</f>
        <v>0</v>
      </c>
      <c r="O265" s="7">
        <v>10</v>
      </c>
      <c r="P265" s="7">
        <v>300000</v>
      </c>
      <c r="Q265" s="7" t="s">
        <v>138</v>
      </c>
      <c r="R265" s="21">
        <v>40140008</v>
      </c>
      <c r="S265" s="7"/>
      <c r="T265" s="7"/>
      <c r="U265" s="7">
        <v>11010001</v>
      </c>
      <c r="V265" s="7">
        <v>11020001</v>
      </c>
      <c r="X265" s="7" t="s">
        <v>139</v>
      </c>
      <c r="Y265" s="7" t="s">
        <v>722</v>
      </c>
      <c r="Z265" s="7"/>
      <c r="AA265" s="7">
        <v>80</v>
      </c>
      <c r="AB265" s="7">
        <v>80</v>
      </c>
      <c r="AC265" s="7">
        <v>20</v>
      </c>
      <c r="AD265" s="7">
        <v>30</v>
      </c>
      <c r="AE265" s="7" t="s">
        <v>141</v>
      </c>
      <c r="AF265" s="7"/>
      <c r="AG265" s="22"/>
      <c r="AI265" s="23">
        <v>530</v>
      </c>
      <c r="AJ265" s="7" t="s">
        <v>142</v>
      </c>
      <c r="AK265" s="24">
        <v>3900</v>
      </c>
      <c r="AL265" s="7" t="s">
        <v>143</v>
      </c>
      <c r="AM265" s="7">
        <v>34</v>
      </c>
      <c r="AN265" s="7" t="s">
        <v>144</v>
      </c>
      <c r="AO265" s="7">
        <v>49</v>
      </c>
      <c r="AP265" s="7" t="s">
        <v>145</v>
      </c>
      <c r="AQ265" s="7">
        <v>32</v>
      </c>
      <c r="AR265" s="7" t="s">
        <v>146</v>
      </c>
      <c r="AS265" s="7">
        <v>46</v>
      </c>
      <c r="AT265" s="7" t="s">
        <v>147</v>
      </c>
      <c r="AU265" s="7">
        <v>75</v>
      </c>
      <c r="AV265" s="7" t="s">
        <v>148</v>
      </c>
      <c r="AW265" s="7">
        <v>105</v>
      </c>
      <c r="AX265" s="7" t="s">
        <v>149</v>
      </c>
      <c r="AY265" s="7">
        <v>75</v>
      </c>
      <c r="AZ265" s="7" t="s">
        <v>150</v>
      </c>
      <c r="BA265" s="7">
        <v>105</v>
      </c>
      <c r="BB265" s="7" t="s">
        <v>151</v>
      </c>
      <c r="BC265" s="7">
        <v>1</v>
      </c>
      <c r="BD265" s="7" t="s">
        <v>152</v>
      </c>
      <c r="BE265" s="7">
        <v>2</v>
      </c>
      <c r="BF265" s="7" t="s">
        <v>153</v>
      </c>
      <c r="BG265" s="7">
        <v>100</v>
      </c>
      <c r="BH265" s="7" t="s">
        <v>154</v>
      </c>
      <c r="BI265" s="7">
        <v>10</v>
      </c>
      <c r="BJ265" s="7" t="s">
        <v>155</v>
      </c>
      <c r="BK265" s="7">
        <v>300</v>
      </c>
      <c r="BL265" s="20"/>
      <c r="BM265" s="20"/>
      <c r="BN265" s="20">
        <v>1</v>
      </c>
      <c r="BO265" s="20">
        <v>2500</v>
      </c>
      <c r="BP265" s="20">
        <v>2</v>
      </c>
      <c r="BQ265" s="20">
        <v>2500</v>
      </c>
      <c r="BR265" s="20" t="s">
        <v>156</v>
      </c>
    </row>
    <row r="266" s="7" customFormat="1" ht="16.5" spans="1:70">
      <c r="A266" s="7">
        <f>60000000+INDEX(编号表!$B:$B,MATCH(I266,编号表!$A:$A,0))*10000+INDEX(编号表!$B:$B,MATCH(J266,编号表!$C:$C,0))*1000+K266</f>
        <v>60331001</v>
      </c>
      <c r="B266" s="7" t="s">
        <v>760</v>
      </c>
      <c r="C266" s="7" t="s">
        <v>724</v>
      </c>
      <c r="D266" s="7" t="s">
        <v>761</v>
      </c>
      <c r="E266" s="7">
        <v>52</v>
      </c>
      <c r="F266" s="7" t="str" cm="1">
        <f t="array" ref="F266">INDEX(编号表!$E:$E,MATCH(J266,编号表!$C:$C,0))</f>
        <v>白色</v>
      </c>
      <c r="G266" s="7">
        <v>37</v>
      </c>
      <c r="H266" s="7" t="s">
        <v>759</v>
      </c>
      <c r="I266" s="7" t="s">
        <v>759</v>
      </c>
      <c r="J266" s="7" t="s">
        <v>137</v>
      </c>
      <c r="K266" s="7">
        <v>1</v>
      </c>
      <c r="L266" s="7">
        <f>COUNTIFS(I$11:I266,I266,J$11:J266,J266)-1</f>
        <v>1</v>
      </c>
      <c r="O266" s="7">
        <v>10</v>
      </c>
      <c r="P266" s="7">
        <v>300000</v>
      </c>
      <c r="Q266" s="7" t="s">
        <v>138</v>
      </c>
      <c r="R266" s="21">
        <v>40140008</v>
      </c>
      <c r="S266" s="7"/>
      <c r="T266" s="7"/>
      <c r="U266" s="7">
        <v>11010001</v>
      </c>
      <c r="V266" s="7">
        <v>11020001</v>
      </c>
      <c r="X266" s="7" t="s">
        <v>139</v>
      </c>
      <c r="Y266" s="7" t="s">
        <v>725</v>
      </c>
      <c r="Z266" s="7"/>
      <c r="AA266" s="7">
        <v>80</v>
      </c>
      <c r="AB266" s="7">
        <v>80</v>
      </c>
      <c r="AC266" s="7">
        <v>20</v>
      </c>
      <c r="AD266" s="7">
        <v>30</v>
      </c>
      <c r="AE266" s="7" t="s">
        <v>141</v>
      </c>
      <c r="AF266" s="7"/>
      <c r="AG266" s="22"/>
      <c r="AI266" s="23">
        <v>530</v>
      </c>
      <c r="AJ266" s="7" t="s">
        <v>142</v>
      </c>
      <c r="AK266" s="24">
        <v>4500</v>
      </c>
      <c r="AL266" s="7" t="s">
        <v>143</v>
      </c>
      <c r="AM266" s="7">
        <v>39</v>
      </c>
      <c r="AN266" s="7" t="s">
        <v>144</v>
      </c>
      <c r="AO266" s="7">
        <v>55</v>
      </c>
      <c r="AP266" s="7" t="s">
        <v>145</v>
      </c>
      <c r="AQ266" s="7">
        <v>37</v>
      </c>
      <c r="AR266" s="7" t="s">
        <v>146</v>
      </c>
      <c r="AS266" s="7">
        <v>55</v>
      </c>
      <c r="AT266" s="7" t="s">
        <v>147</v>
      </c>
      <c r="AU266" s="7">
        <v>80</v>
      </c>
      <c r="AV266" s="7" t="s">
        <v>148</v>
      </c>
      <c r="AW266" s="7">
        <v>110</v>
      </c>
      <c r="AX266" s="7" t="s">
        <v>149</v>
      </c>
      <c r="AY266" s="7">
        <v>80</v>
      </c>
      <c r="AZ266" s="7" t="s">
        <v>150</v>
      </c>
      <c r="BA266" s="7">
        <v>110</v>
      </c>
      <c r="BB266" s="7" t="s">
        <v>151</v>
      </c>
      <c r="BC266" s="7">
        <v>1</v>
      </c>
      <c r="BD266" s="7" t="s">
        <v>152</v>
      </c>
      <c r="BE266" s="7">
        <v>2</v>
      </c>
      <c r="BF266" s="7" t="s">
        <v>153</v>
      </c>
      <c r="BG266" s="7">
        <v>100</v>
      </c>
      <c r="BH266" s="7" t="s">
        <v>154</v>
      </c>
      <c r="BI266" s="7">
        <v>10</v>
      </c>
      <c r="BJ266" s="7" t="s">
        <v>155</v>
      </c>
      <c r="BK266" s="7">
        <v>300</v>
      </c>
      <c r="BL266" s="20"/>
      <c r="BM266" s="20"/>
      <c r="BN266" s="20">
        <v>1</v>
      </c>
      <c r="BO266" s="20">
        <v>2500</v>
      </c>
      <c r="BP266" s="20">
        <v>2</v>
      </c>
      <c r="BQ266" s="20">
        <v>2500</v>
      </c>
      <c r="BR266" s="20" t="s">
        <v>156</v>
      </c>
    </row>
    <row r="267" s="7" customFormat="1" ht="16.5" spans="1:70">
      <c r="A267" s="7">
        <f>60000000+INDEX(编号表!$B:$B,MATCH(I267,编号表!$A:$A,0))*10000+INDEX(编号表!$B:$B,MATCH(J267,编号表!$C:$C,0))*1000+K267</f>
        <v>60331002</v>
      </c>
      <c r="B267" s="7" t="s">
        <v>762</v>
      </c>
      <c r="C267" s="7" t="s">
        <v>727</v>
      </c>
      <c r="D267" s="7" t="s">
        <v>763</v>
      </c>
      <c r="E267" s="7">
        <v>52</v>
      </c>
      <c r="F267" s="7" t="str" cm="1">
        <f t="array" ref="F267">INDEX(编号表!$E:$E,MATCH(J267,编号表!$C:$C,0))</f>
        <v>白色</v>
      </c>
      <c r="G267" s="7">
        <v>37</v>
      </c>
      <c r="H267" s="7" t="s">
        <v>759</v>
      </c>
      <c r="I267" s="7" t="s">
        <v>759</v>
      </c>
      <c r="J267" s="7" t="s">
        <v>137</v>
      </c>
      <c r="K267" s="7">
        <v>2</v>
      </c>
      <c r="L267" s="7">
        <f>COUNTIFS(I$11:I267,I267,J$11:J267,J267)-1</f>
        <v>2</v>
      </c>
      <c r="O267" s="7">
        <v>10</v>
      </c>
      <c r="P267" s="7">
        <v>300000</v>
      </c>
      <c r="Q267" s="7" t="s">
        <v>138</v>
      </c>
      <c r="R267" s="21">
        <v>40140008</v>
      </c>
      <c r="S267" s="7"/>
      <c r="T267" s="7"/>
      <c r="U267" s="7">
        <v>11010001</v>
      </c>
      <c r="V267" s="7">
        <v>11020001</v>
      </c>
      <c r="X267" s="7" t="s">
        <v>139</v>
      </c>
      <c r="Y267" s="7" t="s">
        <v>728</v>
      </c>
      <c r="Z267" s="7"/>
      <c r="AA267" s="7">
        <v>80</v>
      </c>
      <c r="AB267" s="7">
        <v>80</v>
      </c>
      <c r="AC267" s="7">
        <v>20</v>
      </c>
      <c r="AD267" s="7">
        <v>30</v>
      </c>
      <c r="AE267" s="7" t="s">
        <v>206</v>
      </c>
      <c r="AF267" s="7" t="s">
        <v>729</v>
      </c>
      <c r="AG267" s="22"/>
      <c r="AI267" s="23">
        <v>530</v>
      </c>
      <c r="AJ267" s="7" t="s">
        <v>142</v>
      </c>
      <c r="AK267" s="24">
        <v>3600</v>
      </c>
      <c r="AL267" s="7" t="s">
        <v>143</v>
      </c>
      <c r="AM267" s="7">
        <v>31</v>
      </c>
      <c r="AN267" s="7" t="s">
        <v>144</v>
      </c>
      <c r="AO267" s="7">
        <v>44</v>
      </c>
      <c r="AP267" s="7" t="s">
        <v>145</v>
      </c>
      <c r="AQ267" s="7">
        <v>29</v>
      </c>
      <c r="AR267" s="7" t="s">
        <v>146</v>
      </c>
      <c r="AS267" s="7">
        <v>42</v>
      </c>
      <c r="AT267" s="7" t="s">
        <v>147</v>
      </c>
      <c r="AU267" s="7">
        <v>85</v>
      </c>
      <c r="AV267" s="7" t="s">
        <v>148</v>
      </c>
      <c r="AW267" s="7">
        <v>115</v>
      </c>
      <c r="AX267" s="7" t="s">
        <v>149</v>
      </c>
      <c r="AY267" s="7">
        <v>85</v>
      </c>
      <c r="AZ267" s="7" t="s">
        <v>150</v>
      </c>
      <c r="BA267" s="7">
        <v>115</v>
      </c>
      <c r="BB267" s="7" t="s">
        <v>151</v>
      </c>
      <c r="BC267" s="7">
        <v>1</v>
      </c>
      <c r="BD267" s="7" t="s">
        <v>152</v>
      </c>
      <c r="BE267" s="7">
        <v>2</v>
      </c>
      <c r="BF267" s="7" t="s">
        <v>153</v>
      </c>
      <c r="BG267" s="7">
        <v>100</v>
      </c>
      <c r="BH267" s="7" t="s">
        <v>154</v>
      </c>
      <c r="BI267" s="7">
        <v>300</v>
      </c>
      <c r="BJ267" s="7" t="s">
        <v>155</v>
      </c>
      <c r="BK267" s="7">
        <v>300</v>
      </c>
      <c r="BL267" s="20"/>
      <c r="BM267" s="20"/>
      <c r="BN267" s="20">
        <v>1</v>
      </c>
      <c r="BO267" s="20">
        <v>2500</v>
      </c>
      <c r="BP267" s="20">
        <v>2</v>
      </c>
      <c r="BQ267" s="20">
        <v>2500</v>
      </c>
      <c r="BR267" s="20" t="s">
        <v>156</v>
      </c>
    </row>
    <row r="268" s="7" customFormat="1" ht="16.5" spans="1:70">
      <c r="A268" s="7">
        <f>60000000+INDEX(编号表!$B:$B,MATCH(I268,编号表!$A:$A,0))*10000+INDEX(编号表!$B:$B,MATCH(J268,编号表!$C:$C,0))*1000+K268</f>
        <v>60331003</v>
      </c>
      <c r="B268" s="7" t="s">
        <v>764</v>
      </c>
      <c r="C268" s="7" t="s">
        <v>731</v>
      </c>
      <c r="D268" s="7" t="s">
        <v>765</v>
      </c>
      <c r="E268" s="7">
        <v>52</v>
      </c>
      <c r="F268" s="7" t="str" cm="1">
        <f t="array" ref="F268">INDEX(编号表!$E:$E,MATCH(J268,编号表!$C:$C,0))</f>
        <v>白色</v>
      </c>
      <c r="G268" s="7">
        <v>37</v>
      </c>
      <c r="H268" s="7" t="s">
        <v>759</v>
      </c>
      <c r="I268" s="7" t="s">
        <v>759</v>
      </c>
      <c r="J268" s="7" t="s">
        <v>137</v>
      </c>
      <c r="K268" s="7">
        <v>3</v>
      </c>
      <c r="L268" s="7">
        <f>COUNTIFS(I$11:I268,I268,J$11:J268,J268)-1</f>
        <v>3</v>
      </c>
      <c r="O268" s="7">
        <v>10</v>
      </c>
      <c r="P268" s="7">
        <v>300000</v>
      </c>
      <c r="Q268" s="7" t="s">
        <v>138</v>
      </c>
      <c r="R268" s="21">
        <v>40140008</v>
      </c>
      <c r="S268" s="7"/>
      <c r="T268" s="7"/>
      <c r="U268" s="7">
        <v>11010001</v>
      </c>
      <c r="V268" s="7">
        <v>11020001</v>
      </c>
      <c r="X268" s="7" t="s">
        <v>139</v>
      </c>
      <c r="Y268" s="7" t="s">
        <v>732</v>
      </c>
      <c r="Z268" s="7"/>
      <c r="AA268" s="7">
        <v>80</v>
      </c>
      <c r="AB268" s="7">
        <v>80</v>
      </c>
      <c r="AC268" s="7">
        <v>20</v>
      </c>
      <c r="AD268" s="7">
        <v>30</v>
      </c>
      <c r="AE268" s="7" t="s">
        <v>141</v>
      </c>
      <c r="AF268" s="7"/>
      <c r="AG268" s="22"/>
      <c r="AI268" s="23">
        <v>530</v>
      </c>
      <c r="AJ268" s="7" t="s">
        <v>142</v>
      </c>
      <c r="AK268" s="24">
        <v>4500</v>
      </c>
      <c r="AL268" s="7" t="s">
        <v>143</v>
      </c>
      <c r="AM268" s="7">
        <v>39</v>
      </c>
      <c r="AN268" s="7" t="s">
        <v>144</v>
      </c>
      <c r="AO268" s="7">
        <v>55</v>
      </c>
      <c r="AP268" s="7" t="s">
        <v>145</v>
      </c>
      <c r="AQ268" s="7">
        <v>37</v>
      </c>
      <c r="AR268" s="7" t="s">
        <v>146</v>
      </c>
      <c r="AS268" s="7">
        <v>55</v>
      </c>
      <c r="AT268" s="7" t="s">
        <v>147</v>
      </c>
      <c r="AU268" s="7">
        <v>80</v>
      </c>
      <c r="AV268" s="7" t="s">
        <v>148</v>
      </c>
      <c r="AW268" s="7">
        <v>110</v>
      </c>
      <c r="AX268" s="7" t="s">
        <v>149</v>
      </c>
      <c r="AY268" s="7">
        <v>80</v>
      </c>
      <c r="AZ268" s="7" t="s">
        <v>150</v>
      </c>
      <c r="BA268" s="7">
        <v>110</v>
      </c>
      <c r="BB268" s="7" t="s">
        <v>151</v>
      </c>
      <c r="BC268" s="7">
        <v>1</v>
      </c>
      <c r="BD268" s="7" t="s">
        <v>152</v>
      </c>
      <c r="BE268" s="7">
        <v>2</v>
      </c>
      <c r="BF268" s="7" t="s">
        <v>153</v>
      </c>
      <c r="BG268" s="7">
        <v>100</v>
      </c>
      <c r="BH268" s="7" t="s">
        <v>154</v>
      </c>
      <c r="BI268" s="7">
        <v>10</v>
      </c>
      <c r="BJ268" s="7" t="s">
        <v>155</v>
      </c>
      <c r="BK268" s="7">
        <v>300</v>
      </c>
      <c r="BL268" s="20"/>
      <c r="BM268" s="20"/>
      <c r="BN268" s="20">
        <v>1</v>
      </c>
      <c r="BO268" s="20">
        <v>2500</v>
      </c>
      <c r="BP268" s="20">
        <v>2</v>
      </c>
      <c r="BQ268" s="20">
        <v>2500</v>
      </c>
      <c r="BR268" s="20" t="s">
        <v>156</v>
      </c>
    </row>
    <row r="269" s="7" customFormat="1" ht="16.5" spans="1:70">
      <c r="A269" s="7">
        <f>60000000+INDEX(编号表!$B:$B,MATCH(I269,编号表!$A:$A,0))*10000+INDEX(编号表!$B:$B,MATCH(J269,编号表!$C:$C,0))*1000+K269</f>
        <v>60331004</v>
      </c>
      <c r="B269" s="7" t="s">
        <v>766</v>
      </c>
      <c r="C269" s="7" t="s">
        <v>746</v>
      </c>
      <c r="D269" s="7" t="s">
        <v>767</v>
      </c>
      <c r="E269" s="7">
        <v>52</v>
      </c>
      <c r="F269" s="7" t="str" cm="1">
        <f t="array" ref="F269">INDEX(编号表!$E:$E,MATCH(J269,编号表!$C:$C,0))</f>
        <v>白色</v>
      </c>
      <c r="G269" s="7">
        <v>37</v>
      </c>
      <c r="H269" s="7" t="s">
        <v>759</v>
      </c>
      <c r="I269" s="7" t="s">
        <v>759</v>
      </c>
      <c r="J269" s="7" t="s">
        <v>137</v>
      </c>
      <c r="K269" s="7">
        <v>4</v>
      </c>
      <c r="L269" s="7">
        <f>COUNTIFS(I$11:I269,I269,J$11:J269,J269)-1</f>
        <v>4</v>
      </c>
      <c r="O269" s="7">
        <v>10</v>
      </c>
      <c r="P269" s="7">
        <v>300000</v>
      </c>
      <c r="Q269" s="7" t="s">
        <v>138</v>
      </c>
      <c r="R269" s="21">
        <v>40140008</v>
      </c>
      <c r="S269" s="7"/>
      <c r="T269" s="7"/>
      <c r="U269" s="7">
        <v>11010001</v>
      </c>
      <c r="V269" s="7">
        <v>11020001</v>
      </c>
      <c r="X269" s="7" t="s">
        <v>139</v>
      </c>
      <c r="Y269" s="7" t="s">
        <v>747</v>
      </c>
      <c r="Z269" s="7"/>
      <c r="AA269" s="7">
        <v>80</v>
      </c>
      <c r="AB269" s="7">
        <v>80</v>
      </c>
      <c r="AC269" s="7">
        <v>20</v>
      </c>
      <c r="AD269" s="7">
        <v>30</v>
      </c>
      <c r="AE269" s="7" t="s">
        <v>206</v>
      </c>
      <c r="AF269" s="7" t="s">
        <v>748</v>
      </c>
      <c r="AG269" s="22"/>
      <c r="AI269" s="23">
        <v>530</v>
      </c>
      <c r="AJ269" s="7" t="s">
        <v>142</v>
      </c>
      <c r="AK269" s="24">
        <v>3600</v>
      </c>
      <c r="AL269" s="7" t="s">
        <v>143</v>
      </c>
      <c r="AM269" s="7">
        <v>31</v>
      </c>
      <c r="AN269" s="7" t="s">
        <v>144</v>
      </c>
      <c r="AO269" s="7">
        <v>44</v>
      </c>
      <c r="AP269" s="7" t="s">
        <v>145</v>
      </c>
      <c r="AQ269" s="7">
        <v>29</v>
      </c>
      <c r="AR269" s="7" t="s">
        <v>146</v>
      </c>
      <c r="AS269" s="7">
        <v>42</v>
      </c>
      <c r="AT269" s="7" t="s">
        <v>147</v>
      </c>
      <c r="AU269" s="7">
        <v>85</v>
      </c>
      <c r="AV269" s="7" t="s">
        <v>148</v>
      </c>
      <c r="AW269" s="7">
        <v>115</v>
      </c>
      <c r="AX269" s="7" t="s">
        <v>149</v>
      </c>
      <c r="AY269" s="7">
        <v>85</v>
      </c>
      <c r="AZ269" s="7" t="s">
        <v>150</v>
      </c>
      <c r="BA269" s="7">
        <v>115</v>
      </c>
      <c r="BB269" s="7" t="s">
        <v>151</v>
      </c>
      <c r="BC269" s="7">
        <v>1</v>
      </c>
      <c r="BD269" s="7" t="s">
        <v>152</v>
      </c>
      <c r="BE269" s="7">
        <v>2</v>
      </c>
      <c r="BF269" s="7" t="s">
        <v>153</v>
      </c>
      <c r="BG269" s="7">
        <v>100</v>
      </c>
      <c r="BH269" s="7" t="s">
        <v>154</v>
      </c>
      <c r="BI269" s="7">
        <v>300</v>
      </c>
      <c r="BJ269" s="7" t="s">
        <v>155</v>
      </c>
      <c r="BK269" s="7">
        <v>300</v>
      </c>
      <c r="BL269" s="20"/>
      <c r="BM269" s="20"/>
      <c r="BN269" s="20">
        <v>1</v>
      </c>
      <c r="BO269" s="20">
        <v>2500</v>
      </c>
      <c r="BP269" s="20">
        <v>2</v>
      </c>
      <c r="BQ269" s="20">
        <v>2500</v>
      </c>
      <c r="BR269" s="20" t="s">
        <v>156</v>
      </c>
    </row>
    <row r="270" s="7" customFormat="1" ht="16.5" spans="1:70">
      <c r="A270" s="7">
        <f>60000000+INDEX(编号表!$B:$B,MATCH(I270,编号表!$A:$A,0))*10000+INDEX(编号表!$B:$B,MATCH(J270,编号表!$C:$C,0))*1000+K270</f>
        <v>60331005</v>
      </c>
      <c r="B270" s="7" t="s">
        <v>768</v>
      </c>
      <c r="C270" s="7" t="s">
        <v>750</v>
      </c>
      <c r="D270" s="7" t="s">
        <v>769</v>
      </c>
      <c r="E270" s="7">
        <v>52</v>
      </c>
      <c r="F270" s="7" t="str" cm="1">
        <f t="array" ref="F270">INDEX(编号表!$E:$E,MATCH(J270,编号表!$C:$C,0))</f>
        <v>白色</v>
      </c>
      <c r="G270" s="7">
        <v>37</v>
      </c>
      <c r="H270" s="7" t="s">
        <v>759</v>
      </c>
      <c r="I270" s="7" t="s">
        <v>759</v>
      </c>
      <c r="J270" s="7" t="s">
        <v>137</v>
      </c>
      <c r="K270" s="7">
        <v>5</v>
      </c>
      <c r="L270" s="7">
        <f>COUNTIFS(I$11:I270,I270,J$11:J270,J270)-1</f>
        <v>5</v>
      </c>
      <c r="O270" s="7">
        <v>10</v>
      </c>
      <c r="P270" s="7">
        <v>300000</v>
      </c>
      <c r="Q270" s="7" t="s">
        <v>138</v>
      </c>
      <c r="R270" s="21">
        <v>40140008</v>
      </c>
      <c r="S270" s="7"/>
      <c r="T270" s="7"/>
      <c r="U270" s="7">
        <v>11010001</v>
      </c>
      <c r="V270" s="7">
        <v>11020001</v>
      </c>
      <c r="X270" s="7" t="s">
        <v>139</v>
      </c>
      <c r="Y270" s="7" t="s">
        <v>751</v>
      </c>
      <c r="Z270" s="7"/>
      <c r="AA270" s="7">
        <v>80</v>
      </c>
      <c r="AB270" s="7">
        <v>80</v>
      </c>
      <c r="AC270" s="7">
        <v>20</v>
      </c>
      <c r="AD270" s="7">
        <v>30</v>
      </c>
      <c r="AE270" s="7" t="s">
        <v>141</v>
      </c>
      <c r="AF270" s="7"/>
      <c r="AG270" s="22"/>
      <c r="AI270" s="23">
        <v>530</v>
      </c>
      <c r="AJ270" s="7" t="s">
        <v>142</v>
      </c>
      <c r="AK270" s="24">
        <v>4500</v>
      </c>
      <c r="AL270" s="7" t="s">
        <v>143</v>
      </c>
      <c r="AM270" s="7">
        <v>39</v>
      </c>
      <c r="AN270" s="7" t="s">
        <v>144</v>
      </c>
      <c r="AO270" s="7">
        <v>55</v>
      </c>
      <c r="AP270" s="7" t="s">
        <v>145</v>
      </c>
      <c r="AQ270" s="7">
        <v>37</v>
      </c>
      <c r="AR270" s="7" t="s">
        <v>146</v>
      </c>
      <c r="AS270" s="7">
        <v>55</v>
      </c>
      <c r="AT270" s="7" t="s">
        <v>147</v>
      </c>
      <c r="AU270" s="7">
        <v>80</v>
      </c>
      <c r="AV270" s="7" t="s">
        <v>148</v>
      </c>
      <c r="AW270" s="7">
        <v>110</v>
      </c>
      <c r="AX270" s="7" t="s">
        <v>149</v>
      </c>
      <c r="AY270" s="7">
        <v>80</v>
      </c>
      <c r="AZ270" s="7" t="s">
        <v>150</v>
      </c>
      <c r="BA270" s="7">
        <v>110</v>
      </c>
      <c r="BB270" s="7" t="s">
        <v>151</v>
      </c>
      <c r="BC270" s="7">
        <v>1</v>
      </c>
      <c r="BD270" s="7" t="s">
        <v>152</v>
      </c>
      <c r="BE270" s="7">
        <v>2</v>
      </c>
      <c r="BF270" s="7" t="s">
        <v>153</v>
      </c>
      <c r="BG270" s="7">
        <v>100</v>
      </c>
      <c r="BH270" s="7" t="s">
        <v>154</v>
      </c>
      <c r="BI270" s="7">
        <v>10</v>
      </c>
      <c r="BJ270" s="7" t="s">
        <v>155</v>
      </c>
      <c r="BK270" s="7">
        <v>300</v>
      </c>
      <c r="BL270" s="20"/>
      <c r="BM270" s="20"/>
      <c r="BN270" s="20">
        <v>1</v>
      </c>
      <c r="BO270" s="20">
        <v>2500</v>
      </c>
      <c r="BP270" s="20">
        <v>2</v>
      </c>
      <c r="BQ270" s="20">
        <v>2500</v>
      </c>
      <c r="BR270" s="20" t="s">
        <v>156</v>
      </c>
    </row>
    <row r="271" s="7" customFormat="1" ht="16.5" spans="1:70">
      <c r="A271" s="7">
        <f>60000000+INDEX(编号表!$B:$B,MATCH(I271,编号表!$A:$A,0))*10000+INDEX(编号表!$B:$B,MATCH(J271,编号表!$C:$C,0))*1000+K271</f>
        <v>60332000</v>
      </c>
      <c r="B271" s="7" t="s">
        <v>770</v>
      </c>
      <c r="C271" s="7" t="s">
        <v>731</v>
      </c>
      <c r="D271" s="7" t="s">
        <v>771</v>
      </c>
      <c r="E271" s="7">
        <v>53</v>
      </c>
      <c r="F271" s="7" t="str" cm="1">
        <f t="array" ref="F271">INDEX(编号表!$E:$E,MATCH(J271,编号表!$C:$C,0))</f>
        <v>绿色</v>
      </c>
      <c r="G271" s="7">
        <v>37</v>
      </c>
      <c r="H271" s="7" t="s">
        <v>759</v>
      </c>
      <c r="I271" s="7" t="s">
        <v>759</v>
      </c>
      <c r="J271" s="7" t="s">
        <v>221</v>
      </c>
      <c r="K271" s="7">
        <v>0</v>
      </c>
      <c r="L271" s="7">
        <f>COUNTIFS(I$11:I271,I271,J$11:J271,J271)-1</f>
        <v>0</v>
      </c>
      <c r="O271" s="7">
        <v>10</v>
      </c>
      <c r="P271" s="7">
        <v>300000</v>
      </c>
      <c r="Q271" s="7" t="s">
        <v>138</v>
      </c>
      <c r="R271" s="21">
        <v>40140008</v>
      </c>
      <c r="S271" s="7"/>
      <c r="T271" s="7"/>
      <c r="U271" s="7">
        <v>11010001</v>
      </c>
      <c r="V271" s="7">
        <v>11020001</v>
      </c>
      <c r="X271" s="7" t="s">
        <v>139</v>
      </c>
      <c r="Y271" s="7" t="s">
        <v>732</v>
      </c>
      <c r="Z271" s="7"/>
      <c r="AA271" s="7">
        <v>80</v>
      </c>
      <c r="AB271" s="7">
        <v>80</v>
      </c>
      <c r="AC271" s="7">
        <v>20</v>
      </c>
      <c r="AD271" s="7">
        <v>30</v>
      </c>
      <c r="AE271" s="7" t="s">
        <v>141</v>
      </c>
      <c r="AF271" s="7"/>
      <c r="AG271" s="22" t="s">
        <v>222</v>
      </c>
      <c r="AI271" s="23">
        <v>2200</v>
      </c>
      <c r="AJ271" s="7" t="s">
        <v>142</v>
      </c>
      <c r="AK271" s="24">
        <v>28000</v>
      </c>
      <c r="AL271" s="7" t="s">
        <v>143</v>
      </c>
      <c r="AM271" s="7">
        <v>65</v>
      </c>
      <c r="AN271" s="7" t="s">
        <v>144</v>
      </c>
      <c r="AO271" s="7">
        <v>90</v>
      </c>
      <c r="AP271" s="7" t="s">
        <v>145</v>
      </c>
      <c r="AQ271" s="7">
        <v>60</v>
      </c>
      <c r="AR271" s="7" t="s">
        <v>146</v>
      </c>
      <c r="AS271" s="7">
        <v>90</v>
      </c>
      <c r="AT271" s="7" t="s">
        <v>147</v>
      </c>
      <c r="AU271" s="7">
        <v>175</v>
      </c>
      <c r="AV271" s="7" t="s">
        <v>148</v>
      </c>
      <c r="AW271" s="7">
        <v>240</v>
      </c>
      <c r="AX271" s="7" t="s">
        <v>149</v>
      </c>
      <c r="AY271" s="7">
        <v>175</v>
      </c>
      <c r="AZ271" s="7" t="s">
        <v>150</v>
      </c>
      <c r="BA271" s="7">
        <v>240</v>
      </c>
      <c r="BB271" s="7" t="s">
        <v>151</v>
      </c>
      <c r="BC271" s="7">
        <v>1</v>
      </c>
      <c r="BD271" s="7" t="s">
        <v>152</v>
      </c>
      <c r="BE271" s="7">
        <v>2</v>
      </c>
      <c r="BF271" s="7" t="s">
        <v>153</v>
      </c>
      <c r="BG271" s="7">
        <v>100</v>
      </c>
      <c r="BH271" s="7" t="s">
        <v>154</v>
      </c>
      <c r="BI271" s="7">
        <v>10</v>
      </c>
      <c r="BJ271" s="7" t="s">
        <v>155</v>
      </c>
      <c r="BK271" s="7">
        <v>300</v>
      </c>
      <c r="BL271" s="20"/>
      <c r="BM271" s="20"/>
      <c r="BN271" s="20">
        <v>1</v>
      </c>
      <c r="BO271" s="20">
        <v>2500</v>
      </c>
      <c r="BP271" s="20">
        <v>2</v>
      </c>
      <c r="BQ271" s="20">
        <v>2500</v>
      </c>
      <c r="BR271" s="20" t="s">
        <v>156</v>
      </c>
    </row>
    <row r="272" s="7" customFormat="1" ht="16.5" spans="1:70">
      <c r="A272" s="7">
        <f>60000000+INDEX(编号表!$B:$B,MATCH(I272,编号表!$A:$A,0))*10000+INDEX(编号表!$B:$B,MATCH(J272,编号表!$C:$C,0))*1000+K272</f>
        <v>60332001</v>
      </c>
      <c r="B272" s="7" t="s">
        <v>772</v>
      </c>
      <c r="C272" s="7" t="s">
        <v>750</v>
      </c>
      <c r="D272" s="7" t="s">
        <v>773</v>
      </c>
      <c r="E272" s="7">
        <v>53</v>
      </c>
      <c r="F272" s="7" t="str" cm="1">
        <f t="array" ref="F272">INDEX(编号表!$E:$E,MATCH(J272,编号表!$C:$C,0))</f>
        <v>绿色</v>
      </c>
      <c r="G272" s="7">
        <v>37</v>
      </c>
      <c r="H272" s="7" t="s">
        <v>759</v>
      </c>
      <c r="I272" s="7" t="s">
        <v>759</v>
      </c>
      <c r="J272" s="7" t="s">
        <v>221</v>
      </c>
      <c r="K272" s="7">
        <v>1</v>
      </c>
      <c r="L272" s="7">
        <f>COUNTIFS(I$11:I272,I272,J$11:J272,J272)-1</f>
        <v>1</v>
      </c>
      <c r="O272" s="7">
        <v>10</v>
      </c>
      <c r="P272" s="7">
        <v>300000</v>
      </c>
      <c r="Q272" s="7" t="s">
        <v>138</v>
      </c>
      <c r="R272" s="21">
        <v>40140008</v>
      </c>
      <c r="S272" s="7"/>
      <c r="T272" s="7"/>
      <c r="U272" s="7">
        <v>11010001</v>
      </c>
      <c r="V272" s="7">
        <v>11020001</v>
      </c>
      <c r="X272" s="7" t="s">
        <v>139</v>
      </c>
      <c r="Y272" s="7" t="s">
        <v>751</v>
      </c>
      <c r="Z272" s="7"/>
      <c r="AA272" s="7">
        <v>80</v>
      </c>
      <c r="AB272" s="7">
        <v>80</v>
      </c>
      <c r="AC272" s="7">
        <v>20</v>
      </c>
      <c r="AD272" s="7">
        <v>30</v>
      </c>
      <c r="AE272" s="7" t="s">
        <v>141</v>
      </c>
      <c r="AF272" s="7"/>
      <c r="AG272" s="22" t="s">
        <v>222</v>
      </c>
      <c r="AI272" s="23">
        <v>2200</v>
      </c>
      <c r="AJ272" s="7" t="s">
        <v>142</v>
      </c>
      <c r="AK272" s="24">
        <v>28000</v>
      </c>
      <c r="AL272" s="7" t="s">
        <v>143</v>
      </c>
      <c r="AM272" s="7">
        <v>65</v>
      </c>
      <c r="AN272" s="7" t="s">
        <v>144</v>
      </c>
      <c r="AO272" s="7">
        <v>90</v>
      </c>
      <c r="AP272" s="7" t="s">
        <v>145</v>
      </c>
      <c r="AQ272" s="7">
        <v>60</v>
      </c>
      <c r="AR272" s="7" t="s">
        <v>146</v>
      </c>
      <c r="AS272" s="7">
        <v>90</v>
      </c>
      <c r="AT272" s="7" t="s">
        <v>147</v>
      </c>
      <c r="AU272" s="7">
        <v>175</v>
      </c>
      <c r="AV272" s="7" t="s">
        <v>148</v>
      </c>
      <c r="AW272" s="7">
        <v>240</v>
      </c>
      <c r="AX272" s="7" t="s">
        <v>149</v>
      </c>
      <c r="AY272" s="7">
        <v>175</v>
      </c>
      <c r="AZ272" s="7" t="s">
        <v>150</v>
      </c>
      <c r="BA272" s="7">
        <v>240</v>
      </c>
      <c r="BB272" s="7" t="s">
        <v>151</v>
      </c>
      <c r="BC272" s="7">
        <v>1</v>
      </c>
      <c r="BD272" s="7" t="s">
        <v>152</v>
      </c>
      <c r="BE272" s="7">
        <v>2</v>
      </c>
      <c r="BF272" s="7" t="s">
        <v>153</v>
      </c>
      <c r="BG272" s="7">
        <v>100</v>
      </c>
      <c r="BH272" s="7" t="s">
        <v>154</v>
      </c>
      <c r="BI272" s="7">
        <v>10</v>
      </c>
      <c r="BJ272" s="7" t="s">
        <v>155</v>
      </c>
      <c r="BK272" s="7">
        <v>300</v>
      </c>
      <c r="BL272" s="20"/>
      <c r="BM272" s="20"/>
      <c r="BN272" s="20">
        <v>1</v>
      </c>
      <c r="BO272" s="20">
        <v>2500</v>
      </c>
      <c r="BP272" s="20">
        <v>2</v>
      </c>
      <c r="BQ272" s="20">
        <v>2500</v>
      </c>
      <c r="BR272" s="20" t="s">
        <v>156</v>
      </c>
    </row>
    <row r="273" s="7" customFormat="1" ht="16.5" spans="1:70">
      <c r="A273" s="7">
        <f>60000000+INDEX(编号表!$B:$B,MATCH(I273,编号表!$A:$A,0))*10000+INDEX(编号表!$B:$B,MATCH(J273,编号表!$C:$C,0))*1000+K273</f>
        <v>60334000</v>
      </c>
      <c r="B273" s="7" t="s">
        <v>774</v>
      </c>
      <c r="C273" s="7" t="s">
        <v>775</v>
      </c>
      <c r="D273" s="7" t="s">
        <v>775</v>
      </c>
      <c r="E273" s="7">
        <v>53</v>
      </c>
      <c r="F273" s="7" t="str" cm="1">
        <f t="array" ref="F273">INDEX(编号表!$E:$E,MATCH(J273,编号表!$C:$C,0))</f>
        <v>橙色</v>
      </c>
      <c r="G273" s="7">
        <v>37</v>
      </c>
      <c r="H273" s="7" t="s">
        <v>759</v>
      </c>
      <c r="I273" s="7" t="s">
        <v>759</v>
      </c>
      <c r="J273" s="7" t="s">
        <v>233</v>
      </c>
      <c r="K273" s="7">
        <v>0</v>
      </c>
      <c r="L273" s="7">
        <f>COUNTIFS(I$11:I273,I273,J$11:J273,J273)-1</f>
        <v>0</v>
      </c>
      <c r="O273" s="7">
        <v>10</v>
      </c>
      <c r="P273" s="7">
        <v>300000</v>
      </c>
      <c r="Q273" s="7" t="s">
        <v>138</v>
      </c>
      <c r="R273" s="21">
        <v>40140008</v>
      </c>
      <c r="S273" s="7"/>
      <c r="T273" s="7"/>
      <c r="U273" s="7">
        <v>11010001</v>
      </c>
      <c r="V273" s="7">
        <v>11020001</v>
      </c>
      <c r="X273" s="7" t="s">
        <v>139</v>
      </c>
      <c r="Y273" s="7" t="s">
        <v>776</v>
      </c>
      <c r="Z273" s="7">
        <v>1.5</v>
      </c>
      <c r="AA273" s="7">
        <v>100</v>
      </c>
      <c r="AB273" s="7">
        <v>100</v>
      </c>
      <c r="AC273" s="7">
        <v>20</v>
      </c>
      <c r="AD273" s="7">
        <v>30</v>
      </c>
      <c r="AE273" s="7" t="s">
        <v>141</v>
      </c>
      <c r="AF273" s="7"/>
      <c r="AG273" s="22" t="s">
        <v>234</v>
      </c>
      <c r="AI273" s="23">
        <v>11000</v>
      </c>
      <c r="AJ273" s="7" t="s">
        <v>142</v>
      </c>
      <c r="AK273" s="24">
        <v>271000</v>
      </c>
      <c r="AL273" s="7" t="s">
        <v>143</v>
      </c>
      <c r="AM273" s="7">
        <v>95</v>
      </c>
      <c r="AN273" s="7" t="s">
        <v>144</v>
      </c>
      <c r="AO273" s="7">
        <v>140</v>
      </c>
      <c r="AP273" s="7" t="s">
        <v>145</v>
      </c>
      <c r="AQ273" s="7">
        <v>90</v>
      </c>
      <c r="AR273" s="7" t="s">
        <v>146</v>
      </c>
      <c r="AS273" s="7">
        <v>130</v>
      </c>
      <c r="AT273" s="7" t="s">
        <v>147</v>
      </c>
      <c r="AU273" s="7">
        <v>350</v>
      </c>
      <c r="AV273" s="7" t="s">
        <v>148</v>
      </c>
      <c r="AW273" s="7">
        <v>470</v>
      </c>
      <c r="AX273" s="7" t="s">
        <v>149</v>
      </c>
      <c r="AY273" s="7">
        <v>350</v>
      </c>
      <c r="AZ273" s="7" t="s">
        <v>150</v>
      </c>
      <c r="BA273" s="7">
        <v>470</v>
      </c>
      <c r="BB273" s="7" t="s">
        <v>151</v>
      </c>
      <c r="BC273" s="7">
        <v>1</v>
      </c>
      <c r="BD273" s="7" t="s">
        <v>152</v>
      </c>
      <c r="BE273" s="7">
        <v>2</v>
      </c>
      <c r="BF273" s="7" t="s">
        <v>153</v>
      </c>
      <c r="BG273" s="7">
        <v>100</v>
      </c>
      <c r="BH273" s="7" t="s">
        <v>154</v>
      </c>
      <c r="BI273" s="7">
        <v>10</v>
      </c>
      <c r="BJ273" s="7" t="s">
        <v>155</v>
      </c>
      <c r="BK273" s="7">
        <v>300</v>
      </c>
      <c r="BL273" s="20"/>
      <c r="BM273" s="20"/>
      <c r="BN273" s="20">
        <v>1</v>
      </c>
      <c r="BO273" s="20">
        <v>2500</v>
      </c>
      <c r="BP273" s="20">
        <v>2</v>
      </c>
      <c r="BQ273" s="20">
        <v>2500</v>
      </c>
      <c r="BR273" s="20" t="s">
        <v>156</v>
      </c>
    </row>
    <row r="274" s="7" customFormat="1" ht="16.5" spans="1:70">
      <c r="A274" s="7">
        <f>60000000+INDEX(编号表!$B:$B,MATCH(I274,编号表!$A:$A,0))*10000+INDEX(编号表!$B:$B,MATCH(J274,编号表!$C:$C,0))*1000+K274</f>
        <v>60341000</v>
      </c>
      <c r="B274" s="7" t="s">
        <v>777</v>
      </c>
      <c r="C274" s="7" t="s">
        <v>778</v>
      </c>
      <c r="D274" s="7" t="s">
        <v>778</v>
      </c>
      <c r="E274" s="7">
        <v>53</v>
      </c>
      <c r="F274" s="7" t="str" cm="1">
        <f t="array" ref="F274">INDEX(编号表!$E:$E,MATCH(J274,编号表!$C:$C,0))</f>
        <v>白色</v>
      </c>
      <c r="G274" s="7">
        <v>38</v>
      </c>
      <c r="H274" s="7" t="s">
        <v>779</v>
      </c>
      <c r="I274" s="7" t="s">
        <v>779</v>
      </c>
      <c r="J274" s="7" t="s">
        <v>137</v>
      </c>
      <c r="K274" s="7">
        <v>0</v>
      </c>
      <c r="L274" s="7">
        <f>COUNTIFS(I$11:I274,I274,J$11:J274,J274)-1</f>
        <v>0</v>
      </c>
      <c r="O274" s="7">
        <v>10</v>
      </c>
      <c r="P274" s="7">
        <v>300000</v>
      </c>
      <c r="Q274" s="7" t="s">
        <v>138</v>
      </c>
      <c r="R274" s="21">
        <v>40140008</v>
      </c>
      <c r="S274" s="7"/>
      <c r="T274" s="7"/>
      <c r="U274" s="7">
        <v>11010001</v>
      </c>
      <c r="V274" s="7">
        <v>11020001</v>
      </c>
      <c r="X274" s="7" t="s">
        <v>139</v>
      </c>
      <c r="Y274" s="7" t="s">
        <v>780</v>
      </c>
      <c r="Z274" s="7"/>
      <c r="AA274" s="7">
        <v>80</v>
      </c>
      <c r="AB274" s="7">
        <v>80</v>
      </c>
      <c r="AC274" s="7">
        <v>20</v>
      </c>
      <c r="AD274" s="7">
        <v>30</v>
      </c>
      <c r="AE274" s="7" t="s">
        <v>141</v>
      </c>
      <c r="AF274" s="7"/>
      <c r="AG274" s="22"/>
      <c r="AI274" s="23">
        <v>560</v>
      </c>
      <c r="AJ274" s="7" t="s">
        <v>142</v>
      </c>
      <c r="AK274" s="24">
        <v>4050</v>
      </c>
      <c r="AL274" s="7" t="s">
        <v>143</v>
      </c>
      <c r="AM274" s="7">
        <v>35</v>
      </c>
      <c r="AN274" s="7" t="s">
        <v>144</v>
      </c>
      <c r="AO274" s="7">
        <v>50</v>
      </c>
      <c r="AP274" s="7" t="s">
        <v>145</v>
      </c>
      <c r="AQ274" s="7">
        <v>33</v>
      </c>
      <c r="AR274" s="7" t="s">
        <v>146</v>
      </c>
      <c r="AS274" s="7">
        <v>48</v>
      </c>
      <c r="AT274" s="7" t="s">
        <v>147</v>
      </c>
      <c r="AU274" s="7">
        <v>85</v>
      </c>
      <c r="AV274" s="7" t="s">
        <v>148</v>
      </c>
      <c r="AW274" s="7">
        <v>115</v>
      </c>
      <c r="AX274" s="7" t="s">
        <v>149</v>
      </c>
      <c r="AY274" s="7">
        <v>85</v>
      </c>
      <c r="AZ274" s="7" t="s">
        <v>150</v>
      </c>
      <c r="BA274" s="7">
        <v>115</v>
      </c>
      <c r="BB274" s="7" t="s">
        <v>151</v>
      </c>
      <c r="BC274" s="7">
        <v>1</v>
      </c>
      <c r="BD274" s="7" t="s">
        <v>152</v>
      </c>
      <c r="BE274" s="7">
        <v>2</v>
      </c>
      <c r="BF274" s="7" t="s">
        <v>153</v>
      </c>
      <c r="BG274" s="7">
        <v>100</v>
      </c>
      <c r="BH274" s="7" t="s">
        <v>154</v>
      </c>
      <c r="BI274" s="7">
        <v>10</v>
      </c>
      <c r="BJ274" s="7" t="s">
        <v>155</v>
      </c>
      <c r="BK274" s="7">
        <v>300</v>
      </c>
      <c r="BL274" s="20"/>
      <c r="BM274" s="20"/>
      <c r="BN274" s="20">
        <v>1</v>
      </c>
      <c r="BO274" s="20">
        <v>2500</v>
      </c>
      <c r="BP274" s="20">
        <v>2</v>
      </c>
      <c r="BQ274" s="20">
        <v>2500</v>
      </c>
      <c r="BR274" s="20" t="s">
        <v>156</v>
      </c>
    </row>
    <row r="275" s="7" customFormat="1" ht="16.5" spans="1:70">
      <c r="A275" s="7">
        <f>60000000+INDEX(编号表!$B:$B,MATCH(I275,编号表!$A:$A,0))*10000+INDEX(编号表!$B:$B,MATCH(J275,编号表!$C:$C,0))*1000+K275</f>
        <v>60341001</v>
      </c>
      <c r="B275" s="7" t="s">
        <v>781</v>
      </c>
      <c r="C275" s="7" t="s">
        <v>782</v>
      </c>
      <c r="D275" s="7" t="s">
        <v>782</v>
      </c>
      <c r="E275" s="7">
        <v>53</v>
      </c>
      <c r="F275" s="7" t="str" cm="1">
        <f t="array" ref="F275">INDEX(编号表!$E:$E,MATCH(J275,编号表!$C:$C,0))</f>
        <v>白色</v>
      </c>
      <c r="G275" s="7">
        <v>38</v>
      </c>
      <c r="H275" s="7" t="s">
        <v>779</v>
      </c>
      <c r="I275" s="7" t="s">
        <v>779</v>
      </c>
      <c r="J275" s="7" t="s">
        <v>137</v>
      </c>
      <c r="K275" s="7">
        <v>1</v>
      </c>
      <c r="L275" s="7">
        <f>COUNTIFS(I$11:I275,I275,J$11:J275,J275)-1</f>
        <v>1</v>
      </c>
      <c r="O275" s="7">
        <v>10</v>
      </c>
      <c r="P275" s="7">
        <v>300000</v>
      </c>
      <c r="Q275" s="7" t="s">
        <v>138</v>
      </c>
      <c r="R275" s="21">
        <v>40140008</v>
      </c>
      <c r="S275" s="7"/>
      <c r="T275" s="7"/>
      <c r="U275" s="7">
        <v>11010001</v>
      </c>
      <c r="V275" s="7">
        <v>11020001</v>
      </c>
      <c r="X275" s="7" t="s">
        <v>139</v>
      </c>
      <c r="Y275" s="7" t="s">
        <v>783</v>
      </c>
      <c r="Z275" s="7"/>
      <c r="AA275" s="7">
        <v>80</v>
      </c>
      <c r="AB275" s="7">
        <v>80</v>
      </c>
      <c r="AC275" s="7">
        <v>20</v>
      </c>
      <c r="AD275" s="7">
        <v>30</v>
      </c>
      <c r="AE275" s="7" t="s">
        <v>141</v>
      </c>
      <c r="AF275" s="7"/>
      <c r="AG275" s="22"/>
      <c r="AI275" s="23">
        <v>560</v>
      </c>
      <c r="AJ275" s="7" t="s">
        <v>142</v>
      </c>
      <c r="AK275" s="24">
        <v>4050</v>
      </c>
      <c r="AL275" s="7" t="s">
        <v>143</v>
      </c>
      <c r="AM275" s="7">
        <v>35</v>
      </c>
      <c r="AN275" s="7" t="s">
        <v>144</v>
      </c>
      <c r="AO275" s="7">
        <v>50</v>
      </c>
      <c r="AP275" s="7" t="s">
        <v>145</v>
      </c>
      <c r="AQ275" s="7">
        <v>33</v>
      </c>
      <c r="AR275" s="7" t="s">
        <v>146</v>
      </c>
      <c r="AS275" s="7">
        <v>48</v>
      </c>
      <c r="AT275" s="7" t="s">
        <v>147</v>
      </c>
      <c r="AU275" s="7">
        <v>85</v>
      </c>
      <c r="AV275" s="7" t="s">
        <v>148</v>
      </c>
      <c r="AW275" s="7">
        <v>115</v>
      </c>
      <c r="AX275" s="7" t="s">
        <v>149</v>
      </c>
      <c r="AY275" s="7">
        <v>85</v>
      </c>
      <c r="AZ275" s="7" t="s">
        <v>150</v>
      </c>
      <c r="BA275" s="7">
        <v>115</v>
      </c>
      <c r="BB275" s="7" t="s">
        <v>151</v>
      </c>
      <c r="BC275" s="7">
        <v>1</v>
      </c>
      <c r="BD275" s="7" t="s">
        <v>152</v>
      </c>
      <c r="BE275" s="7">
        <v>2</v>
      </c>
      <c r="BF275" s="7" t="s">
        <v>153</v>
      </c>
      <c r="BG275" s="7">
        <v>100</v>
      </c>
      <c r="BH275" s="7" t="s">
        <v>154</v>
      </c>
      <c r="BI275" s="7">
        <v>10</v>
      </c>
      <c r="BJ275" s="7" t="s">
        <v>155</v>
      </c>
      <c r="BK275" s="7">
        <v>300</v>
      </c>
      <c r="BL275" s="20"/>
      <c r="BM275" s="20"/>
      <c r="BN275" s="20">
        <v>1</v>
      </c>
      <c r="BO275" s="20">
        <v>2500</v>
      </c>
      <c r="BP275" s="20">
        <v>2</v>
      </c>
      <c r="BQ275" s="20">
        <v>2500</v>
      </c>
      <c r="BR275" s="20" t="s">
        <v>156</v>
      </c>
    </row>
    <row r="276" s="7" customFormat="1" ht="16.5" spans="1:70">
      <c r="A276" s="7">
        <f>60000000+INDEX(编号表!$B:$B,MATCH(I276,编号表!$A:$A,0))*10000+INDEX(编号表!$B:$B,MATCH(J276,编号表!$C:$C,0))*1000+K276</f>
        <v>60341002</v>
      </c>
      <c r="B276" s="7" t="s">
        <v>784</v>
      </c>
      <c r="C276" s="7" t="s">
        <v>785</v>
      </c>
      <c r="D276" s="7" t="s">
        <v>785</v>
      </c>
      <c r="E276" s="7">
        <v>53</v>
      </c>
      <c r="F276" s="7" t="str" cm="1">
        <f t="array" ref="F276">INDEX(编号表!$E:$E,MATCH(J276,编号表!$C:$C,0))</f>
        <v>白色</v>
      </c>
      <c r="G276" s="7">
        <v>38</v>
      </c>
      <c r="H276" s="7" t="s">
        <v>779</v>
      </c>
      <c r="I276" s="7" t="s">
        <v>779</v>
      </c>
      <c r="J276" s="7" t="s">
        <v>137</v>
      </c>
      <c r="K276" s="7">
        <v>2</v>
      </c>
      <c r="L276" s="7">
        <f>COUNTIFS(I$11:I276,I276,J$11:J276,J276)-1</f>
        <v>2</v>
      </c>
      <c r="O276" s="7">
        <v>10</v>
      </c>
      <c r="P276" s="7">
        <v>300000</v>
      </c>
      <c r="Q276" s="7" t="s">
        <v>138</v>
      </c>
      <c r="R276" s="21">
        <v>40140008</v>
      </c>
      <c r="S276" s="7"/>
      <c r="T276" s="7"/>
      <c r="U276" s="7">
        <v>11010001</v>
      </c>
      <c r="V276" s="7">
        <v>11020001</v>
      </c>
      <c r="X276" s="7" t="s">
        <v>139</v>
      </c>
      <c r="Y276" s="7" t="s">
        <v>786</v>
      </c>
      <c r="Z276" s="7"/>
      <c r="AA276" s="7">
        <v>80</v>
      </c>
      <c r="AB276" s="7">
        <v>80</v>
      </c>
      <c r="AC276" s="7">
        <v>20</v>
      </c>
      <c r="AD276" s="7">
        <v>30</v>
      </c>
      <c r="AE276" s="7" t="s">
        <v>141</v>
      </c>
      <c r="AF276" s="7"/>
      <c r="AG276" s="22"/>
      <c r="AI276" s="23">
        <v>560</v>
      </c>
      <c r="AJ276" s="7" t="s">
        <v>142</v>
      </c>
      <c r="AK276" s="24">
        <v>4050</v>
      </c>
      <c r="AL276" s="7" t="s">
        <v>143</v>
      </c>
      <c r="AM276" s="7">
        <v>35</v>
      </c>
      <c r="AN276" s="7" t="s">
        <v>144</v>
      </c>
      <c r="AO276" s="7">
        <v>50</v>
      </c>
      <c r="AP276" s="7" t="s">
        <v>145</v>
      </c>
      <c r="AQ276" s="7">
        <v>33</v>
      </c>
      <c r="AR276" s="7" t="s">
        <v>146</v>
      </c>
      <c r="AS276" s="7">
        <v>48</v>
      </c>
      <c r="AT276" s="7" t="s">
        <v>147</v>
      </c>
      <c r="AU276" s="7">
        <v>85</v>
      </c>
      <c r="AV276" s="7" t="s">
        <v>148</v>
      </c>
      <c r="AW276" s="7">
        <v>115</v>
      </c>
      <c r="AX276" s="7" t="s">
        <v>149</v>
      </c>
      <c r="AY276" s="7">
        <v>85</v>
      </c>
      <c r="AZ276" s="7" t="s">
        <v>150</v>
      </c>
      <c r="BA276" s="7">
        <v>115</v>
      </c>
      <c r="BB276" s="7" t="s">
        <v>151</v>
      </c>
      <c r="BC276" s="7">
        <v>1</v>
      </c>
      <c r="BD276" s="7" t="s">
        <v>152</v>
      </c>
      <c r="BE276" s="7">
        <v>2</v>
      </c>
      <c r="BF276" s="7" t="s">
        <v>153</v>
      </c>
      <c r="BG276" s="7">
        <v>100</v>
      </c>
      <c r="BH276" s="7" t="s">
        <v>154</v>
      </c>
      <c r="BI276" s="7">
        <v>10</v>
      </c>
      <c r="BJ276" s="7" t="s">
        <v>155</v>
      </c>
      <c r="BK276" s="7">
        <v>300</v>
      </c>
      <c r="BL276" s="20"/>
      <c r="BM276" s="20"/>
      <c r="BN276" s="20">
        <v>1</v>
      </c>
      <c r="BO276" s="20">
        <v>2500</v>
      </c>
      <c r="BP276" s="20">
        <v>2</v>
      </c>
      <c r="BQ276" s="20">
        <v>2500</v>
      </c>
      <c r="BR276" s="20" t="s">
        <v>156</v>
      </c>
    </row>
    <row r="277" s="7" customFormat="1" ht="16.5" spans="1:70">
      <c r="A277" s="7">
        <f>60000000+INDEX(编号表!$B:$B,MATCH(I277,编号表!$A:$A,0))*10000+INDEX(编号表!$B:$B,MATCH(J277,编号表!$C:$C,0))*1000+K277</f>
        <v>60341003</v>
      </c>
      <c r="B277" s="7" t="s">
        <v>787</v>
      </c>
      <c r="C277" s="7" t="s">
        <v>788</v>
      </c>
      <c r="D277" s="7" t="s">
        <v>788</v>
      </c>
      <c r="E277" s="7">
        <v>53</v>
      </c>
      <c r="F277" s="7" t="str" cm="1">
        <f t="array" ref="F277">INDEX(编号表!$E:$E,MATCH(J277,编号表!$C:$C,0))</f>
        <v>白色</v>
      </c>
      <c r="G277" s="7">
        <v>38</v>
      </c>
      <c r="H277" s="7" t="s">
        <v>779</v>
      </c>
      <c r="I277" s="7" t="s">
        <v>779</v>
      </c>
      <c r="J277" s="7" t="s">
        <v>137</v>
      </c>
      <c r="K277" s="7">
        <v>3</v>
      </c>
      <c r="L277" s="7">
        <f>COUNTIFS(I$11:I277,I277,J$11:J277,J277)-1</f>
        <v>3</v>
      </c>
      <c r="O277" s="7">
        <v>10</v>
      </c>
      <c r="P277" s="7">
        <v>300000</v>
      </c>
      <c r="Q277" s="7" t="s">
        <v>138</v>
      </c>
      <c r="R277" s="21">
        <v>40140008</v>
      </c>
      <c r="S277" s="7"/>
      <c r="T277" s="7"/>
      <c r="U277" s="7">
        <v>11010001</v>
      </c>
      <c r="V277" s="7">
        <v>11020001</v>
      </c>
      <c r="X277" s="7" t="s">
        <v>139</v>
      </c>
      <c r="Y277" s="7" t="s">
        <v>789</v>
      </c>
      <c r="Z277" s="7"/>
      <c r="AA277" s="7">
        <v>80</v>
      </c>
      <c r="AB277" s="7">
        <v>80</v>
      </c>
      <c r="AC277" s="7">
        <v>20</v>
      </c>
      <c r="AD277" s="7">
        <v>30</v>
      </c>
      <c r="AE277" s="7" t="s">
        <v>141</v>
      </c>
      <c r="AF277" s="7"/>
      <c r="AG277" s="22"/>
      <c r="AI277" s="23">
        <v>560</v>
      </c>
      <c r="AJ277" s="7" t="s">
        <v>142</v>
      </c>
      <c r="AK277" s="24">
        <v>4050</v>
      </c>
      <c r="AL277" s="7" t="s">
        <v>143</v>
      </c>
      <c r="AM277" s="7">
        <v>35</v>
      </c>
      <c r="AN277" s="7" t="s">
        <v>144</v>
      </c>
      <c r="AO277" s="7">
        <v>50</v>
      </c>
      <c r="AP277" s="7" t="s">
        <v>145</v>
      </c>
      <c r="AQ277" s="7">
        <v>33</v>
      </c>
      <c r="AR277" s="7" t="s">
        <v>146</v>
      </c>
      <c r="AS277" s="7">
        <v>48</v>
      </c>
      <c r="AT277" s="7" t="s">
        <v>147</v>
      </c>
      <c r="AU277" s="7">
        <v>85</v>
      </c>
      <c r="AV277" s="7" t="s">
        <v>148</v>
      </c>
      <c r="AW277" s="7">
        <v>115</v>
      </c>
      <c r="AX277" s="7" t="s">
        <v>149</v>
      </c>
      <c r="AY277" s="7">
        <v>85</v>
      </c>
      <c r="AZ277" s="7" t="s">
        <v>150</v>
      </c>
      <c r="BA277" s="7">
        <v>115</v>
      </c>
      <c r="BB277" s="7" t="s">
        <v>151</v>
      </c>
      <c r="BC277" s="7">
        <v>1</v>
      </c>
      <c r="BD277" s="7" t="s">
        <v>152</v>
      </c>
      <c r="BE277" s="7">
        <v>2</v>
      </c>
      <c r="BF277" s="7" t="s">
        <v>153</v>
      </c>
      <c r="BG277" s="7">
        <v>100</v>
      </c>
      <c r="BH277" s="7" t="s">
        <v>154</v>
      </c>
      <c r="BI277" s="7">
        <v>10</v>
      </c>
      <c r="BJ277" s="7" t="s">
        <v>155</v>
      </c>
      <c r="BK277" s="7">
        <v>300</v>
      </c>
      <c r="BL277" s="20"/>
      <c r="BM277" s="20"/>
      <c r="BN277" s="20">
        <v>1</v>
      </c>
      <c r="BO277" s="20">
        <v>2500</v>
      </c>
      <c r="BP277" s="20">
        <v>2</v>
      </c>
      <c r="BQ277" s="20">
        <v>2500</v>
      </c>
      <c r="BR277" s="20" t="s">
        <v>156</v>
      </c>
    </row>
    <row r="278" s="7" customFormat="1" ht="16.5" spans="1:70">
      <c r="A278" s="7">
        <f>60000000+INDEX(编号表!$B:$B,MATCH(I278,编号表!$A:$A,0))*10000+INDEX(编号表!$B:$B,MATCH(J278,编号表!$C:$C,0))*1000+K278</f>
        <v>60341004</v>
      </c>
      <c r="B278" s="7" t="s">
        <v>790</v>
      </c>
      <c r="C278" s="7" t="s">
        <v>791</v>
      </c>
      <c r="D278" s="7" t="s">
        <v>791</v>
      </c>
      <c r="E278" s="7">
        <v>53</v>
      </c>
      <c r="F278" s="7" t="str" cm="1">
        <f t="array" ref="F278">INDEX(编号表!$E:$E,MATCH(J278,编号表!$C:$C,0))</f>
        <v>白色</v>
      </c>
      <c r="G278" s="7">
        <v>38</v>
      </c>
      <c r="H278" s="7" t="s">
        <v>779</v>
      </c>
      <c r="I278" s="7" t="s">
        <v>779</v>
      </c>
      <c r="J278" s="7" t="s">
        <v>137</v>
      </c>
      <c r="K278" s="7">
        <v>4</v>
      </c>
      <c r="L278" s="7">
        <f>COUNTIFS(I$11:I278,I278,J$11:J278,J278)-1</f>
        <v>4</v>
      </c>
      <c r="O278" s="7">
        <v>10</v>
      </c>
      <c r="P278" s="7">
        <v>300000</v>
      </c>
      <c r="Q278" s="7" t="s">
        <v>138</v>
      </c>
      <c r="R278" s="21">
        <v>40140008</v>
      </c>
      <c r="S278" s="7"/>
      <c r="T278" s="7"/>
      <c r="U278" s="7">
        <v>11010001</v>
      </c>
      <c r="V278" s="7">
        <v>11020001</v>
      </c>
      <c r="X278" s="7" t="s">
        <v>139</v>
      </c>
      <c r="Y278" s="7" t="s">
        <v>792</v>
      </c>
      <c r="Z278" s="7"/>
      <c r="AA278" s="7">
        <v>80</v>
      </c>
      <c r="AB278" s="7">
        <v>80</v>
      </c>
      <c r="AC278" s="7">
        <v>20</v>
      </c>
      <c r="AD278" s="7">
        <v>30</v>
      </c>
      <c r="AE278" s="7" t="s">
        <v>141</v>
      </c>
      <c r="AF278" s="7"/>
      <c r="AG278" s="22"/>
      <c r="AI278" s="23">
        <v>560</v>
      </c>
      <c r="AJ278" s="7" t="s">
        <v>142</v>
      </c>
      <c r="AK278" s="24">
        <v>4050</v>
      </c>
      <c r="AL278" s="7" t="s">
        <v>143</v>
      </c>
      <c r="AM278" s="7">
        <v>35</v>
      </c>
      <c r="AN278" s="7" t="s">
        <v>144</v>
      </c>
      <c r="AO278" s="7">
        <v>50</v>
      </c>
      <c r="AP278" s="7" t="s">
        <v>145</v>
      </c>
      <c r="AQ278" s="7">
        <v>33</v>
      </c>
      <c r="AR278" s="7" t="s">
        <v>146</v>
      </c>
      <c r="AS278" s="7">
        <v>48</v>
      </c>
      <c r="AT278" s="7" t="s">
        <v>147</v>
      </c>
      <c r="AU278" s="7">
        <v>85</v>
      </c>
      <c r="AV278" s="7" t="s">
        <v>148</v>
      </c>
      <c r="AW278" s="7">
        <v>115</v>
      </c>
      <c r="AX278" s="7" t="s">
        <v>149</v>
      </c>
      <c r="AY278" s="7">
        <v>85</v>
      </c>
      <c r="AZ278" s="7" t="s">
        <v>150</v>
      </c>
      <c r="BA278" s="7">
        <v>115</v>
      </c>
      <c r="BB278" s="7" t="s">
        <v>151</v>
      </c>
      <c r="BC278" s="7">
        <v>1</v>
      </c>
      <c r="BD278" s="7" t="s">
        <v>152</v>
      </c>
      <c r="BE278" s="7">
        <v>2</v>
      </c>
      <c r="BF278" s="7" t="s">
        <v>153</v>
      </c>
      <c r="BG278" s="7">
        <v>100</v>
      </c>
      <c r="BH278" s="7" t="s">
        <v>154</v>
      </c>
      <c r="BI278" s="7">
        <v>10</v>
      </c>
      <c r="BJ278" s="7" t="s">
        <v>155</v>
      </c>
      <c r="BK278" s="7">
        <v>300</v>
      </c>
      <c r="BL278" s="20"/>
      <c r="BM278" s="20"/>
      <c r="BN278" s="20">
        <v>1</v>
      </c>
      <c r="BO278" s="20">
        <v>2500</v>
      </c>
      <c r="BP278" s="20">
        <v>2</v>
      </c>
      <c r="BQ278" s="20">
        <v>2500</v>
      </c>
      <c r="BR278" s="20" t="s">
        <v>156</v>
      </c>
    </row>
    <row r="279" s="7" customFormat="1" ht="16.5" spans="1:70">
      <c r="A279" s="7">
        <f>60000000+INDEX(编号表!$B:$B,MATCH(I279,编号表!$A:$A,0))*10000+INDEX(编号表!$B:$B,MATCH(J279,编号表!$C:$C,0))*1000+K279</f>
        <v>60342000</v>
      </c>
      <c r="B279" s="7" t="s">
        <v>793</v>
      </c>
      <c r="C279" s="7" t="s">
        <v>788</v>
      </c>
      <c r="D279" s="7" t="s">
        <v>794</v>
      </c>
      <c r="E279" s="7">
        <v>54</v>
      </c>
      <c r="F279" s="7" t="str" cm="1">
        <f t="array" ref="F279">INDEX(编号表!$E:$E,MATCH(J279,编号表!$C:$C,0))</f>
        <v>绿色</v>
      </c>
      <c r="G279" s="7">
        <v>38</v>
      </c>
      <c r="H279" s="7" t="s">
        <v>779</v>
      </c>
      <c r="I279" s="7" t="s">
        <v>779</v>
      </c>
      <c r="J279" s="7" t="s">
        <v>221</v>
      </c>
      <c r="K279" s="7">
        <v>0</v>
      </c>
      <c r="L279" s="7">
        <f>COUNTIFS(I$11:I279,I279,J$11:J279,J279)-1</f>
        <v>0</v>
      </c>
      <c r="O279" s="7">
        <v>10</v>
      </c>
      <c r="P279" s="7">
        <v>300000</v>
      </c>
      <c r="Q279" s="7" t="s">
        <v>138</v>
      </c>
      <c r="R279" s="21">
        <v>40140008</v>
      </c>
      <c r="S279" s="7"/>
      <c r="T279" s="7"/>
      <c r="U279" s="7">
        <v>11010001</v>
      </c>
      <c r="V279" s="7">
        <v>11020001</v>
      </c>
      <c r="X279" s="7" t="s">
        <v>139</v>
      </c>
      <c r="Y279" s="7" t="s">
        <v>789</v>
      </c>
      <c r="Z279" s="7"/>
      <c r="AA279" s="7">
        <v>80</v>
      </c>
      <c r="AB279" s="7">
        <v>80</v>
      </c>
      <c r="AC279" s="7">
        <v>20</v>
      </c>
      <c r="AD279" s="7">
        <v>30</v>
      </c>
      <c r="AE279" s="7" t="s">
        <v>141</v>
      </c>
      <c r="AF279" s="7"/>
      <c r="AG279" s="22" t="s">
        <v>222</v>
      </c>
      <c r="AI279" s="23">
        <v>2300</v>
      </c>
      <c r="AJ279" s="7" t="s">
        <v>142</v>
      </c>
      <c r="AK279" s="24">
        <v>25500</v>
      </c>
      <c r="AL279" s="7" t="s">
        <v>143</v>
      </c>
      <c r="AM279" s="7">
        <v>60</v>
      </c>
      <c r="AN279" s="7" t="s">
        <v>144</v>
      </c>
      <c r="AO279" s="7">
        <v>85</v>
      </c>
      <c r="AP279" s="7" t="s">
        <v>145</v>
      </c>
      <c r="AQ279" s="7">
        <v>55</v>
      </c>
      <c r="AR279" s="7" t="s">
        <v>146</v>
      </c>
      <c r="AS279" s="7">
        <v>80</v>
      </c>
      <c r="AT279" s="7" t="s">
        <v>147</v>
      </c>
      <c r="AU279" s="7">
        <v>185</v>
      </c>
      <c r="AV279" s="7" t="s">
        <v>148</v>
      </c>
      <c r="AW279" s="7">
        <v>250</v>
      </c>
      <c r="AX279" s="7" t="s">
        <v>149</v>
      </c>
      <c r="AY279" s="7">
        <v>185</v>
      </c>
      <c r="AZ279" s="7" t="s">
        <v>150</v>
      </c>
      <c r="BA279" s="7">
        <v>250</v>
      </c>
      <c r="BB279" s="7" t="s">
        <v>151</v>
      </c>
      <c r="BC279" s="7">
        <v>1</v>
      </c>
      <c r="BD279" s="7" t="s">
        <v>152</v>
      </c>
      <c r="BE279" s="7">
        <v>2</v>
      </c>
      <c r="BF279" s="7" t="s">
        <v>153</v>
      </c>
      <c r="BG279" s="7">
        <v>100</v>
      </c>
      <c r="BH279" s="7" t="s">
        <v>154</v>
      </c>
      <c r="BI279" s="7">
        <v>10</v>
      </c>
      <c r="BJ279" s="7" t="s">
        <v>155</v>
      </c>
      <c r="BK279" s="7">
        <v>300</v>
      </c>
      <c r="BL279" s="20"/>
      <c r="BM279" s="20"/>
      <c r="BN279" s="20">
        <v>1</v>
      </c>
      <c r="BO279" s="20">
        <v>2500</v>
      </c>
      <c r="BP279" s="20">
        <v>2</v>
      </c>
      <c r="BQ279" s="20">
        <v>2500</v>
      </c>
      <c r="BR279" s="20" t="s">
        <v>156</v>
      </c>
    </row>
    <row r="280" s="15" customFormat="1" ht="16.5" spans="1:70">
      <c r="A280" s="15">
        <f>60000000+INDEX(编号表!$B:$B,MATCH(I280,编号表!$A:$A,0))*10000+INDEX(编号表!$B:$B,MATCH(J280,编号表!$C:$C,0))*1000+K280</f>
        <v>60344000</v>
      </c>
      <c r="B280" s="15" t="s">
        <v>795</v>
      </c>
      <c r="C280" s="15" t="s">
        <v>788</v>
      </c>
      <c r="D280" s="15" t="s">
        <v>794</v>
      </c>
      <c r="E280" s="15">
        <v>54</v>
      </c>
      <c r="F280" s="15" t="str" cm="1">
        <f t="array" ref="F280">INDEX(编号表!$E:$E,MATCH(J280,编号表!$C:$C,0))</f>
        <v>橙色</v>
      </c>
      <c r="G280" s="15">
        <v>38</v>
      </c>
      <c r="H280" s="15" t="s">
        <v>779</v>
      </c>
      <c r="I280" s="15" t="s">
        <v>779</v>
      </c>
      <c r="J280" s="15" t="s">
        <v>233</v>
      </c>
      <c r="K280" s="15">
        <v>0</v>
      </c>
      <c r="L280" s="15">
        <f>COUNTIFS(I$11:I280,I280,J$11:J280,J280)-1</f>
        <v>0</v>
      </c>
      <c r="O280" s="7">
        <v>10</v>
      </c>
      <c r="P280" s="7">
        <v>300000</v>
      </c>
      <c r="Q280" s="15" t="s">
        <v>138</v>
      </c>
      <c r="R280" s="21">
        <v>40140008</v>
      </c>
      <c r="S280" s="15"/>
      <c r="T280" s="15"/>
      <c r="U280" s="15">
        <v>11010001</v>
      </c>
      <c r="V280" s="15">
        <v>11020001</v>
      </c>
      <c r="X280" s="15" t="s">
        <v>139</v>
      </c>
      <c r="Y280" s="15" t="s">
        <v>789</v>
      </c>
      <c r="Z280" s="7">
        <v>1.5</v>
      </c>
      <c r="AA280" s="7">
        <v>80</v>
      </c>
      <c r="AB280" s="7">
        <v>80</v>
      </c>
      <c r="AC280" s="7">
        <v>20</v>
      </c>
      <c r="AD280" s="7">
        <v>30</v>
      </c>
      <c r="AE280" s="15" t="s">
        <v>141</v>
      </c>
      <c r="AF280" s="15"/>
      <c r="AG280" s="22" t="s">
        <v>234</v>
      </c>
      <c r="AH280" s="15"/>
      <c r="AI280" s="23">
        <v>11500</v>
      </c>
      <c r="AJ280" s="15" t="s">
        <v>142</v>
      </c>
      <c r="AK280" s="24">
        <v>184000</v>
      </c>
      <c r="AL280" s="15" t="s">
        <v>143</v>
      </c>
      <c r="AM280" s="15">
        <v>85</v>
      </c>
      <c r="AN280" s="15" t="s">
        <v>144</v>
      </c>
      <c r="AO280" s="15">
        <v>120</v>
      </c>
      <c r="AP280" s="15" t="s">
        <v>145</v>
      </c>
      <c r="AQ280" s="15">
        <v>80</v>
      </c>
      <c r="AR280" s="15" t="s">
        <v>146</v>
      </c>
      <c r="AS280" s="15">
        <v>115</v>
      </c>
      <c r="AT280" s="15" t="s">
        <v>147</v>
      </c>
      <c r="AU280" s="15">
        <v>310</v>
      </c>
      <c r="AV280" s="15" t="s">
        <v>148</v>
      </c>
      <c r="AW280" s="15">
        <v>410</v>
      </c>
      <c r="AX280" s="15" t="s">
        <v>149</v>
      </c>
      <c r="AY280" s="15">
        <v>310</v>
      </c>
      <c r="AZ280" s="15" t="s">
        <v>150</v>
      </c>
      <c r="BA280" s="15">
        <v>410</v>
      </c>
      <c r="BB280" s="15" t="s">
        <v>151</v>
      </c>
      <c r="BC280" s="15">
        <v>1</v>
      </c>
      <c r="BD280" s="15" t="s">
        <v>152</v>
      </c>
      <c r="BE280" s="15">
        <v>2</v>
      </c>
      <c r="BF280" s="15" t="s">
        <v>153</v>
      </c>
      <c r="BG280" s="15">
        <v>100</v>
      </c>
      <c r="BH280" s="15" t="s">
        <v>154</v>
      </c>
      <c r="BI280" s="15">
        <v>10</v>
      </c>
      <c r="BJ280" s="15" t="s">
        <v>155</v>
      </c>
      <c r="BK280" s="7">
        <v>300</v>
      </c>
      <c r="BL280" s="25"/>
      <c r="BM280" s="25"/>
      <c r="BN280" s="20">
        <v>1</v>
      </c>
      <c r="BO280" s="20">
        <v>2500</v>
      </c>
      <c r="BP280" s="20">
        <v>2</v>
      </c>
      <c r="BQ280" s="20">
        <v>2500</v>
      </c>
      <c r="BR280" s="25" t="s">
        <v>156</v>
      </c>
    </row>
    <row r="281" s="7" customFormat="1" ht="16.5" spans="1:70">
      <c r="A281" s="7">
        <f>60000000+INDEX(编号表!$B:$B,MATCH(I281,编号表!$A:$A,0))*10000+INDEX(编号表!$B:$B,MATCH(J281,编号表!$C:$C,0))*1000+K281</f>
        <v>60351000</v>
      </c>
      <c r="B281" s="7" t="s">
        <v>796</v>
      </c>
      <c r="C281" s="7" t="s">
        <v>782</v>
      </c>
      <c r="D281" s="7" t="s">
        <v>797</v>
      </c>
      <c r="E281" s="7">
        <v>54</v>
      </c>
      <c r="F281" s="7" t="str" cm="1">
        <f t="array" ref="F281">INDEX(编号表!$E:$E,MATCH(J281,编号表!$C:$C,0))</f>
        <v>白色</v>
      </c>
      <c r="G281" s="7">
        <v>39</v>
      </c>
      <c r="H281" s="7" t="s">
        <v>798</v>
      </c>
      <c r="I281" s="7" t="s">
        <v>798</v>
      </c>
      <c r="J281" s="7" t="s">
        <v>137</v>
      </c>
      <c r="K281" s="7">
        <v>0</v>
      </c>
      <c r="L281" s="7">
        <f>COUNTIFS(I$11:I281,I281,J$11:J281,J281)-1</f>
        <v>0</v>
      </c>
      <c r="O281" s="7">
        <v>10</v>
      </c>
      <c r="P281" s="7">
        <v>300000</v>
      </c>
      <c r="Q281" s="7" t="s">
        <v>138</v>
      </c>
      <c r="R281" s="21">
        <v>40140008</v>
      </c>
      <c r="S281" s="7"/>
      <c r="T281" s="7"/>
      <c r="U281" s="7">
        <v>11010001</v>
      </c>
      <c r="V281" s="7">
        <v>11020001</v>
      </c>
      <c r="X281" s="7" t="s">
        <v>139</v>
      </c>
      <c r="Y281" s="7" t="s">
        <v>783</v>
      </c>
      <c r="Z281" s="7"/>
      <c r="AA281" s="7">
        <v>80</v>
      </c>
      <c r="AB281" s="7">
        <v>80</v>
      </c>
      <c r="AC281" s="7">
        <v>20</v>
      </c>
      <c r="AD281" s="7">
        <v>30</v>
      </c>
      <c r="AE281" s="7" t="s">
        <v>141</v>
      </c>
      <c r="AF281" s="7"/>
      <c r="AG281" s="22"/>
      <c r="AI281" s="23">
        <v>580</v>
      </c>
      <c r="AJ281" s="7" t="s">
        <v>142</v>
      </c>
      <c r="AK281" s="24">
        <v>4250</v>
      </c>
      <c r="AL281" s="7" t="s">
        <v>143</v>
      </c>
      <c r="AM281" s="7">
        <v>36</v>
      </c>
      <c r="AN281" s="7" t="s">
        <v>144</v>
      </c>
      <c r="AO281" s="7">
        <v>50</v>
      </c>
      <c r="AP281" s="7" t="s">
        <v>145</v>
      </c>
      <c r="AQ281" s="7">
        <v>34</v>
      </c>
      <c r="AR281" s="7" t="s">
        <v>146</v>
      </c>
      <c r="AS281" s="7">
        <v>49</v>
      </c>
      <c r="AT281" s="7" t="s">
        <v>147</v>
      </c>
      <c r="AU281" s="7">
        <v>85</v>
      </c>
      <c r="AV281" s="7" t="s">
        <v>148</v>
      </c>
      <c r="AW281" s="7">
        <v>120</v>
      </c>
      <c r="AX281" s="7" t="s">
        <v>149</v>
      </c>
      <c r="AY281" s="7">
        <v>85</v>
      </c>
      <c r="AZ281" s="7" t="s">
        <v>150</v>
      </c>
      <c r="BA281" s="7">
        <v>120</v>
      </c>
      <c r="BB281" s="7" t="s">
        <v>151</v>
      </c>
      <c r="BC281" s="7">
        <v>1</v>
      </c>
      <c r="BD281" s="7" t="s">
        <v>152</v>
      </c>
      <c r="BE281" s="7">
        <v>2</v>
      </c>
      <c r="BF281" s="7" t="s">
        <v>153</v>
      </c>
      <c r="BG281" s="7">
        <v>100</v>
      </c>
      <c r="BH281" s="7" t="s">
        <v>154</v>
      </c>
      <c r="BI281" s="7">
        <v>10</v>
      </c>
      <c r="BJ281" s="7" t="s">
        <v>155</v>
      </c>
      <c r="BK281" s="7">
        <v>300</v>
      </c>
      <c r="BL281" s="20"/>
      <c r="BM281" s="20"/>
      <c r="BN281" s="20">
        <v>1</v>
      </c>
      <c r="BO281" s="20">
        <v>2500</v>
      </c>
      <c r="BP281" s="20">
        <v>2</v>
      </c>
      <c r="BQ281" s="20">
        <v>2500</v>
      </c>
      <c r="BR281" s="20" t="s">
        <v>156</v>
      </c>
    </row>
    <row r="282" s="7" customFormat="1" ht="16.5" spans="1:70">
      <c r="A282" s="7">
        <f>60000000+INDEX(编号表!$B:$B,MATCH(I282,编号表!$A:$A,0))*10000+INDEX(编号表!$B:$B,MATCH(J282,编号表!$C:$C,0))*1000+K282</f>
        <v>60351001</v>
      </c>
      <c r="B282" s="7" t="s">
        <v>799</v>
      </c>
      <c r="C282" s="7" t="s">
        <v>785</v>
      </c>
      <c r="D282" s="7" t="s">
        <v>800</v>
      </c>
      <c r="E282" s="7">
        <v>54</v>
      </c>
      <c r="F282" s="7" t="str" cm="1">
        <f t="array" ref="F282">INDEX(编号表!$E:$E,MATCH(J282,编号表!$C:$C,0))</f>
        <v>白色</v>
      </c>
      <c r="G282" s="7">
        <v>39</v>
      </c>
      <c r="H282" s="7" t="s">
        <v>798</v>
      </c>
      <c r="I282" s="7" t="s">
        <v>798</v>
      </c>
      <c r="J282" s="7" t="s">
        <v>137</v>
      </c>
      <c r="K282" s="7">
        <v>1</v>
      </c>
      <c r="L282" s="7">
        <f>COUNTIFS(I$11:I282,I282,J$11:J282,J282)-1</f>
        <v>1</v>
      </c>
      <c r="O282" s="7">
        <v>10</v>
      </c>
      <c r="P282" s="7">
        <v>300000</v>
      </c>
      <c r="Q282" s="7" t="s">
        <v>138</v>
      </c>
      <c r="R282" s="21">
        <v>40140008</v>
      </c>
      <c r="S282" s="7"/>
      <c r="T282" s="7"/>
      <c r="U282" s="7">
        <v>11010001</v>
      </c>
      <c r="V282" s="7">
        <v>11020001</v>
      </c>
      <c r="X282" s="7" t="s">
        <v>139</v>
      </c>
      <c r="Y282" s="7" t="s">
        <v>786</v>
      </c>
      <c r="Z282" s="7"/>
      <c r="AA282" s="7">
        <v>80</v>
      </c>
      <c r="AB282" s="7">
        <v>80</v>
      </c>
      <c r="AC282" s="7">
        <v>20</v>
      </c>
      <c r="AD282" s="7">
        <v>30</v>
      </c>
      <c r="AE282" s="7" t="s">
        <v>141</v>
      </c>
      <c r="AF282" s="7"/>
      <c r="AG282" s="22"/>
      <c r="AI282" s="23">
        <v>580</v>
      </c>
      <c r="AJ282" s="7" t="s">
        <v>142</v>
      </c>
      <c r="AK282" s="24">
        <v>4250</v>
      </c>
      <c r="AL282" s="7" t="s">
        <v>143</v>
      </c>
      <c r="AM282" s="7">
        <v>36</v>
      </c>
      <c r="AN282" s="7" t="s">
        <v>144</v>
      </c>
      <c r="AO282" s="7">
        <v>50</v>
      </c>
      <c r="AP282" s="7" t="s">
        <v>145</v>
      </c>
      <c r="AQ282" s="7">
        <v>34</v>
      </c>
      <c r="AR282" s="7" t="s">
        <v>146</v>
      </c>
      <c r="AS282" s="7">
        <v>49</v>
      </c>
      <c r="AT282" s="7" t="s">
        <v>147</v>
      </c>
      <c r="AU282" s="7">
        <v>85</v>
      </c>
      <c r="AV282" s="7" t="s">
        <v>148</v>
      </c>
      <c r="AW282" s="7">
        <v>120</v>
      </c>
      <c r="AX282" s="7" t="s">
        <v>149</v>
      </c>
      <c r="AY282" s="7">
        <v>85</v>
      </c>
      <c r="AZ282" s="7" t="s">
        <v>150</v>
      </c>
      <c r="BA282" s="7">
        <v>120</v>
      </c>
      <c r="BB282" s="7" t="s">
        <v>151</v>
      </c>
      <c r="BC282" s="7">
        <v>1</v>
      </c>
      <c r="BD282" s="7" t="s">
        <v>152</v>
      </c>
      <c r="BE282" s="7">
        <v>2</v>
      </c>
      <c r="BF282" s="7" t="s">
        <v>153</v>
      </c>
      <c r="BG282" s="7">
        <v>100</v>
      </c>
      <c r="BH282" s="7" t="s">
        <v>154</v>
      </c>
      <c r="BI282" s="7">
        <v>10</v>
      </c>
      <c r="BJ282" s="7" t="s">
        <v>155</v>
      </c>
      <c r="BK282" s="7">
        <v>300</v>
      </c>
      <c r="BL282" s="20"/>
      <c r="BM282" s="20"/>
      <c r="BN282" s="20">
        <v>1</v>
      </c>
      <c r="BO282" s="20">
        <v>2500</v>
      </c>
      <c r="BP282" s="20">
        <v>2</v>
      </c>
      <c r="BQ282" s="20">
        <v>2500</v>
      </c>
      <c r="BR282" s="20" t="s">
        <v>156</v>
      </c>
    </row>
    <row r="283" s="7" customFormat="1" ht="16.5" spans="1:70">
      <c r="A283" s="7">
        <f>60000000+INDEX(编号表!$B:$B,MATCH(I283,编号表!$A:$A,0))*10000+INDEX(编号表!$B:$B,MATCH(J283,编号表!$C:$C,0))*1000+K283</f>
        <v>60351002</v>
      </c>
      <c r="B283" s="7" t="s">
        <v>801</v>
      </c>
      <c r="C283" s="7" t="s">
        <v>788</v>
      </c>
      <c r="D283" s="7" t="s">
        <v>802</v>
      </c>
      <c r="E283" s="7">
        <v>54</v>
      </c>
      <c r="F283" s="7" t="str" cm="1">
        <f t="array" ref="F283">INDEX(编号表!$E:$E,MATCH(J283,编号表!$C:$C,0))</f>
        <v>白色</v>
      </c>
      <c r="G283" s="7">
        <v>39</v>
      </c>
      <c r="H283" s="7" t="s">
        <v>798</v>
      </c>
      <c r="I283" s="7" t="s">
        <v>798</v>
      </c>
      <c r="J283" s="7" t="s">
        <v>137</v>
      </c>
      <c r="K283" s="7">
        <v>2</v>
      </c>
      <c r="L283" s="7">
        <f>COUNTIFS(I$11:I283,I283,J$11:J283,J283)-1</f>
        <v>2</v>
      </c>
      <c r="O283" s="7">
        <v>10</v>
      </c>
      <c r="P283" s="7">
        <v>300000</v>
      </c>
      <c r="Q283" s="7" t="s">
        <v>138</v>
      </c>
      <c r="R283" s="21">
        <v>40140008</v>
      </c>
      <c r="S283" s="7"/>
      <c r="T283" s="7"/>
      <c r="U283" s="7">
        <v>11010001</v>
      </c>
      <c r="V283" s="7">
        <v>11020001</v>
      </c>
      <c r="X283" s="7" t="s">
        <v>139</v>
      </c>
      <c r="Y283" s="7" t="s">
        <v>789</v>
      </c>
      <c r="Z283" s="7"/>
      <c r="AA283" s="7">
        <v>80</v>
      </c>
      <c r="AB283" s="7">
        <v>80</v>
      </c>
      <c r="AC283" s="7">
        <v>20</v>
      </c>
      <c r="AD283" s="7">
        <v>30</v>
      </c>
      <c r="AE283" s="7" t="s">
        <v>141</v>
      </c>
      <c r="AF283" s="7"/>
      <c r="AG283" s="22"/>
      <c r="AI283" s="23">
        <v>580</v>
      </c>
      <c r="AJ283" s="7" t="s">
        <v>142</v>
      </c>
      <c r="AK283" s="24">
        <v>4250</v>
      </c>
      <c r="AL283" s="7" t="s">
        <v>143</v>
      </c>
      <c r="AM283" s="7">
        <v>36</v>
      </c>
      <c r="AN283" s="7" t="s">
        <v>144</v>
      </c>
      <c r="AO283" s="7">
        <v>50</v>
      </c>
      <c r="AP283" s="7" t="s">
        <v>145</v>
      </c>
      <c r="AQ283" s="7">
        <v>34</v>
      </c>
      <c r="AR283" s="7" t="s">
        <v>146</v>
      </c>
      <c r="AS283" s="7">
        <v>49</v>
      </c>
      <c r="AT283" s="7" t="s">
        <v>147</v>
      </c>
      <c r="AU283" s="7">
        <v>85</v>
      </c>
      <c r="AV283" s="7" t="s">
        <v>148</v>
      </c>
      <c r="AW283" s="7">
        <v>120</v>
      </c>
      <c r="AX283" s="7" t="s">
        <v>149</v>
      </c>
      <c r="AY283" s="7">
        <v>85</v>
      </c>
      <c r="AZ283" s="7" t="s">
        <v>150</v>
      </c>
      <c r="BA283" s="7">
        <v>120</v>
      </c>
      <c r="BB283" s="7" t="s">
        <v>151</v>
      </c>
      <c r="BC283" s="7">
        <v>1</v>
      </c>
      <c r="BD283" s="7" t="s">
        <v>152</v>
      </c>
      <c r="BE283" s="7">
        <v>2</v>
      </c>
      <c r="BF283" s="7" t="s">
        <v>153</v>
      </c>
      <c r="BG283" s="7">
        <v>100</v>
      </c>
      <c r="BH283" s="7" t="s">
        <v>154</v>
      </c>
      <c r="BI283" s="7">
        <v>10</v>
      </c>
      <c r="BJ283" s="7" t="s">
        <v>155</v>
      </c>
      <c r="BK283" s="7">
        <v>300</v>
      </c>
      <c r="BL283" s="20"/>
      <c r="BM283" s="20"/>
      <c r="BN283" s="20">
        <v>1</v>
      </c>
      <c r="BO283" s="20">
        <v>2500</v>
      </c>
      <c r="BP283" s="20">
        <v>2</v>
      </c>
      <c r="BQ283" s="20">
        <v>2500</v>
      </c>
      <c r="BR283" s="20" t="s">
        <v>156</v>
      </c>
    </row>
    <row r="284" s="7" customFormat="1" ht="16.5" spans="1:70">
      <c r="A284" s="7">
        <f>60000000+INDEX(编号表!$B:$B,MATCH(I284,编号表!$A:$A,0))*10000+INDEX(编号表!$B:$B,MATCH(J284,编号表!$C:$C,0))*1000+K284</f>
        <v>60351003</v>
      </c>
      <c r="B284" s="7" t="s">
        <v>803</v>
      </c>
      <c r="C284" s="7" t="s">
        <v>804</v>
      </c>
      <c r="D284" s="7" t="s">
        <v>804</v>
      </c>
      <c r="E284" s="7">
        <v>54</v>
      </c>
      <c r="F284" s="7" t="str" cm="1">
        <f t="array" ref="F284">INDEX(编号表!$E:$E,MATCH(J284,编号表!$C:$C,0))</f>
        <v>白色</v>
      </c>
      <c r="G284" s="7">
        <v>39</v>
      </c>
      <c r="H284" s="7" t="s">
        <v>798</v>
      </c>
      <c r="I284" s="7" t="s">
        <v>798</v>
      </c>
      <c r="J284" s="7" t="s">
        <v>137</v>
      </c>
      <c r="K284" s="7">
        <v>3</v>
      </c>
      <c r="L284" s="7">
        <f>COUNTIFS(I$11:I284,I284,J$11:J284,J284)-1</f>
        <v>3</v>
      </c>
      <c r="O284" s="7">
        <v>10</v>
      </c>
      <c r="P284" s="7">
        <v>300000</v>
      </c>
      <c r="Q284" s="7" t="s">
        <v>138</v>
      </c>
      <c r="R284" s="21">
        <v>40140008</v>
      </c>
      <c r="S284" s="7"/>
      <c r="T284" s="7"/>
      <c r="U284" s="7">
        <v>11010001</v>
      </c>
      <c r="V284" s="7">
        <v>11020001</v>
      </c>
      <c r="X284" s="7" t="s">
        <v>139</v>
      </c>
      <c r="Y284" s="7" t="s">
        <v>805</v>
      </c>
      <c r="Z284" s="7"/>
      <c r="AA284" s="7">
        <v>80</v>
      </c>
      <c r="AB284" s="7">
        <v>80</v>
      </c>
      <c r="AC284" s="7">
        <v>20</v>
      </c>
      <c r="AD284" s="7">
        <v>30</v>
      </c>
      <c r="AE284" s="7" t="s">
        <v>141</v>
      </c>
      <c r="AF284" s="7"/>
      <c r="AG284" s="22"/>
      <c r="AI284" s="23">
        <v>580</v>
      </c>
      <c r="AJ284" s="7" t="s">
        <v>142</v>
      </c>
      <c r="AK284" s="24">
        <v>4250</v>
      </c>
      <c r="AL284" s="7" t="s">
        <v>143</v>
      </c>
      <c r="AM284" s="7">
        <v>36</v>
      </c>
      <c r="AN284" s="7" t="s">
        <v>144</v>
      </c>
      <c r="AO284" s="7">
        <v>50</v>
      </c>
      <c r="AP284" s="7" t="s">
        <v>145</v>
      </c>
      <c r="AQ284" s="7">
        <v>34</v>
      </c>
      <c r="AR284" s="7" t="s">
        <v>146</v>
      </c>
      <c r="AS284" s="7">
        <v>49</v>
      </c>
      <c r="AT284" s="7" t="s">
        <v>147</v>
      </c>
      <c r="AU284" s="7">
        <v>85</v>
      </c>
      <c r="AV284" s="7" t="s">
        <v>148</v>
      </c>
      <c r="AW284" s="7">
        <v>120</v>
      </c>
      <c r="AX284" s="7" t="s">
        <v>149</v>
      </c>
      <c r="AY284" s="7">
        <v>85</v>
      </c>
      <c r="AZ284" s="7" t="s">
        <v>150</v>
      </c>
      <c r="BA284" s="7">
        <v>120</v>
      </c>
      <c r="BB284" s="7" t="s">
        <v>151</v>
      </c>
      <c r="BC284" s="7">
        <v>1</v>
      </c>
      <c r="BD284" s="7" t="s">
        <v>152</v>
      </c>
      <c r="BE284" s="7">
        <v>2</v>
      </c>
      <c r="BF284" s="7" t="s">
        <v>153</v>
      </c>
      <c r="BG284" s="7">
        <v>100</v>
      </c>
      <c r="BH284" s="7" t="s">
        <v>154</v>
      </c>
      <c r="BI284" s="7">
        <v>10</v>
      </c>
      <c r="BJ284" s="7" t="s">
        <v>155</v>
      </c>
      <c r="BK284" s="7">
        <v>300</v>
      </c>
      <c r="BL284" s="20"/>
      <c r="BM284" s="20"/>
      <c r="BN284" s="20">
        <v>1</v>
      </c>
      <c r="BO284" s="20">
        <v>2500</v>
      </c>
      <c r="BP284" s="20">
        <v>2</v>
      </c>
      <c r="BQ284" s="20">
        <v>2500</v>
      </c>
      <c r="BR284" s="20" t="s">
        <v>156</v>
      </c>
    </row>
    <row r="285" s="7" customFormat="1" ht="16.5" spans="1:70">
      <c r="A285" s="7">
        <f>60000000+INDEX(编号表!$B:$B,MATCH(I285,编号表!$A:$A,0))*10000+INDEX(编号表!$B:$B,MATCH(J285,编号表!$C:$C,0))*1000+K285</f>
        <v>60351004</v>
      </c>
      <c r="B285" s="7" t="s">
        <v>806</v>
      </c>
      <c r="C285" s="7" t="s">
        <v>791</v>
      </c>
      <c r="D285" s="7" t="s">
        <v>807</v>
      </c>
      <c r="E285" s="7">
        <v>54</v>
      </c>
      <c r="F285" s="7" t="str" cm="1">
        <f t="array" ref="F285">INDEX(编号表!$E:$E,MATCH(J285,编号表!$C:$C,0))</f>
        <v>白色</v>
      </c>
      <c r="G285" s="7">
        <v>39</v>
      </c>
      <c r="H285" s="7" t="s">
        <v>798</v>
      </c>
      <c r="I285" s="7" t="s">
        <v>798</v>
      </c>
      <c r="J285" s="7" t="s">
        <v>137</v>
      </c>
      <c r="K285" s="7">
        <v>4</v>
      </c>
      <c r="L285" s="7">
        <f>COUNTIFS(I$11:I285,I285,J$11:J285,J285)-1</f>
        <v>4</v>
      </c>
      <c r="O285" s="7">
        <v>10</v>
      </c>
      <c r="P285" s="7">
        <v>300000</v>
      </c>
      <c r="Q285" s="7" t="s">
        <v>138</v>
      </c>
      <c r="R285" s="21">
        <v>40140008</v>
      </c>
      <c r="S285" s="7"/>
      <c r="T285" s="7"/>
      <c r="U285" s="7">
        <v>11010001</v>
      </c>
      <c r="V285" s="7">
        <v>11020001</v>
      </c>
      <c r="X285" s="7" t="s">
        <v>139</v>
      </c>
      <c r="Y285" s="7" t="s">
        <v>792</v>
      </c>
      <c r="Z285" s="7"/>
      <c r="AA285" s="7">
        <v>80</v>
      </c>
      <c r="AB285" s="7">
        <v>80</v>
      </c>
      <c r="AC285" s="7">
        <v>20</v>
      </c>
      <c r="AD285" s="7">
        <v>30</v>
      </c>
      <c r="AE285" s="7" t="s">
        <v>141</v>
      </c>
      <c r="AF285" s="7"/>
      <c r="AG285" s="22"/>
      <c r="AI285" s="23">
        <v>580</v>
      </c>
      <c r="AJ285" s="7" t="s">
        <v>142</v>
      </c>
      <c r="AK285" s="24">
        <v>4250</v>
      </c>
      <c r="AL285" s="7" t="s">
        <v>143</v>
      </c>
      <c r="AM285" s="7">
        <v>36</v>
      </c>
      <c r="AN285" s="7" t="s">
        <v>144</v>
      </c>
      <c r="AO285" s="7">
        <v>50</v>
      </c>
      <c r="AP285" s="7" t="s">
        <v>145</v>
      </c>
      <c r="AQ285" s="7">
        <v>34</v>
      </c>
      <c r="AR285" s="7" t="s">
        <v>146</v>
      </c>
      <c r="AS285" s="7">
        <v>49</v>
      </c>
      <c r="AT285" s="7" t="s">
        <v>147</v>
      </c>
      <c r="AU285" s="7">
        <v>85</v>
      </c>
      <c r="AV285" s="7" t="s">
        <v>148</v>
      </c>
      <c r="AW285" s="7">
        <v>120</v>
      </c>
      <c r="AX285" s="7" t="s">
        <v>149</v>
      </c>
      <c r="AY285" s="7">
        <v>85</v>
      </c>
      <c r="AZ285" s="7" t="s">
        <v>150</v>
      </c>
      <c r="BA285" s="7">
        <v>120</v>
      </c>
      <c r="BB285" s="7" t="s">
        <v>151</v>
      </c>
      <c r="BC285" s="7">
        <v>1</v>
      </c>
      <c r="BD285" s="7" t="s">
        <v>152</v>
      </c>
      <c r="BE285" s="7">
        <v>2</v>
      </c>
      <c r="BF285" s="7" t="s">
        <v>153</v>
      </c>
      <c r="BG285" s="7">
        <v>100</v>
      </c>
      <c r="BH285" s="7" t="s">
        <v>154</v>
      </c>
      <c r="BI285" s="7">
        <v>10</v>
      </c>
      <c r="BJ285" s="7" t="s">
        <v>155</v>
      </c>
      <c r="BK285" s="7">
        <v>300</v>
      </c>
      <c r="BL285" s="20"/>
      <c r="BM285" s="20"/>
      <c r="BN285" s="20">
        <v>1</v>
      </c>
      <c r="BO285" s="20">
        <v>2500</v>
      </c>
      <c r="BP285" s="20">
        <v>2</v>
      </c>
      <c r="BQ285" s="20">
        <v>2500</v>
      </c>
      <c r="BR285" s="20" t="s">
        <v>156</v>
      </c>
    </row>
    <row r="286" s="7" customFormat="1" ht="16.5" spans="1:70">
      <c r="A286" s="7">
        <f>60000000+INDEX(编号表!$B:$B,MATCH(I286,编号表!$A:$A,0))*10000+INDEX(编号表!$B:$B,MATCH(J286,编号表!$C:$C,0))*1000+K286</f>
        <v>60352000</v>
      </c>
      <c r="B286" s="7" t="s">
        <v>808</v>
      </c>
      <c r="C286" s="7" t="s">
        <v>804</v>
      </c>
      <c r="D286" s="7" t="s">
        <v>809</v>
      </c>
      <c r="E286" s="7">
        <v>55</v>
      </c>
      <c r="F286" s="7" t="str" cm="1">
        <f t="array" ref="F286">INDEX(编号表!$E:$E,MATCH(J286,编号表!$C:$C,0))</f>
        <v>绿色</v>
      </c>
      <c r="G286" s="7">
        <v>39</v>
      </c>
      <c r="H286" s="7" t="s">
        <v>798</v>
      </c>
      <c r="I286" s="7" t="s">
        <v>798</v>
      </c>
      <c r="J286" s="7" t="s">
        <v>221</v>
      </c>
      <c r="K286" s="7">
        <v>0</v>
      </c>
      <c r="L286" s="7">
        <f>COUNTIFS(I$11:I286,I286,J$11:J286,J286)-1</f>
        <v>0</v>
      </c>
      <c r="O286" s="7">
        <v>10</v>
      </c>
      <c r="P286" s="7">
        <v>300000</v>
      </c>
      <c r="Q286" s="7" t="s">
        <v>138</v>
      </c>
      <c r="R286" s="21">
        <v>40140009</v>
      </c>
      <c r="S286" s="7"/>
      <c r="T286" s="7"/>
      <c r="U286" s="7">
        <v>11010001</v>
      </c>
      <c r="V286" s="7">
        <v>11020001</v>
      </c>
      <c r="X286" s="7" t="s">
        <v>139</v>
      </c>
      <c r="Y286" s="7" t="s">
        <v>805</v>
      </c>
      <c r="Z286" s="7"/>
      <c r="AA286" s="7">
        <v>80</v>
      </c>
      <c r="AB286" s="7">
        <v>80</v>
      </c>
      <c r="AC286" s="7">
        <v>20</v>
      </c>
      <c r="AD286" s="7">
        <v>30</v>
      </c>
      <c r="AE286" s="7" t="s">
        <v>141</v>
      </c>
      <c r="AF286" s="7"/>
      <c r="AG286" s="22" t="s">
        <v>222</v>
      </c>
      <c r="AI286" s="23">
        <v>2400</v>
      </c>
      <c r="AJ286" s="7" t="s">
        <v>142</v>
      </c>
      <c r="AK286" s="24">
        <v>26500</v>
      </c>
      <c r="AL286" s="7" t="s">
        <v>143</v>
      </c>
      <c r="AM286" s="7">
        <v>60</v>
      </c>
      <c r="AN286" s="7" t="s">
        <v>144</v>
      </c>
      <c r="AO286" s="7">
        <v>85</v>
      </c>
      <c r="AP286" s="7" t="s">
        <v>145</v>
      </c>
      <c r="AQ286" s="7">
        <v>55</v>
      </c>
      <c r="AR286" s="7" t="s">
        <v>146</v>
      </c>
      <c r="AS286" s="7">
        <v>80</v>
      </c>
      <c r="AT286" s="7" t="s">
        <v>147</v>
      </c>
      <c r="AU286" s="7">
        <v>195</v>
      </c>
      <c r="AV286" s="7" t="s">
        <v>148</v>
      </c>
      <c r="AW286" s="7">
        <v>260</v>
      </c>
      <c r="AX286" s="7" t="s">
        <v>149</v>
      </c>
      <c r="AY286" s="7">
        <v>195</v>
      </c>
      <c r="AZ286" s="7" t="s">
        <v>150</v>
      </c>
      <c r="BA286" s="7">
        <v>260</v>
      </c>
      <c r="BB286" s="7" t="s">
        <v>151</v>
      </c>
      <c r="BC286" s="7">
        <v>1</v>
      </c>
      <c r="BD286" s="7" t="s">
        <v>152</v>
      </c>
      <c r="BE286" s="7">
        <v>2</v>
      </c>
      <c r="BF286" s="7" t="s">
        <v>153</v>
      </c>
      <c r="BG286" s="7">
        <v>100</v>
      </c>
      <c r="BH286" s="7" t="s">
        <v>154</v>
      </c>
      <c r="BI286" s="7">
        <v>10</v>
      </c>
      <c r="BJ286" s="7" t="s">
        <v>155</v>
      </c>
      <c r="BK286" s="7">
        <v>300</v>
      </c>
      <c r="BL286" s="20"/>
      <c r="BM286" s="20"/>
      <c r="BN286" s="20">
        <v>1</v>
      </c>
      <c r="BO286" s="20">
        <v>2500</v>
      </c>
      <c r="BP286" s="20">
        <v>2</v>
      </c>
      <c r="BQ286" s="20">
        <v>2500</v>
      </c>
      <c r="BR286" s="20" t="s">
        <v>156</v>
      </c>
    </row>
    <row r="287" s="15" customFormat="1" ht="16.5" spans="1:70">
      <c r="A287" s="15">
        <f>60000000+INDEX(编号表!$B:$B,MATCH(I287,编号表!$A:$A,0))*10000+INDEX(编号表!$B:$B,MATCH(J287,编号表!$C:$C,0))*1000+K287</f>
        <v>60354000</v>
      </c>
      <c r="B287" s="15" t="s">
        <v>810</v>
      </c>
      <c r="C287" s="15" t="s">
        <v>804</v>
      </c>
      <c r="D287" s="15" t="s">
        <v>809</v>
      </c>
      <c r="E287" s="15">
        <v>55</v>
      </c>
      <c r="F287" s="15" t="str" cm="1">
        <f t="array" ref="F287">INDEX(编号表!$E:$E,MATCH(J287,编号表!$C:$C,0))</f>
        <v>橙色</v>
      </c>
      <c r="G287" s="15">
        <v>39</v>
      </c>
      <c r="H287" s="15" t="s">
        <v>798</v>
      </c>
      <c r="I287" s="15" t="s">
        <v>798</v>
      </c>
      <c r="J287" s="15" t="s">
        <v>233</v>
      </c>
      <c r="K287" s="15">
        <v>0</v>
      </c>
      <c r="L287" s="15">
        <f>COUNTIFS(I$11:I287,I287,J$11:J287,J287)-1</f>
        <v>0</v>
      </c>
      <c r="O287" s="7">
        <v>10</v>
      </c>
      <c r="P287" s="7">
        <v>300000</v>
      </c>
      <c r="Q287" s="15" t="s">
        <v>138</v>
      </c>
      <c r="R287" s="21">
        <v>40140009</v>
      </c>
      <c r="S287" s="15"/>
      <c r="T287" s="15"/>
      <c r="U287" s="15">
        <v>11010001</v>
      </c>
      <c r="V287" s="15">
        <v>11020001</v>
      </c>
      <c r="X287" s="15" t="s">
        <v>139</v>
      </c>
      <c r="Y287" s="7" t="s">
        <v>805</v>
      </c>
      <c r="Z287" s="7">
        <v>1.5</v>
      </c>
      <c r="AA287" s="7">
        <v>80</v>
      </c>
      <c r="AB287" s="7">
        <v>80</v>
      </c>
      <c r="AC287" s="7">
        <v>20</v>
      </c>
      <c r="AD287" s="7">
        <v>30</v>
      </c>
      <c r="AE287" s="15" t="s">
        <v>141</v>
      </c>
      <c r="AF287" s="15"/>
      <c r="AG287" s="22" t="s">
        <v>234</v>
      </c>
      <c r="AH287" s="15"/>
      <c r="AI287" s="23">
        <v>12000</v>
      </c>
      <c r="AJ287" s="15" t="s">
        <v>142</v>
      </c>
      <c r="AK287" s="24">
        <v>196000</v>
      </c>
      <c r="AL287" s="15" t="s">
        <v>143</v>
      </c>
      <c r="AM287" s="15">
        <v>90</v>
      </c>
      <c r="AN287" s="15" t="s">
        <v>144</v>
      </c>
      <c r="AO287" s="15">
        <v>125</v>
      </c>
      <c r="AP287" s="15" t="s">
        <v>145</v>
      </c>
      <c r="AQ287" s="15">
        <v>80</v>
      </c>
      <c r="AR287" s="15" t="s">
        <v>146</v>
      </c>
      <c r="AS287" s="15">
        <v>120</v>
      </c>
      <c r="AT287" s="15" t="s">
        <v>147</v>
      </c>
      <c r="AU287" s="15">
        <v>320</v>
      </c>
      <c r="AV287" s="15" t="s">
        <v>148</v>
      </c>
      <c r="AW287" s="15">
        <v>430</v>
      </c>
      <c r="AX287" s="15" t="s">
        <v>149</v>
      </c>
      <c r="AY287" s="15">
        <v>320</v>
      </c>
      <c r="AZ287" s="15" t="s">
        <v>150</v>
      </c>
      <c r="BA287" s="15">
        <v>430</v>
      </c>
      <c r="BB287" s="15" t="s">
        <v>151</v>
      </c>
      <c r="BC287" s="15">
        <v>1</v>
      </c>
      <c r="BD287" s="15" t="s">
        <v>152</v>
      </c>
      <c r="BE287" s="15">
        <v>2</v>
      </c>
      <c r="BF287" s="15" t="s">
        <v>153</v>
      </c>
      <c r="BG287" s="15">
        <v>100</v>
      </c>
      <c r="BH287" s="15" t="s">
        <v>154</v>
      </c>
      <c r="BI287" s="15">
        <v>10</v>
      </c>
      <c r="BJ287" s="15" t="s">
        <v>155</v>
      </c>
      <c r="BK287" s="7">
        <v>300</v>
      </c>
      <c r="BL287" s="25"/>
      <c r="BM287" s="25"/>
      <c r="BN287" s="20">
        <v>1</v>
      </c>
      <c r="BO287" s="20">
        <v>2500</v>
      </c>
      <c r="BP287" s="20">
        <v>2</v>
      </c>
      <c r="BQ287" s="20">
        <v>2500</v>
      </c>
      <c r="BR287" s="25" t="s">
        <v>156</v>
      </c>
    </row>
    <row r="288" s="7" customFormat="1" ht="16.5" spans="1:70">
      <c r="A288" s="7">
        <f>60000000+INDEX(编号表!$B:$B,MATCH(I288,编号表!$A:$A,0))*10000+INDEX(编号表!$B:$B,MATCH(J288,编号表!$C:$C,0))*1000+K288</f>
        <v>60361000</v>
      </c>
      <c r="B288" s="7" t="s">
        <v>811</v>
      </c>
      <c r="C288" s="7" t="s">
        <v>782</v>
      </c>
      <c r="D288" s="7" t="s">
        <v>812</v>
      </c>
      <c r="E288" s="7">
        <v>55</v>
      </c>
      <c r="F288" s="7" t="str" cm="1">
        <f t="array" ref="F288">INDEX(编号表!$E:$E,MATCH(J288,编号表!$C:$C,0))</f>
        <v>白色</v>
      </c>
      <c r="G288" s="7">
        <v>40</v>
      </c>
      <c r="H288" s="7" t="s">
        <v>813</v>
      </c>
      <c r="I288" s="7" t="s">
        <v>813</v>
      </c>
      <c r="J288" s="7" t="s">
        <v>137</v>
      </c>
      <c r="K288" s="7">
        <v>0</v>
      </c>
      <c r="L288" s="7">
        <f>COUNTIFS(I$11:I288,I288,J$11:J288,J288)-1</f>
        <v>0</v>
      </c>
      <c r="O288" s="7">
        <v>10</v>
      </c>
      <c r="P288" s="7">
        <v>300000</v>
      </c>
      <c r="Q288" s="7" t="s">
        <v>138</v>
      </c>
      <c r="R288" s="21">
        <v>40140009</v>
      </c>
      <c r="S288" s="7"/>
      <c r="T288" s="7"/>
      <c r="U288" s="7">
        <v>11010001</v>
      </c>
      <c r="V288" s="7">
        <v>11020001</v>
      </c>
      <c r="X288" s="7" t="s">
        <v>139</v>
      </c>
      <c r="Y288" s="7" t="s">
        <v>783</v>
      </c>
      <c r="Z288" s="7"/>
      <c r="AA288" s="7">
        <v>80</v>
      </c>
      <c r="AB288" s="7">
        <v>80</v>
      </c>
      <c r="AC288" s="7">
        <v>20</v>
      </c>
      <c r="AD288" s="7">
        <v>30</v>
      </c>
      <c r="AE288" s="7" t="s">
        <v>141</v>
      </c>
      <c r="AF288" s="7"/>
      <c r="AG288" s="22"/>
      <c r="AI288" s="23">
        <v>610</v>
      </c>
      <c r="AJ288" s="7" t="s">
        <v>142</v>
      </c>
      <c r="AK288" s="24">
        <v>4450</v>
      </c>
      <c r="AL288" s="7" t="s">
        <v>143</v>
      </c>
      <c r="AM288" s="7">
        <v>38</v>
      </c>
      <c r="AN288" s="7" t="s">
        <v>144</v>
      </c>
      <c r="AO288" s="7">
        <v>55</v>
      </c>
      <c r="AP288" s="7" t="s">
        <v>145</v>
      </c>
      <c r="AQ288" s="7">
        <v>35</v>
      </c>
      <c r="AR288" s="7" t="s">
        <v>146</v>
      </c>
      <c r="AS288" s="7">
        <v>50</v>
      </c>
      <c r="AT288" s="7" t="s">
        <v>147</v>
      </c>
      <c r="AU288" s="7">
        <v>90</v>
      </c>
      <c r="AV288" s="7" t="s">
        <v>148</v>
      </c>
      <c r="AW288" s="7">
        <v>120</v>
      </c>
      <c r="AX288" s="7" t="s">
        <v>149</v>
      </c>
      <c r="AY288" s="7">
        <v>90</v>
      </c>
      <c r="AZ288" s="7" t="s">
        <v>150</v>
      </c>
      <c r="BA288" s="7">
        <v>120</v>
      </c>
      <c r="BB288" s="7" t="s">
        <v>151</v>
      </c>
      <c r="BC288" s="7">
        <v>1</v>
      </c>
      <c r="BD288" s="7" t="s">
        <v>152</v>
      </c>
      <c r="BE288" s="7">
        <v>2</v>
      </c>
      <c r="BF288" s="7" t="s">
        <v>153</v>
      </c>
      <c r="BG288" s="7">
        <v>100</v>
      </c>
      <c r="BH288" s="7" t="s">
        <v>154</v>
      </c>
      <c r="BI288" s="7">
        <v>10</v>
      </c>
      <c r="BJ288" s="7" t="s">
        <v>155</v>
      </c>
      <c r="BK288" s="7">
        <v>300</v>
      </c>
      <c r="BL288" s="20"/>
      <c r="BM288" s="20"/>
      <c r="BN288" s="20">
        <v>1</v>
      </c>
      <c r="BO288" s="20">
        <v>2500</v>
      </c>
      <c r="BP288" s="20">
        <v>2</v>
      </c>
      <c r="BQ288" s="20">
        <v>2500</v>
      </c>
      <c r="BR288" s="20" t="s">
        <v>156</v>
      </c>
    </row>
    <row r="289" s="7" customFormat="1" ht="16.5" spans="1:70">
      <c r="A289" s="7">
        <f>60000000+INDEX(编号表!$B:$B,MATCH(I289,编号表!$A:$A,0))*10000+INDEX(编号表!$B:$B,MATCH(J289,编号表!$C:$C,0))*1000+K289</f>
        <v>60361001</v>
      </c>
      <c r="B289" s="7" t="s">
        <v>814</v>
      </c>
      <c r="C289" s="7" t="s">
        <v>785</v>
      </c>
      <c r="D289" s="7" t="s">
        <v>815</v>
      </c>
      <c r="E289" s="7">
        <v>55</v>
      </c>
      <c r="F289" s="7" t="str" cm="1">
        <f t="array" ref="F289">INDEX(编号表!$E:$E,MATCH(J289,编号表!$C:$C,0))</f>
        <v>白色</v>
      </c>
      <c r="G289" s="7">
        <v>40</v>
      </c>
      <c r="H289" s="7" t="s">
        <v>813</v>
      </c>
      <c r="I289" s="7" t="s">
        <v>813</v>
      </c>
      <c r="J289" s="7" t="s">
        <v>137</v>
      </c>
      <c r="K289" s="7">
        <v>1</v>
      </c>
      <c r="L289" s="7">
        <f>COUNTIFS(I$11:I289,I289,J$11:J289,J289)-1</f>
        <v>1</v>
      </c>
      <c r="O289" s="7">
        <v>10</v>
      </c>
      <c r="P289" s="7">
        <v>300000</v>
      </c>
      <c r="Q289" s="7" t="s">
        <v>138</v>
      </c>
      <c r="R289" s="21">
        <v>40140009</v>
      </c>
      <c r="S289" s="7"/>
      <c r="T289" s="7"/>
      <c r="U289" s="7">
        <v>11010001</v>
      </c>
      <c r="V289" s="7">
        <v>11020001</v>
      </c>
      <c r="X289" s="7" t="s">
        <v>139</v>
      </c>
      <c r="Y289" s="7" t="s">
        <v>786</v>
      </c>
      <c r="Z289" s="7"/>
      <c r="AA289" s="7">
        <v>80</v>
      </c>
      <c r="AB289" s="7">
        <v>80</v>
      </c>
      <c r="AC289" s="7">
        <v>20</v>
      </c>
      <c r="AD289" s="7">
        <v>30</v>
      </c>
      <c r="AE289" s="7" t="s">
        <v>141</v>
      </c>
      <c r="AF289" s="7"/>
      <c r="AG289" s="22"/>
      <c r="AI289" s="23">
        <v>610</v>
      </c>
      <c r="AJ289" s="7" t="s">
        <v>142</v>
      </c>
      <c r="AK289" s="24">
        <v>4450</v>
      </c>
      <c r="AL289" s="7" t="s">
        <v>143</v>
      </c>
      <c r="AM289" s="7">
        <v>38</v>
      </c>
      <c r="AN289" s="7" t="s">
        <v>144</v>
      </c>
      <c r="AO289" s="7">
        <v>55</v>
      </c>
      <c r="AP289" s="7" t="s">
        <v>145</v>
      </c>
      <c r="AQ289" s="7">
        <v>35</v>
      </c>
      <c r="AR289" s="7" t="s">
        <v>146</v>
      </c>
      <c r="AS289" s="7">
        <v>50</v>
      </c>
      <c r="AT289" s="7" t="s">
        <v>147</v>
      </c>
      <c r="AU289" s="7">
        <v>90</v>
      </c>
      <c r="AV289" s="7" t="s">
        <v>148</v>
      </c>
      <c r="AW289" s="7">
        <v>120</v>
      </c>
      <c r="AX289" s="7" t="s">
        <v>149</v>
      </c>
      <c r="AY289" s="7">
        <v>90</v>
      </c>
      <c r="AZ289" s="7" t="s">
        <v>150</v>
      </c>
      <c r="BA289" s="7">
        <v>120</v>
      </c>
      <c r="BB289" s="7" t="s">
        <v>151</v>
      </c>
      <c r="BC289" s="7">
        <v>1</v>
      </c>
      <c r="BD289" s="7" t="s">
        <v>152</v>
      </c>
      <c r="BE289" s="7">
        <v>2</v>
      </c>
      <c r="BF289" s="7" t="s">
        <v>153</v>
      </c>
      <c r="BG289" s="7">
        <v>100</v>
      </c>
      <c r="BH289" s="7" t="s">
        <v>154</v>
      </c>
      <c r="BI289" s="7">
        <v>10</v>
      </c>
      <c r="BJ289" s="7" t="s">
        <v>155</v>
      </c>
      <c r="BK289" s="7">
        <v>300</v>
      </c>
      <c r="BL289" s="20"/>
      <c r="BM289" s="20"/>
      <c r="BN289" s="20">
        <v>1</v>
      </c>
      <c r="BO289" s="20">
        <v>2500</v>
      </c>
      <c r="BP289" s="20">
        <v>2</v>
      </c>
      <c r="BQ289" s="20">
        <v>2500</v>
      </c>
      <c r="BR289" s="20" t="s">
        <v>156</v>
      </c>
    </row>
    <row r="290" s="7" customFormat="1" ht="16.5" spans="1:70">
      <c r="A290" s="7">
        <f>60000000+INDEX(编号表!$B:$B,MATCH(I290,编号表!$A:$A,0))*10000+INDEX(编号表!$B:$B,MATCH(J290,编号表!$C:$C,0))*1000+K290</f>
        <v>60361002</v>
      </c>
      <c r="B290" s="7" t="s">
        <v>816</v>
      </c>
      <c r="C290" s="7" t="s">
        <v>788</v>
      </c>
      <c r="D290" s="7" t="s">
        <v>817</v>
      </c>
      <c r="E290" s="7">
        <v>55</v>
      </c>
      <c r="F290" s="7" t="str" cm="1">
        <f t="array" ref="F290">INDEX(编号表!$E:$E,MATCH(J290,编号表!$C:$C,0))</f>
        <v>白色</v>
      </c>
      <c r="G290" s="7">
        <v>40</v>
      </c>
      <c r="H290" s="7" t="s">
        <v>813</v>
      </c>
      <c r="I290" s="7" t="s">
        <v>813</v>
      </c>
      <c r="J290" s="7" t="s">
        <v>137</v>
      </c>
      <c r="K290" s="7">
        <v>2</v>
      </c>
      <c r="L290" s="7">
        <f>COUNTIFS(I$11:I290,I290,J$11:J290,J290)-1</f>
        <v>2</v>
      </c>
      <c r="O290" s="7">
        <v>10</v>
      </c>
      <c r="P290" s="7">
        <v>300000</v>
      </c>
      <c r="Q290" s="7" t="s">
        <v>138</v>
      </c>
      <c r="R290" s="21">
        <v>40140009</v>
      </c>
      <c r="S290" s="7"/>
      <c r="T290" s="7"/>
      <c r="U290" s="7">
        <v>11010001</v>
      </c>
      <c r="V290" s="7">
        <v>11020001</v>
      </c>
      <c r="X290" s="7" t="s">
        <v>139</v>
      </c>
      <c r="Y290" s="7" t="s">
        <v>789</v>
      </c>
      <c r="Z290" s="7"/>
      <c r="AA290" s="7">
        <v>80</v>
      </c>
      <c r="AB290" s="7">
        <v>80</v>
      </c>
      <c r="AC290" s="7">
        <v>20</v>
      </c>
      <c r="AD290" s="7">
        <v>30</v>
      </c>
      <c r="AE290" s="7" t="s">
        <v>141</v>
      </c>
      <c r="AF290" s="7"/>
      <c r="AG290" s="22"/>
      <c r="AI290" s="23">
        <v>610</v>
      </c>
      <c r="AJ290" s="7" t="s">
        <v>142</v>
      </c>
      <c r="AK290" s="24">
        <v>4450</v>
      </c>
      <c r="AL290" s="7" t="s">
        <v>143</v>
      </c>
      <c r="AM290" s="7">
        <v>38</v>
      </c>
      <c r="AN290" s="7" t="s">
        <v>144</v>
      </c>
      <c r="AO290" s="7">
        <v>55</v>
      </c>
      <c r="AP290" s="7" t="s">
        <v>145</v>
      </c>
      <c r="AQ290" s="7">
        <v>35</v>
      </c>
      <c r="AR290" s="7" t="s">
        <v>146</v>
      </c>
      <c r="AS290" s="7">
        <v>50</v>
      </c>
      <c r="AT290" s="7" t="s">
        <v>147</v>
      </c>
      <c r="AU290" s="7">
        <v>90</v>
      </c>
      <c r="AV290" s="7" t="s">
        <v>148</v>
      </c>
      <c r="AW290" s="7">
        <v>120</v>
      </c>
      <c r="AX290" s="7" t="s">
        <v>149</v>
      </c>
      <c r="AY290" s="7">
        <v>90</v>
      </c>
      <c r="AZ290" s="7" t="s">
        <v>150</v>
      </c>
      <c r="BA290" s="7">
        <v>120</v>
      </c>
      <c r="BB290" s="7" t="s">
        <v>151</v>
      </c>
      <c r="BC290" s="7">
        <v>1</v>
      </c>
      <c r="BD290" s="7" t="s">
        <v>152</v>
      </c>
      <c r="BE290" s="7">
        <v>2</v>
      </c>
      <c r="BF290" s="7" t="s">
        <v>153</v>
      </c>
      <c r="BG290" s="7">
        <v>100</v>
      </c>
      <c r="BH290" s="7" t="s">
        <v>154</v>
      </c>
      <c r="BI290" s="7">
        <v>10</v>
      </c>
      <c r="BJ290" s="7" t="s">
        <v>155</v>
      </c>
      <c r="BK290" s="7">
        <v>300</v>
      </c>
      <c r="BL290" s="20"/>
      <c r="BM290" s="20"/>
      <c r="BN290" s="20">
        <v>1</v>
      </c>
      <c r="BO290" s="20">
        <v>2500</v>
      </c>
      <c r="BP290" s="20">
        <v>2</v>
      </c>
      <c r="BQ290" s="20">
        <v>2500</v>
      </c>
      <c r="BR290" s="20" t="s">
        <v>156</v>
      </c>
    </row>
    <row r="291" s="7" customFormat="1" ht="16.5" spans="1:70">
      <c r="A291" s="7">
        <f>60000000+INDEX(编号表!$B:$B,MATCH(I291,编号表!$A:$A,0))*10000+INDEX(编号表!$B:$B,MATCH(J291,编号表!$C:$C,0))*1000+K291</f>
        <v>60361003</v>
      </c>
      <c r="B291" s="7" t="s">
        <v>818</v>
      </c>
      <c r="C291" s="7" t="s">
        <v>804</v>
      </c>
      <c r="D291" s="7" t="s">
        <v>819</v>
      </c>
      <c r="E291" s="7">
        <v>55</v>
      </c>
      <c r="F291" s="7" t="str" cm="1">
        <f t="array" ref="F291">INDEX(编号表!$E:$E,MATCH(J291,编号表!$C:$C,0))</f>
        <v>白色</v>
      </c>
      <c r="G291" s="7">
        <v>40</v>
      </c>
      <c r="H291" s="7" t="s">
        <v>813</v>
      </c>
      <c r="I291" s="7" t="s">
        <v>813</v>
      </c>
      <c r="J291" s="7" t="s">
        <v>137</v>
      </c>
      <c r="K291" s="7">
        <v>3</v>
      </c>
      <c r="L291" s="7">
        <f>COUNTIFS(I$11:I291,I291,J$11:J291,J291)-1</f>
        <v>3</v>
      </c>
      <c r="O291" s="7">
        <v>10</v>
      </c>
      <c r="P291" s="7">
        <v>300000</v>
      </c>
      <c r="Q291" s="7" t="s">
        <v>138</v>
      </c>
      <c r="R291" s="21">
        <v>40140009</v>
      </c>
      <c r="S291" s="7"/>
      <c r="T291" s="7"/>
      <c r="U291" s="7">
        <v>11010001</v>
      </c>
      <c r="V291" s="7">
        <v>11020001</v>
      </c>
      <c r="X291" s="7" t="s">
        <v>139</v>
      </c>
      <c r="Y291" s="7" t="s">
        <v>805</v>
      </c>
      <c r="Z291" s="7"/>
      <c r="AA291" s="7">
        <v>80</v>
      </c>
      <c r="AB291" s="7">
        <v>80</v>
      </c>
      <c r="AC291" s="7">
        <v>20</v>
      </c>
      <c r="AD291" s="7">
        <v>30</v>
      </c>
      <c r="AE291" s="7" t="s">
        <v>141</v>
      </c>
      <c r="AF291" s="7"/>
      <c r="AG291" s="22"/>
      <c r="AI291" s="23">
        <v>610</v>
      </c>
      <c r="AJ291" s="7" t="s">
        <v>142</v>
      </c>
      <c r="AK291" s="24">
        <v>4450</v>
      </c>
      <c r="AL291" s="7" t="s">
        <v>143</v>
      </c>
      <c r="AM291" s="7">
        <v>38</v>
      </c>
      <c r="AN291" s="7" t="s">
        <v>144</v>
      </c>
      <c r="AO291" s="7">
        <v>55</v>
      </c>
      <c r="AP291" s="7" t="s">
        <v>145</v>
      </c>
      <c r="AQ291" s="7">
        <v>35</v>
      </c>
      <c r="AR291" s="7" t="s">
        <v>146</v>
      </c>
      <c r="AS291" s="7">
        <v>50</v>
      </c>
      <c r="AT291" s="7" t="s">
        <v>147</v>
      </c>
      <c r="AU291" s="7">
        <v>90</v>
      </c>
      <c r="AV291" s="7" t="s">
        <v>148</v>
      </c>
      <c r="AW291" s="7">
        <v>120</v>
      </c>
      <c r="AX291" s="7" t="s">
        <v>149</v>
      </c>
      <c r="AY291" s="7">
        <v>90</v>
      </c>
      <c r="AZ291" s="7" t="s">
        <v>150</v>
      </c>
      <c r="BA291" s="7">
        <v>120</v>
      </c>
      <c r="BB291" s="7" t="s">
        <v>151</v>
      </c>
      <c r="BC291" s="7">
        <v>1</v>
      </c>
      <c r="BD291" s="7" t="s">
        <v>152</v>
      </c>
      <c r="BE291" s="7">
        <v>2</v>
      </c>
      <c r="BF291" s="7" t="s">
        <v>153</v>
      </c>
      <c r="BG291" s="7">
        <v>100</v>
      </c>
      <c r="BH291" s="7" t="s">
        <v>154</v>
      </c>
      <c r="BI291" s="7">
        <v>10</v>
      </c>
      <c r="BJ291" s="7" t="s">
        <v>155</v>
      </c>
      <c r="BK291" s="7">
        <v>300</v>
      </c>
      <c r="BL291" s="20"/>
      <c r="BM291" s="20"/>
      <c r="BN291" s="20">
        <v>1</v>
      </c>
      <c r="BO291" s="20">
        <v>2500</v>
      </c>
      <c r="BP291" s="20">
        <v>2</v>
      </c>
      <c r="BQ291" s="20">
        <v>2500</v>
      </c>
      <c r="BR291" s="20" t="s">
        <v>156</v>
      </c>
    </row>
    <row r="292" s="7" customFormat="1" ht="16.5" spans="1:70">
      <c r="A292" s="7">
        <f>60000000+INDEX(编号表!$B:$B,MATCH(I292,编号表!$A:$A,0))*10000+INDEX(编号表!$B:$B,MATCH(J292,编号表!$C:$C,0))*1000+K292</f>
        <v>60361004</v>
      </c>
      <c r="B292" s="7" t="s">
        <v>820</v>
      </c>
      <c r="C292" s="7" t="s">
        <v>791</v>
      </c>
      <c r="D292" s="7" t="s">
        <v>821</v>
      </c>
      <c r="E292" s="7">
        <v>55</v>
      </c>
      <c r="F292" s="7" t="str" cm="1">
        <f t="array" ref="F292">INDEX(编号表!$E:$E,MATCH(J292,编号表!$C:$C,0))</f>
        <v>白色</v>
      </c>
      <c r="G292" s="7">
        <v>40</v>
      </c>
      <c r="H292" s="7" t="s">
        <v>813</v>
      </c>
      <c r="I292" s="7" t="s">
        <v>813</v>
      </c>
      <c r="J292" s="7" t="s">
        <v>137</v>
      </c>
      <c r="K292" s="7">
        <v>4</v>
      </c>
      <c r="L292" s="7">
        <f>COUNTIFS(I$11:I292,I292,J$11:J292,J292)-1</f>
        <v>4</v>
      </c>
      <c r="O292" s="7">
        <v>10</v>
      </c>
      <c r="P292" s="7">
        <v>300000</v>
      </c>
      <c r="Q292" s="7" t="s">
        <v>138</v>
      </c>
      <c r="R292" s="21">
        <v>40140009</v>
      </c>
      <c r="S292" s="7"/>
      <c r="T292" s="7"/>
      <c r="U292" s="7">
        <v>11010001</v>
      </c>
      <c r="V292" s="7">
        <v>11020001</v>
      </c>
      <c r="X292" s="7" t="s">
        <v>139</v>
      </c>
      <c r="Y292" s="7" t="s">
        <v>792</v>
      </c>
      <c r="Z292" s="7"/>
      <c r="AA292" s="7">
        <v>80</v>
      </c>
      <c r="AB292" s="7">
        <v>80</v>
      </c>
      <c r="AC292" s="7">
        <v>20</v>
      </c>
      <c r="AD292" s="7">
        <v>30</v>
      </c>
      <c r="AE292" s="7" t="s">
        <v>141</v>
      </c>
      <c r="AF292" s="7"/>
      <c r="AG292" s="22"/>
      <c r="AI292" s="23">
        <v>610</v>
      </c>
      <c r="AJ292" s="7" t="s">
        <v>142</v>
      </c>
      <c r="AK292" s="24">
        <v>4450</v>
      </c>
      <c r="AL292" s="7" t="s">
        <v>143</v>
      </c>
      <c r="AM292" s="7">
        <v>38</v>
      </c>
      <c r="AN292" s="7" t="s">
        <v>144</v>
      </c>
      <c r="AO292" s="7">
        <v>55</v>
      </c>
      <c r="AP292" s="7" t="s">
        <v>145</v>
      </c>
      <c r="AQ292" s="7">
        <v>35</v>
      </c>
      <c r="AR292" s="7" t="s">
        <v>146</v>
      </c>
      <c r="AS292" s="7">
        <v>50</v>
      </c>
      <c r="AT292" s="7" t="s">
        <v>147</v>
      </c>
      <c r="AU292" s="7">
        <v>90</v>
      </c>
      <c r="AV292" s="7" t="s">
        <v>148</v>
      </c>
      <c r="AW292" s="7">
        <v>120</v>
      </c>
      <c r="AX292" s="7" t="s">
        <v>149</v>
      </c>
      <c r="AY292" s="7">
        <v>90</v>
      </c>
      <c r="AZ292" s="7" t="s">
        <v>150</v>
      </c>
      <c r="BA292" s="7">
        <v>120</v>
      </c>
      <c r="BB292" s="7" t="s">
        <v>151</v>
      </c>
      <c r="BC292" s="7">
        <v>1</v>
      </c>
      <c r="BD292" s="7" t="s">
        <v>152</v>
      </c>
      <c r="BE292" s="7">
        <v>2</v>
      </c>
      <c r="BF292" s="7" t="s">
        <v>153</v>
      </c>
      <c r="BG292" s="7">
        <v>100</v>
      </c>
      <c r="BH292" s="7" t="s">
        <v>154</v>
      </c>
      <c r="BI292" s="7">
        <v>10</v>
      </c>
      <c r="BJ292" s="7" t="s">
        <v>155</v>
      </c>
      <c r="BK292" s="7">
        <v>300</v>
      </c>
      <c r="BL292" s="20"/>
      <c r="BM292" s="20"/>
      <c r="BN292" s="20">
        <v>1</v>
      </c>
      <c r="BO292" s="20">
        <v>2500</v>
      </c>
      <c r="BP292" s="20">
        <v>2</v>
      </c>
      <c r="BQ292" s="20">
        <v>2500</v>
      </c>
      <c r="BR292" s="20" t="s">
        <v>156</v>
      </c>
    </row>
    <row r="293" s="7" customFormat="1" ht="16.5" spans="1:70">
      <c r="A293" s="7">
        <f>60000000+INDEX(编号表!$B:$B,MATCH(I293,编号表!$A:$A,0))*10000+INDEX(编号表!$B:$B,MATCH(J293,编号表!$C:$C,0))*1000+K293</f>
        <v>60362000</v>
      </c>
      <c r="B293" s="7" t="s">
        <v>822</v>
      </c>
      <c r="C293" s="7" t="s">
        <v>804</v>
      </c>
      <c r="D293" s="7" t="s">
        <v>823</v>
      </c>
      <c r="E293" s="7">
        <v>56</v>
      </c>
      <c r="F293" s="7" t="str" cm="1">
        <f t="array" ref="F293">INDEX(编号表!$E:$E,MATCH(J293,编号表!$C:$C,0))</f>
        <v>绿色</v>
      </c>
      <c r="G293" s="7">
        <v>40</v>
      </c>
      <c r="H293" s="7" t="s">
        <v>813</v>
      </c>
      <c r="I293" s="7" t="s">
        <v>813</v>
      </c>
      <c r="J293" s="7" t="s">
        <v>221</v>
      </c>
      <c r="K293" s="7">
        <v>0</v>
      </c>
      <c r="L293" s="7">
        <f>COUNTIFS(I$11:I293,I293,J$11:J293,J293)-1</f>
        <v>0</v>
      </c>
      <c r="O293" s="7">
        <v>10</v>
      </c>
      <c r="P293" s="7">
        <v>300000</v>
      </c>
      <c r="Q293" s="7" t="s">
        <v>138</v>
      </c>
      <c r="R293" s="21">
        <v>40140009</v>
      </c>
      <c r="S293" s="7"/>
      <c r="T293" s="7"/>
      <c r="U293" s="7">
        <v>11010001</v>
      </c>
      <c r="V293" s="7">
        <v>11020001</v>
      </c>
      <c r="X293" s="7" t="s">
        <v>139</v>
      </c>
      <c r="Y293" s="7" t="s">
        <v>805</v>
      </c>
      <c r="Z293" s="7"/>
      <c r="AA293" s="7">
        <v>80</v>
      </c>
      <c r="AB293" s="7">
        <v>80</v>
      </c>
      <c r="AC293" s="7">
        <v>20</v>
      </c>
      <c r="AD293" s="7">
        <v>30</v>
      </c>
      <c r="AE293" s="7" t="s">
        <v>141</v>
      </c>
      <c r="AF293" s="7"/>
      <c r="AG293" s="22" t="s">
        <v>222</v>
      </c>
      <c r="AI293" s="23">
        <v>2500</v>
      </c>
      <c r="AJ293" s="7" t="s">
        <v>142</v>
      </c>
      <c r="AK293" s="24">
        <v>28000</v>
      </c>
      <c r="AL293" s="7" t="s">
        <v>143</v>
      </c>
      <c r="AM293" s="7">
        <v>65</v>
      </c>
      <c r="AN293" s="7" t="s">
        <v>144</v>
      </c>
      <c r="AO293" s="7">
        <v>90</v>
      </c>
      <c r="AP293" s="7" t="s">
        <v>145</v>
      </c>
      <c r="AQ293" s="7">
        <v>60</v>
      </c>
      <c r="AR293" s="7" t="s">
        <v>146</v>
      </c>
      <c r="AS293" s="7">
        <v>85</v>
      </c>
      <c r="AT293" s="7" t="s">
        <v>147</v>
      </c>
      <c r="AU293" s="7">
        <v>200</v>
      </c>
      <c r="AV293" s="7" t="s">
        <v>148</v>
      </c>
      <c r="AW293" s="7">
        <v>270</v>
      </c>
      <c r="AX293" s="7" t="s">
        <v>149</v>
      </c>
      <c r="AY293" s="7">
        <v>200</v>
      </c>
      <c r="AZ293" s="7" t="s">
        <v>150</v>
      </c>
      <c r="BA293" s="7">
        <v>270</v>
      </c>
      <c r="BB293" s="7" t="s">
        <v>151</v>
      </c>
      <c r="BC293" s="7">
        <v>1</v>
      </c>
      <c r="BD293" s="7" t="s">
        <v>152</v>
      </c>
      <c r="BE293" s="7">
        <v>2</v>
      </c>
      <c r="BF293" s="7" t="s">
        <v>153</v>
      </c>
      <c r="BG293" s="7">
        <v>100</v>
      </c>
      <c r="BH293" s="7" t="s">
        <v>154</v>
      </c>
      <c r="BI293" s="7">
        <v>10</v>
      </c>
      <c r="BJ293" s="7" t="s">
        <v>155</v>
      </c>
      <c r="BK293" s="7">
        <v>300</v>
      </c>
      <c r="BL293" s="20"/>
      <c r="BM293" s="20"/>
      <c r="BN293" s="20">
        <v>1</v>
      </c>
      <c r="BO293" s="20">
        <v>2500</v>
      </c>
      <c r="BP293" s="20">
        <v>2</v>
      </c>
      <c r="BQ293" s="20">
        <v>2500</v>
      </c>
      <c r="BR293" s="20" t="s">
        <v>156</v>
      </c>
    </row>
    <row r="294" s="15" customFormat="1" ht="16.5" spans="1:70">
      <c r="A294" s="15">
        <f>60000000+INDEX(编号表!$B:$B,MATCH(I294,编号表!$A:$A,0))*10000+INDEX(编号表!$B:$B,MATCH(J294,编号表!$C:$C,0))*1000+K294</f>
        <v>60364000</v>
      </c>
      <c r="B294" s="15" t="s">
        <v>824</v>
      </c>
      <c r="C294" s="15" t="s">
        <v>804</v>
      </c>
      <c r="D294" s="15" t="s">
        <v>823</v>
      </c>
      <c r="E294" s="15">
        <v>56</v>
      </c>
      <c r="F294" s="15" t="str" cm="1">
        <f t="array" ref="F294">INDEX(编号表!$E:$E,MATCH(J294,编号表!$C:$C,0))</f>
        <v>橙色</v>
      </c>
      <c r="G294" s="15">
        <v>40</v>
      </c>
      <c r="H294" s="15" t="s">
        <v>813</v>
      </c>
      <c r="I294" s="15" t="s">
        <v>813</v>
      </c>
      <c r="J294" s="15" t="s">
        <v>233</v>
      </c>
      <c r="K294" s="15">
        <v>0</v>
      </c>
      <c r="L294" s="15">
        <f>COUNTIFS(I$11:I294,I294,J$11:J294,J294)-1</f>
        <v>0</v>
      </c>
      <c r="O294" s="7">
        <v>10</v>
      </c>
      <c r="P294" s="7">
        <v>300000</v>
      </c>
      <c r="Q294" s="15" t="s">
        <v>138</v>
      </c>
      <c r="R294" s="21">
        <v>40140009</v>
      </c>
      <c r="S294" s="15"/>
      <c r="T294" s="15"/>
      <c r="U294" s="15">
        <v>11010001</v>
      </c>
      <c r="V294" s="15">
        <v>11020001</v>
      </c>
      <c r="X294" s="15" t="s">
        <v>139</v>
      </c>
      <c r="Y294" s="7" t="s">
        <v>805</v>
      </c>
      <c r="Z294" s="7">
        <v>1.5</v>
      </c>
      <c r="AA294" s="7">
        <v>80</v>
      </c>
      <c r="AB294" s="7">
        <v>80</v>
      </c>
      <c r="AC294" s="7">
        <v>20</v>
      </c>
      <c r="AD294" s="7">
        <v>30</v>
      </c>
      <c r="AE294" s="15" t="s">
        <v>141</v>
      </c>
      <c r="AF294" s="15"/>
      <c r="AG294" s="22" t="s">
        <v>234</v>
      </c>
      <c r="AH294" s="15"/>
      <c r="AI294" s="23">
        <v>12550</v>
      </c>
      <c r="AJ294" s="15" t="s">
        <v>142</v>
      </c>
      <c r="AK294" s="24">
        <v>207000</v>
      </c>
      <c r="AL294" s="15" t="s">
        <v>143</v>
      </c>
      <c r="AM294" s="15">
        <v>90</v>
      </c>
      <c r="AN294" s="15" t="s">
        <v>144</v>
      </c>
      <c r="AO294" s="15">
        <v>130</v>
      </c>
      <c r="AP294" s="15" t="s">
        <v>145</v>
      </c>
      <c r="AQ294" s="15">
        <v>85</v>
      </c>
      <c r="AR294" s="15" t="s">
        <v>146</v>
      </c>
      <c r="AS294" s="15">
        <v>125</v>
      </c>
      <c r="AT294" s="15" t="s">
        <v>147</v>
      </c>
      <c r="AU294" s="15">
        <v>330</v>
      </c>
      <c r="AV294" s="15" t="s">
        <v>148</v>
      </c>
      <c r="AW294" s="15">
        <v>450</v>
      </c>
      <c r="AX294" s="15" t="s">
        <v>149</v>
      </c>
      <c r="AY294" s="15">
        <v>330</v>
      </c>
      <c r="AZ294" s="15" t="s">
        <v>150</v>
      </c>
      <c r="BA294" s="15">
        <v>450</v>
      </c>
      <c r="BB294" s="15" t="s">
        <v>151</v>
      </c>
      <c r="BC294" s="15">
        <v>1</v>
      </c>
      <c r="BD294" s="15" t="s">
        <v>152</v>
      </c>
      <c r="BE294" s="15">
        <v>2</v>
      </c>
      <c r="BF294" s="15" t="s">
        <v>153</v>
      </c>
      <c r="BG294" s="15">
        <v>100</v>
      </c>
      <c r="BH294" s="15" t="s">
        <v>154</v>
      </c>
      <c r="BI294" s="15">
        <v>10</v>
      </c>
      <c r="BJ294" s="15" t="s">
        <v>155</v>
      </c>
      <c r="BK294" s="7">
        <v>300</v>
      </c>
      <c r="BL294" s="25"/>
      <c r="BM294" s="25"/>
      <c r="BN294" s="20">
        <v>1</v>
      </c>
      <c r="BO294" s="20">
        <v>2500</v>
      </c>
      <c r="BP294" s="20">
        <v>2</v>
      </c>
      <c r="BQ294" s="20">
        <v>2500</v>
      </c>
      <c r="BR294" s="25" t="s">
        <v>156</v>
      </c>
    </row>
    <row r="295" s="7" customFormat="1" ht="16.5" spans="1:70">
      <c r="A295" s="7">
        <f>60000000+INDEX(编号表!$B:$B,MATCH(I295,编号表!$A:$A,0))*10000+INDEX(编号表!$B:$B,MATCH(J295,编号表!$C:$C,0))*1000+K295</f>
        <v>60371000</v>
      </c>
      <c r="B295" s="7" t="s">
        <v>825</v>
      </c>
      <c r="C295" s="7" t="s">
        <v>782</v>
      </c>
      <c r="D295" s="7" t="s">
        <v>826</v>
      </c>
      <c r="E295" s="7">
        <v>56</v>
      </c>
      <c r="F295" s="7" t="str" cm="1">
        <f t="array" ref="F295">INDEX(编号表!$E:$E,MATCH(J295,编号表!$C:$C,0))</f>
        <v>白色</v>
      </c>
      <c r="G295" s="7">
        <v>41</v>
      </c>
      <c r="H295" s="7" t="s">
        <v>827</v>
      </c>
      <c r="I295" s="7" t="s">
        <v>827</v>
      </c>
      <c r="J295" s="7" t="s">
        <v>137</v>
      </c>
      <c r="K295" s="7">
        <v>0</v>
      </c>
      <c r="L295" s="7">
        <f>COUNTIFS(I$11:I295,I295,J$11:J295,J295)-1</f>
        <v>0</v>
      </c>
      <c r="O295" s="7">
        <v>10</v>
      </c>
      <c r="P295" s="7">
        <v>300000</v>
      </c>
      <c r="Q295" s="7" t="s">
        <v>138</v>
      </c>
      <c r="R295" s="21">
        <v>40140009</v>
      </c>
      <c r="S295" s="7"/>
      <c r="T295" s="7"/>
      <c r="U295" s="7">
        <v>11010001</v>
      </c>
      <c r="V295" s="7">
        <v>11020001</v>
      </c>
      <c r="X295" s="7" t="s">
        <v>139</v>
      </c>
      <c r="Y295" s="7" t="s">
        <v>783</v>
      </c>
      <c r="Z295" s="7"/>
      <c r="AA295" s="7">
        <v>80</v>
      </c>
      <c r="AB295" s="7">
        <v>80</v>
      </c>
      <c r="AC295" s="7">
        <v>20</v>
      </c>
      <c r="AD295" s="7">
        <v>30</v>
      </c>
      <c r="AE295" s="7" t="s">
        <v>141</v>
      </c>
      <c r="AF295" s="7"/>
      <c r="AG295" s="22"/>
      <c r="AI295" s="23">
        <v>630</v>
      </c>
      <c r="AJ295" s="7" t="s">
        <v>142</v>
      </c>
      <c r="AK295" s="24">
        <v>4600</v>
      </c>
      <c r="AL295" s="7" t="s">
        <v>143</v>
      </c>
      <c r="AM295" s="7">
        <v>39</v>
      </c>
      <c r="AN295" s="7" t="s">
        <v>144</v>
      </c>
      <c r="AO295" s="7">
        <v>55</v>
      </c>
      <c r="AP295" s="7" t="s">
        <v>145</v>
      </c>
      <c r="AQ295" s="7">
        <v>36</v>
      </c>
      <c r="AR295" s="7" t="s">
        <v>146</v>
      </c>
      <c r="AS295" s="7">
        <v>50</v>
      </c>
      <c r="AT295" s="7" t="s">
        <v>147</v>
      </c>
      <c r="AU295" s="7">
        <v>95</v>
      </c>
      <c r="AV295" s="7" t="s">
        <v>148</v>
      </c>
      <c r="AW295" s="7">
        <v>125</v>
      </c>
      <c r="AX295" s="7" t="s">
        <v>149</v>
      </c>
      <c r="AY295" s="7">
        <v>95</v>
      </c>
      <c r="AZ295" s="7" t="s">
        <v>150</v>
      </c>
      <c r="BA295" s="7">
        <v>125</v>
      </c>
      <c r="BB295" s="7" t="s">
        <v>151</v>
      </c>
      <c r="BC295" s="7">
        <v>1</v>
      </c>
      <c r="BD295" s="7" t="s">
        <v>152</v>
      </c>
      <c r="BE295" s="7">
        <v>2</v>
      </c>
      <c r="BF295" s="7" t="s">
        <v>153</v>
      </c>
      <c r="BG295" s="7">
        <v>100</v>
      </c>
      <c r="BH295" s="7" t="s">
        <v>154</v>
      </c>
      <c r="BI295" s="7">
        <v>10</v>
      </c>
      <c r="BJ295" s="7" t="s">
        <v>155</v>
      </c>
      <c r="BK295" s="7">
        <v>300</v>
      </c>
      <c r="BL295" s="20"/>
      <c r="BM295" s="20"/>
      <c r="BN295" s="20">
        <v>1</v>
      </c>
      <c r="BO295" s="20">
        <v>2500</v>
      </c>
      <c r="BP295" s="20">
        <v>2</v>
      </c>
      <c r="BQ295" s="20">
        <v>2500</v>
      </c>
      <c r="BR295" s="20" t="s">
        <v>156</v>
      </c>
    </row>
    <row r="296" s="7" customFormat="1" ht="16.5" spans="1:70">
      <c r="A296" s="7">
        <f>60000000+INDEX(编号表!$B:$B,MATCH(I296,编号表!$A:$A,0))*10000+INDEX(编号表!$B:$B,MATCH(J296,编号表!$C:$C,0))*1000+K296</f>
        <v>60371001</v>
      </c>
      <c r="B296" s="7" t="s">
        <v>828</v>
      </c>
      <c r="C296" s="7" t="s">
        <v>785</v>
      </c>
      <c r="D296" s="7" t="s">
        <v>829</v>
      </c>
      <c r="E296" s="7">
        <v>56</v>
      </c>
      <c r="F296" s="7" t="str" cm="1">
        <f t="array" ref="F296">INDEX(编号表!$E:$E,MATCH(J296,编号表!$C:$C,0))</f>
        <v>白色</v>
      </c>
      <c r="G296" s="7">
        <v>41</v>
      </c>
      <c r="H296" s="7" t="s">
        <v>827</v>
      </c>
      <c r="I296" s="7" t="s">
        <v>827</v>
      </c>
      <c r="J296" s="7" t="s">
        <v>137</v>
      </c>
      <c r="K296" s="7">
        <v>1</v>
      </c>
      <c r="L296" s="7">
        <f>COUNTIFS(I$11:I296,I296,J$11:J296,J296)-1</f>
        <v>1</v>
      </c>
      <c r="O296" s="7">
        <v>10</v>
      </c>
      <c r="P296" s="7">
        <v>300000</v>
      </c>
      <c r="Q296" s="7" t="s">
        <v>138</v>
      </c>
      <c r="R296" s="21">
        <v>40140009</v>
      </c>
      <c r="S296" s="7"/>
      <c r="T296" s="7"/>
      <c r="U296" s="7">
        <v>11010001</v>
      </c>
      <c r="V296" s="7">
        <v>11020001</v>
      </c>
      <c r="X296" s="7" t="s">
        <v>139</v>
      </c>
      <c r="Y296" s="7" t="s">
        <v>786</v>
      </c>
      <c r="Z296" s="7"/>
      <c r="AA296" s="7">
        <v>80</v>
      </c>
      <c r="AB296" s="7">
        <v>80</v>
      </c>
      <c r="AC296" s="7">
        <v>20</v>
      </c>
      <c r="AD296" s="7">
        <v>30</v>
      </c>
      <c r="AE296" s="7" t="s">
        <v>141</v>
      </c>
      <c r="AF296" s="7"/>
      <c r="AG296" s="22"/>
      <c r="AI296" s="23">
        <v>630</v>
      </c>
      <c r="AJ296" s="7" t="s">
        <v>142</v>
      </c>
      <c r="AK296" s="24">
        <v>4600</v>
      </c>
      <c r="AL296" s="7" t="s">
        <v>143</v>
      </c>
      <c r="AM296" s="7">
        <v>39</v>
      </c>
      <c r="AN296" s="7" t="s">
        <v>144</v>
      </c>
      <c r="AO296" s="7">
        <v>55</v>
      </c>
      <c r="AP296" s="7" t="s">
        <v>145</v>
      </c>
      <c r="AQ296" s="7">
        <v>36</v>
      </c>
      <c r="AR296" s="7" t="s">
        <v>146</v>
      </c>
      <c r="AS296" s="7">
        <v>50</v>
      </c>
      <c r="AT296" s="7" t="s">
        <v>147</v>
      </c>
      <c r="AU296" s="7">
        <v>95</v>
      </c>
      <c r="AV296" s="7" t="s">
        <v>148</v>
      </c>
      <c r="AW296" s="7">
        <v>125</v>
      </c>
      <c r="AX296" s="7" t="s">
        <v>149</v>
      </c>
      <c r="AY296" s="7">
        <v>95</v>
      </c>
      <c r="AZ296" s="7" t="s">
        <v>150</v>
      </c>
      <c r="BA296" s="7">
        <v>125</v>
      </c>
      <c r="BB296" s="7" t="s">
        <v>151</v>
      </c>
      <c r="BC296" s="7">
        <v>1</v>
      </c>
      <c r="BD296" s="7" t="s">
        <v>152</v>
      </c>
      <c r="BE296" s="7">
        <v>2</v>
      </c>
      <c r="BF296" s="7" t="s">
        <v>153</v>
      </c>
      <c r="BG296" s="7">
        <v>100</v>
      </c>
      <c r="BH296" s="7" t="s">
        <v>154</v>
      </c>
      <c r="BI296" s="7">
        <v>10</v>
      </c>
      <c r="BJ296" s="7" t="s">
        <v>155</v>
      </c>
      <c r="BK296" s="7">
        <v>300</v>
      </c>
      <c r="BL296" s="20"/>
      <c r="BM296" s="20"/>
      <c r="BN296" s="20">
        <v>1</v>
      </c>
      <c r="BO296" s="20">
        <v>2500</v>
      </c>
      <c r="BP296" s="20">
        <v>2</v>
      </c>
      <c r="BQ296" s="20">
        <v>2500</v>
      </c>
      <c r="BR296" s="20" t="s">
        <v>156</v>
      </c>
    </row>
    <row r="297" s="7" customFormat="1" ht="16.5" spans="1:70">
      <c r="A297" s="7">
        <f>60000000+INDEX(编号表!$B:$B,MATCH(I297,编号表!$A:$A,0))*10000+INDEX(编号表!$B:$B,MATCH(J297,编号表!$C:$C,0))*1000+K297</f>
        <v>60371002</v>
      </c>
      <c r="B297" s="7" t="s">
        <v>830</v>
      </c>
      <c r="C297" s="7" t="s">
        <v>788</v>
      </c>
      <c r="D297" s="7" t="s">
        <v>831</v>
      </c>
      <c r="E297" s="7">
        <v>56</v>
      </c>
      <c r="F297" s="7" t="str" cm="1">
        <f t="array" ref="F297">INDEX(编号表!$E:$E,MATCH(J297,编号表!$C:$C,0))</f>
        <v>白色</v>
      </c>
      <c r="G297" s="7">
        <v>41</v>
      </c>
      <c r="H297" s="7" t="s">
        <v>827</v>
      </c>
      <c r="I297" s="7" t="s">
        <v>827</v>
      </c>
      <c r="J297" s="7" t="s">
        <v>137</v>
      </c>
      <c r="K297" s="7">
        <v>2</v>
      </c>
      <c r="L297" s="7">
        <f>COUNTIFS(I$11:I297,I297,J$11:J297,J297)-1</f>
        <v>2</v>
      </c>
      <c r="O297" s="7">
        <v>10</v>
      </c>
      <c r="P297" s="7">
        <v>300000</v>
      </c>
      <c r="Q297" s="7" t="s">
        <v>138</v>
      </c>
      <c r="R297" s="21">
        <v>40140009</v>
      </c>
      <c r="S297" s="7"/>
      <c r="T297" s="7"/>
      <c r="U297" s="7">
        <v>11010001</v>
      </c>
      <c r="V297" s="7">
        <v>11020001</v>
      </c>
      <c r="X297" s="7" t="s">
        <v>139</v>
      </c>
      <c r="Y297" s="7" t="s">
        <v>789</v>
      </c>
      <c r="Z297" s="7"/>
      <c r="AA297" s="7">
        <v>80</v>
      </c>
      <c r="AB297" s="7">
        <v>80</v>
      </c>
      <c r="AC297" s="7">
        <v>20</v>
      </c>
      <c r="AD297" s="7">
        <v>30</v>
      </c>
      <c r="AE297" s="7" t="s">
        <v>141</v>
      </c>
      <c r="AF297" s="7"/>
      <c r="AG297" s="22"/>
      <c r="AI297" s="23">
        <v>630</v>
      </c>
      <c r="AJ297" s="7" t="s">
        <v>142</v>
      </c>
      <c r="AK297" s="24">
        <v>4600</v>
      </c>
      <c r="AL297" s="7" t="s">
        <v>143</v>
      </c>
      <c r="AM297" s="7">
        <v>39</v>
      </c>
      <c r="AN297" s="7" t="s">
        <v>144</v>
      </c>
      <c r="AO297" s="7">
        <v>55</v>
      </c>
      <c r="AP297" s="7" t="s">
        <v>145</v>
      </c>
      <c r="AQ297" s="7">
        <v>36</v>
      </c>
      <c r="AR297" s="7" t="s">
        <v>146</v>
      </c>
      <c r="AS297" s="7">
        <v>50</v>
      </c>
      <c r="AT297" s="7" t="s">
        <v>147</v>
      </c>
      <c r="AU297" s="7">
        <v>95</v>
      </c>
      <c r="AV297" s="7" t="s">
        <v>148</v>
      </c>
      <c r="AW297" s="7">
        <v>125</v>
      </c>
      <c r="AX297" s="7" t="s">
        <v>149</v>
      </c>
      <c r="AY297" s="7">
        <v>95</v>
      </c>
      <c r="AZ297" s="7" t="s">
        <v>150</v>
      </c>
      <c r="BA297" s="7">
        <v>125</v>
      </c>
      <c r="BB297" s="7" t="s">
        <v>151</v>
      </c>
      <c r="BC297" s="7">
        <v>1</v>
      </c>
      <c r="BD297" s="7" t="s">
        <v>152</v>
      </c>
      <c r="BE297" s="7">
        <v>2</v>
      </c>
      <c r="BF297" s="7" t="s">
        <v>153</v>
      </c>
      <c r="BG297" s="7">
        <v>100</v>
      </c>
      <c r="BH297" s="7" t="s">
        <v>154</v>
      </c>
      <c r="BI297" s="7">
        <v>10</v>
      </c>
      <c r="BJ297" s="7" t="s">
        <v>155</v>
      </c>
      <c r="BK297" s="7">
        <v>300</v>
      </c>
      <c r="BL297" s="20"/>
      <c r="BM297" s="20"/>
      <c r="BN297" s="20">
        <v>1</v>
      </c>
      <c r="BO297" s="20">
        <v>2500</v>
      </c>
      <c r="BP297" s="20">
        <v>2</v>
      </c>
      <c r="BQ297" s="20">
        <v>2500</v>
      </c>
      <c r="BR297" s="20" t="s">
        <v>156</v>
      </c>
    </row>
    <row r="298" s="7" customFormat="1" ht="16.5" spans="1:70">
      <c r="A298" s="7">
        <f>60000000+INDEX(编号表!$B:$B,MATCH(I298,编号表!$A:$A,0))*10000+INDEX(编号表!$B:$B,MATCH(J298,编号表!$C:$C,0))*1000+K298</f>
        <v>60371003</v>
      </c>
      <c r="B298" s="7" t="s">
        <v>832</v>
      </c>
      <c r="C298" s="7" t="s">
        <v>804</v>
      </c>
      <c r="D298" s="7" t="s">
        <v>833</v>
      </c>
      <c r="E298" s="7">
        <v>56</v>
      </c>
      <c r="F298" s="7" t="str" cm="1">
        <f t="array" ref="F298">INDEX(编号表!$E:$E,MATCH(J298,编号表!$C:$C,0))</f>
        <v>白色</v>
      </c>
      <c r="G298" s="7">
        <v>41</v>
      </c>
      <c r="H298" s="7" t="s">
        <v>827</v>
      </c>
      <c r="I298" s="7" t="s">
        <v>827</v>
      </c>
      <c r="J298" s="7" t="s">
        <v>137</v>
      </c>
      <c r="K298" s="7">
        <v>3</v>
      </c>
      <c r="L298" s="7">
        <f>COUNTIFS(I$11:I298,I298,J$11:J298,J298)-1</f>
        <v>3</v>
      </c>
      <c r="O298" s="7">
        <v>10</v>
      </c>
      <c r="P298" s="7">
        <v>300000</v>
      </c>
      <c r="Q298" s="7" t="s">
        <v>138</v>
      </c>
      <c r="R298" s="21">
        <v>40140009</v>
      </c>
      <c r="S298" s="7"/>
      <c r="T298" s="7"/>
      <c r="U298" s="7">
        <v>11010001</v>
      </c>
      <c r="V298" s="7">
        <v>11020001</v>
      </c>
      <c r="X298" s="7" t="s">
        <v>139</v>
      </c>
      <c r="Y298" s="7" t="s">
        <v>805</v>
      </c>
      <c r="Z298" s="7"/>
      <c r="AA298" s="7">
        <v>80</v>
      </c>
      <c r="AB298" s="7">
        <v>80</v>
      </c>
      <c r="AC298" s="7">
        <v>20</v>
      </c>
      <c r="AD298" s="7">
        <v>30</v>
      </c>
      <c r="AE298" s="7" t="s">
        <v>141</v>
      </c>
      <c r="AF298" s="7"/>
      <c r="AG298" s="22"/>
      <c r="AI298" s="23">
        <v>630</v>
      </c>
      <c r="AJ298" s="7" t="s">
        <v>142</v>
      </c>
      <c r="AK298" s="24">
        <v>4600</v>
      </c>
      <c r="AL298" s="7" t="s">
        <v>143</v>
      </c>
      <c r="AM298" s="7">
        <v>39</v>
      </c>
      <c r="AN298" s="7" t="s">
        <v>144</v>
      </c>
      <c r="AO298" s="7">
        <v>55</v>
      </c>
      <c r="AP298" s="7" t="s">
        <v>145</v>
      </c>
      <c r="AQ298" s="7">
        <v>36</v>
      </c>
      <c r="AR298" s="7" t="s">
        <v>146</v>
      </c>
      <c r="AS298" s="7">
        <v>50</v>
      </c>
      <c r="AT298" s="7" t="s">
        <v>147</v>
      </c>
      <c r="AU298" s="7">
        <v>95</v>
      </c>
      <c r="AV298" s="7" t="s">
        <v>148</v>
      </c>
      <c r="AW298" s="7">
        <v>125</v>
      </c>
      <c r="AX298" s="7" t="s">
        <v>149</v>
      </c>
      <c r="AY298" s="7">
        <v>95</v>
      </c>
      <c r="AZ298" s="7" t="s">
        <v>150</v>
      </c>
      <c r="BA298" s="7">
        <v>125</v>
      </c>
      <c r="BB298" s="7" t="s">
        <v>151</v>
      </c>
      <c r="BC298" s="7">
        <v>1</v>
      </c>
      <c r="BD298" s="7" t="s">
        <v>152</v>
      </c>
      <c r="BE298" s="7">
        <v>2</v>
      </c>
      <c r="BF298" s="7" t="s">
        <v>153</v>
      </c>
      <c r="BG298" s="7">
        <v>100</v>
      </c>
      <c r="BH298" s="7" t="s">
        <v>154</v>
      </c>
      <c r="BI298" s="7">
        <v>10</v>
      </c>
      <c r="BJ298" s="7" t="s">
        <v>155</v>
      </c>
      <c r="BK298" s="7">
        <v>300</v>
      </c>
      <c r="BL298" s="20"/>
      <c r="BM298" s="20"/>
      <c r="BN298" s="20">
        <v>1</v>
      </c>
      <c r="BO298" s="20">
        <v>2500</v>
      </c>
      <c r="BP298" s="20">
        <v>2</v>
      </c>
      <c r="BQ298" s="20">
        <v>2500</v>
      </c>
      <c r="BR298" s="20" t="s">
        <v>156</v>
      </c>
    </row>
    <row r="299" s="7" customFormat="1" ht="16.5" spans="1:70">
      <c r="A299" s="7">
        <f>60000000+INDEX(编号表!$B:$B,MATCH(I299,编号表!$A:$A,0))*10000+INDEX(编号表!$B:$B,MATCH(J299,编号表!$C:$C,0))*1000+K299</f>
        <v>60371004</v>
      </c>
      <c r="B299" s="7" t="s">
        <v>834</v>
      </c>
      <c r="C299" s="7" t="s">
        <v>791</v>
      </c>
      <c r="D299" s="7" t="s">
        <v>835</v>
      </c>
      <c r="E299" s="7">
        <v>56</v>
      </c>
      <c r="F299" s="7" t="str" cm="1">
        <f t="array" ref="F299">INDEX(编号表!$E:$E,MATCH(J299,编号表!$C:$C,0))</f>
        <v>白色</v>
      </c>
      <c r="G299" s="7">
        <v>41</v>
      </c>
      <c r="H299" s="7" t="s">
        <v>827</v>
      </c>
      <c r="I299" s="7" t="s">
        <v>827</v>
      </c>
      <c r="J299" s="7" t="s">
        <v>137</v>
      </c>
      <c r="K299" s="7">
        <v>4</v>
      </c>
      <c r="L299" s="7">
        <f>COUNTIFS(I$11:I299,I299,J$11:J299,J299)-1</f>
        <v>4</v>
      </c>
      <c r="O299" s="7">
        <v>10</v>
      </c>
      <c r="P299" s="7">
        <v>300000</v>
      </c>
      <c r="Q299" s="7" t="s">
        <v>138</v>
      </c>
      <c r="R299" s="21">
        <v>40140009</v>
      </c>
      <c r="S299" s="7"/>
      <c r="T299" s="7"/>
      <c r="U299" s="7">
        <v>11010001</v>
      </c>
      <c r="V299" s="7">
        <v>11020001</v>
      </c>
      <c r="X299" s="7" t="s">
        <v>139</v>
      </c>
      <c r="Y299" s="7" t="s">
        <v>792</v>
      </c>
      <c r="Z299" s="7"/>
      <c r="AA299" s="7">
        <v>80</v>
      </c>
      <c r="AB299" s="7">
        <v>80</v>
      </c>
      <c r="AC299" s="7">
        <v>20</v>
      </c>
      <c r="AD299" s="7">
        <v>30</v>
      </c>
      <c r="AE299" s="7" t="s">
        <v>141</v>
      </c>
      <c r="AF299" s="7"/>
      <c r="AG299" s="22"/>
      <c r="AI299" s="23">
        <v>630</v>
      </c>
      <c r="AJ299" s="7" t="s">
        <v>142</v>
      </c>
      <c r="AK299" s="24">
        <v>4600</v>
      </c>
      <c r="AL299" s="7" t="s">
        <v>143</v>
      </c>
      <c r="AM299" s="7">
        <v>39</v>
      </c>
      <c r="AN299" s="7" t="s">
        <v>144</v>
      </c>
      <c r="AO299" s="7">
        <v>55</v>
      </c>
      <c r="AP299" s="7" t="s">
        <v>145</v>
      </c>
      <c r="AQ299" s="7">
        <v>36</v>
      </c>
      <c r="AR299" s="7" t="s">
        <v>146</v>
      </c>
      <c r="AS299" s="7">
        <v>50</v>
      </c>
      <c r="AT299" s="7" t="s">
        <v>147</v>
      </c>
      <c r="AU299" s="7">
        <v>95</v>
      </c>
      <c r="AV299" s="7" t="s">
        <v>148</v>
      </c>
      <c r="AW299" s="7">
        <v>125</v>
      </c>
      <c r="AX299" s="7" t="s">
        <v>149</v>
      </c>
      <c r="AY299" s="7">
        <v>95</v>
      </c>
      <c r="AZ299" s="7" t="s">
        <v>150</v>
      </c>
      <c r="BA299" s="7">
        <v>125</v>
      </c>
      <c r="BB299" s="7" t="s">
        <v>151</v>
      </c>
      <c r="BC299" s="7">
        <v>1</v>
      </c>
      <c r="BD299" s="7" t="s">
        <v>152</v>
      </c>
      <c r="BE299" s="7">
        <v>2</v>
      </c>
      <c r="BF299" s="7" t="s">
        <v>153</v>
      </c>
      <c r="BG299" s="7">
        <v>100</v>
      </c>
      <c r="BH299" s="7" t="s">
        <v>154</v>
      </c>
      <c r="BI299" s="7">
        <v>10</v>
      </c>
      <c r="BJ299" s="7" t="s">
        <v>155</v>
      </c>
      <c r="BK299" s="7">
        <v>300</v>
      </c>
      <c r="BL299" s="20"/>
      <c r="BM299" s="20"/>
      <c r="BN299" s="20">
        <v>1</v>
      </c>
      <c r="BO299" s="20">
        <v>2500</v>
      </c>
      <c r="BP299" s="20">
        <v>2</v>
      </c>
      <c r="BQ299" s="20">
        <v>2500</v>
      </c>
      <c r="BR299" s="20" t="s">
        <v>156</v>
      </c>
    </row>
    <row r="300" s="7" customFormat="1" ht="16.5" spans="1:70">
      <c r="A300" s="7">
        <f>60000000+INDEX(编号表!$B:$B,MATCH(I300,编号表!$A:$A,0))*10000+INDEX(编号表!$B:$B,MATCH(J300,编号表!$C:$C,0))*1000+K300</f>
        <v>60372000</v>
      </c>
      <c r="B300" s="7" t="s">
        <v>836</v>
      </c>
      <c r="C300" s="7" t="s">
        <v>791</v>
      </c>
      <c r="D300" s="7" t="s">
        <v>837</v>
      </c>
      <c r="E300" s="7">
        <v>57</v>
      </c>
      <c r="F300" s="7" t="str" cm="1">
        <f t="array" ref="F300">INDEX(编号表!$E:$E,MATCH(J300,编号表!$C:$C,0))</f>
        <v>绿色</v>
      </c>
      <c r="G300" s="7">
        <v>41</v>
      </c>
      <c r="H300" s="7" t="s">
        <v>827</v>
      </c>
      <c r="I300" s="7" t="s">
        <v>827</v>
      </c>
      <c r="J300" s="7" t="s">
        <v>221</v>
      </c>
      <c r="K300" s="7">
        <v>0</v>
      </c>
      <c r="L300" s="7">
        <f>COUNTIFS(I$11:I300,I300,J$11:J300,J300)-1</f>
        <v>0</v>
      </c>
      <c r="O300" s="7">
        <v>10</v>
      </c>
      <c r="P300" s="7">
        <v>300000</v>
      </c>
      <c r="Q300" s="7" t="s">
        <v>138</v>
      </c>
      <c r="R300" s="21">
        <v>40140009</v>
      </c>
      <c r="S300" s="7"/>
      <c r="T300" s="7"/>
      <c r="U300" s="7">
        <v>11010001</v>
      </c>
      <c r="V300" s="7">
        <v>11020001</v>
      </c>
      <c r="X300" s="7" t="s">
        <v>139</v>
      </c>
      <c r="Y300" s="7" t="s">
        <v>792</v>
      </c>
      <c r="Z300" s="7"/>
      <c r="AA300" s="7">
        <v>80</v>
      </c>
      <c r="AB300" s="7">
        <v>80</v>
      </c>
      <c r="AC300" s="7">
        <v>20</v>
      </c>
      <c r="AD300" s="7">
        <v>30</v>
      </c>
      <c r="AE300" s="7" t="s">
        <v>141</v>
      </c>
      <c r="AF300" s="7"/>
      <c r="AG300" s="22" t="s">
        <v>222</v>
      </c>
      <c r="AI300" s="23">
        <v>2600</v>
      </c>
      <c r="AJ300" s="7" t="s">
        <v>142</v>
      </c>
      <c r="AK300" s="24">
        <v>29500</v>
      </c>
      <c r="AL300" s="7" t="s">
        <v>143</v>
      </c>
      <c r="AM300" s="7">
        <v>65</v>
      </c>
      <c r="AN300" s="7" t="s">
        <v>144</v>
      </c>
      <c r="AO300" s="7">
        <v>90</v>
      </c>
      <c r="AP300" s="7" t="s">
        <v>145</v>
      </c>
      <c r="AQ300" s="7">
        <v>60</v>
      </c>
      <c r="AR300" s="7" t="s">
        <v>146</v>
      </c>
      <c r="AS300" s="7">
        <v>90</v>
      </c>
      <c r="AT300" s="7" t="s">
        <v>147</v>
      </c>
      <c r="AU300" s="7">
        <v>210</v>
      </c>
      <c r="AV300" s="7" t="s">
        <v>148</v>
      </c>
      <c r="AW300" s="7">
        <v>280</v>
      </c>
      <c r="AX300" s="7" t="s">
        <v>149</v>
      </c>
      <c r="AY300" s="7">
        <v>210</v>
      </c>
      <c r="AZ300" s="7" t="s">
        <v>150</v>
      </c>
      <c r="BA300" s="7">
        <v>280</v>
      </c>
      <c r="BB300" s="7" t="s">
        <v>151</v>
      </c>
      <c r="BC300" s="7">
        <v>1</v>
      </c>
      <c r="BD300" s="7" t="s">
        <v>152</v>
      </c>
      <c r="BE300" s="7">
        <v>2</v>
      </c>
      <c r="BF300" s="7" t="s">
        <v>153</v>
      </c>
      <c r="BG300" s="7">
        <v>100</v>
      </c>
      <c r="BH300" s="7" t="s">
        <v>154</v>
      </c>
      <c r="BI300" s="7">
        <v>10</v>
      </c>
      <c r="BJ300" s="7" t="s">
        <v>155</v>
      </c>
      <c r="BK300" s="7">
        <v>300</v>
      </c>
      <c r="BL300" s="20"/>
      <c r="BM300" s="20"/>
      <c r="BN300" s="20">
        <v>1</v>
      </c>
      <c r="BO300" s="20">
        <v>2500</v>
      </c>
      <c r="BP300" s="20">
        <v>2</v>
      </c>
      <c r="BQ300" s="20">
        <v>2500</v>
      </c>
      <c r="BR300" s="20" t="s">
        <v>156</v>
      </c>
    </row>
    <row r="301" s="15" customFormat="1" ht="16.5" spans="1:70">
      <c r="A301" s="15">
        <f>60000000+INDEX(编号表!$B:$B,MATCH(I301,编号表!$A:$A,0))*10000+INDEX(编号表!$B:$B,MATCH(J301,编号表!$C:$C,0))*1000+K301</f>
        <v>60374000</v>
      </c>
      <c r="B301" s="15" t="s">
        <v>838</v>
      </c>
      <c r="C301" s="15" t="s">
        <v>791</v>
      </c>
      <c r="D301" s="15" t="s">
        <v>837</v>
      </c>
      <c r="E301" s="15">
        <v>57</v>
      </c>
      <c r="F301" s="15" t="str" cm="1">
        <f t="array" ref="F301">INDEX(编号表!$E:$E,MATCH(J301,编号表!$C:$C,0))</f>
        <v>橙色</v>
      </c>
      <c r="G301" s="15">
        <v>41</v>
      </c>
      <c r="H301" s="15" t="s">
        <v>827</v>
      </c>
      <c r="I301" s="15" t="s">
        <v>827</v>
      </c>
      <c r="J301" s="15" t="s">
        <v>233</v>
      </c>
      <c r="K301" s="15">
        <v>0</v>
      </c>
      <c r="L301" s="15">
        <f>COUNTIFS(I$11:I301,I301,J$11:J301,J301)-1</f>
        <v>0</v>
      </c>
      <c r="O301" s="7">
        <v>10</v>
      </c>
      <c r="P301" s="7">
        <v>300000</v>
      </c>
      <c r="Q301" s="15" t="s">
        <v>138</v>
      </c>
      <c r="R301" s="21">
        <v>40140009</v>
      </c>
      <c r="S301" s="15"/>
      <c r="T301" s="15"/>
      <c r="U301" s="15">
        <v>11010001</v>
      </c>
      <c r="V301" s="15">
        <v>11020001</v>
      </c>
      <c r="X301" s="15" t="s">
        <v>139</v>
      </c>
      <c r="Y301" s="7" t="s">
        <v>792</v>
      </c>
      <c r="Z301" s="7">
        <v>1.5</v>
      </c>
      <c r="AA301" s="7">
        <v>80</v>
      </c>
      <c r="AB301" s="7">
        <v>80</v>
      </c>
      <c r="AC301" s="7">
        <v>20</v>
      </c>
      <c r="AD301" s="7">
        <v>30</v>
      </c>
      <c r="AE301" s="15" t="s">
        <v>141</v>
      </c>
      <c r="AF301" s="15"/>
      <c r="AG301" s="22" t="s">
        <v>234</v>
      </c>
      <c r="AH301" s="15"/>
      <c r="AI301" s="23">
        <v>13100</v>
      </c>
      <c r="AJ301" s="15" t="s">
        <v>142</v>
      </c>
      <c r="AK301" s="24">
        <v>220000</v>
      </c>
      <c r="AL301" s="15" t="s">
        <v>143</v>
      </c>
      <c r="AM301" s="15">
        <v>95</v>
      </c>
      <c r="AN301" s="15" t="s">
        <v>144</v>
      </c>
      <c r="AO301" s="15">
        <v>135</v>
      </c>
      <c r="AP301" s="15" t="s">
        <v>145</v>
      </c>
      <c r="AQ301" s="15">
        <v>90</v>
      </c>
      <c r="AR301" s="15" t="s">
        <v>146</v>
      </c>
      <c r="AS301" s="15">
        <v>130</v>
      </c>
      <c r="AT301" s="15" t="s">
        <v>147</v>
      </c>
      <c r="AU301" s="15">
        <v>340</v>
      </c>
      <c r="AV301" s="15" t="s">
        <v>148</v>
      </c>
      <c r="AW301" s="15">
        <v>460</v>
      </c>
      <c r="AX301" s="15" t="s">
        <v>149</v>
      </c>
      <c r="AY301" s="15">
        <v>340</v>
      </c>
      <c r="AZ301" s="15" t="s">
        <v>150</v>
      </c>
      <c r="BA301" s="15">
        <v>460</v>
      </c>
      <c r="BB301" s="15" t="s">
        <v>151</v>
      </c>
      <c r="BC301" s="15">
        <v>1</v>
      </c>
      <c r="BD301" s="15" t="s">
        <v>152</v>
      </c>
      <c r="BE301" s="15">
        <v>2</v>
      </c>
      <c r="BF301" s="15" t="s">
        <v>153</v>
      </c>
      <c r="BG301" s="15">
        <v>100</v>
      </c>
      <c r="BH301" s="15" t="s">
        <v>154</v>
      </c>
      <c r="BI301" s="15">
        <v>10</v>
      </c>
      <c r="BJ301" s="15" t="s">
        <v>155</v>
      </c>
      <c r="BK301" s="7">
        <v>300</v>
      </c>
      <c r="BL301" s="25"/>
      <c r="BM301" s="25"/>
      <c r="BN301" s="20">
        <v>1</v>
      </c>
      <c r="BO301" s="20">
        <v>2500</v>
      </c>
      <c r="BP301" s="20">
        <v>2</v>
      </c>
      <c r="BQ301" s="20">
        <v>2500</v>
      </c>
      <c r="BR301" s="25" t="s">
        <v>156</v>
      </c>
    </row>
    <row r="302" s="7" customFormat="1" ht="16.5" spans="1:70">
      <c r="A302" s="7">
        <f>60000000+INDEX(编号表!$B:$B,MATCH(I302,编号表!$A:$A,0))*10000+INDEX(编号表!$B:$B,MATCH(J302,编号表!$C:$C,0))*1000+K302</f>
        <v>60381000</v>
      </c>
      <c r="B302" s="7" t="s">
        <v>839</v>
      </c>
      <c r="C302" s="7" t="s">
        <v>788</v>
      </c>
      <c r="D302" s="7" t="s">
        <v>840</v>
      </c>
      <c r="E302" s="7">
        <v>57</v>
      </c>
      <c r="F302" s="7" t="str" cm="1">
        <f t="array" ref="F302">INDEX(编号表!$E:$E,MATCH(J302,编号表!$C:$C,0))</f>
        <v>白色</v>
      </c>
      <c r="G302" s="7">
        <v>42</v>
      </c>
      <c r="H302" s="7" t="s">
        <v>841</v>
      </c>
      <c r="I302" s="7" t="s">
        <v>841</v>
      </c>
      <c r="J302" s="7" t="s">
        <v>137</v>
      </c>
      <c r="K302" s="7">
        <v>0</v>
      </c>
      <c r="L302" s="7">
        <f>COUNTIFS(I$11:I302,I302,J$11:J302,J302)-1</f>
        <v>0</v>
      </c>
      <c r="O302" s="7">
        <v>10</v>
      </c>
      <c r="P302" s="7">
        <v>300000</v>
      </c>
      <c r="Q302" s="7" t="s">
        <v>138</v>
      </c>
      <c r="R302" s="21">
        <v>40140009</v>
      </c>
      <c r="S302" s="7"/>
      <c r="T302" s="7"/>
      <c r="U302" s="7">
        <v>11010001</v>
      </c>
      <c r="V302" s="7">
        <v>11020001</v>
      </c>
      <c r="X302" s="7" t="s">
        <v>139</v>
      </c>
      <c r="Y302" s="7" t="s">
        <v>789</v>
      </c>
      <c r="Z302" s="7"/>
      <c r="AA302" s="7">
        <v>80</v>
      </c>
      <c r="AB302" s="7">
        <v>80</v>
      </c>
      <c r="AC302" s="7">
        <v>20</v>
      </c>
      <c r="AD302" s="7">
        <v>30</v>
      </c>
      <c r="AE302" s="7" t="s">
        <v>141</v>
      </c>
      <c r="AF302" s="7"/>
      <c r="AG302" s="22"/>
      <c r="AI302" s="23">
        <v>660</v>
      </c>
      <c r="AJ302" s="7" t="s">
        <v>142</v>
      </c>
      <c r="AK302" s="24">
        <v>4800</v>
      </c>
      <c r="AL302" s="7" t="s">
        <v>143</v>
      </c>
      <c r="AM302" s="7">
        <v>40</v>
      </c>
      <c r="AN302" s="7" t="s">
        <v>144</v>
      </c>
      <c r="AO302" s="7">
        <v>55</v>
      </c>
      <c r="AP302" s="7" t="s">
        <v>145</v>
      </c>
      <c r="AQ302" s="7">
        <v>37</v>
      </c>
      <c r="AR302" s="7" t="s">
        <v>146</v>
      </c>
      <c r="AS302" s="7">
        <v>55</v>
      </c>
      <c r="AT302" s="7" t="s">
        <v>147</v>
      </c>
      <c r="AU302" s="7">
        <v>95</v>
      </c>
      <c r="AV302" s="7" t="s">
        <v>148</v>
      </c>
      <c r="AW302" s="7">
        <v>130</v>
      </c>
      <c r="AX302" s="7" t="s">
        <v>149</v>
      </c>
      <c r="AY302" s="7">
        <v>95</v>
      </c>
      <c r="AZ302" s="7" t="s">
        <v>150</v>
      </c>
      <c r="BA302" s="7">
        <v>130</v>
      </c>
      <c r="BB302" s="7" t="s">
        <v>151</v>
      </c>
      <c r="BC302" s="7">
        <v>1</v>
      </c>
      <c r="BD302" s="7" t="s">
        <v>152</v>
      </c>
      <c r="BE302" s="7">
        <v>2</v>
      </c>
      <c r="BF302" s="7" t="s">
        <v>153</v>
      </c>
      <c r="BG302" s="7">
        <v>100</v>
      </c>
      <c r="BH302" s="7" t="s">
        <v>154</v>
      </c>
      <c r="BI302" s="7">
        <v>10</v>
      </c>
      <c r="BJ302" s="7" t="s">
        <v>155</v>
      </c>
      <c r="BK302" s="7">
        <v>300</v>
      </c>
      <c r="BL302" s="20"/>
      <c r="BM302" s="20"/>
      <c r="BN302" s="20">
        <v>1</v>
      </c>
      <c r="BO302" s="20">
        <v>2500</v>
      </c>
      <c r="BP302" s="20">
        <v>2</v>
      </c>
      <c r="BQ302" s="20">
        <v>2500</v>
      </c>
      <c r="BR302" s="20" t="s">
        <v>156</v>
      </c>
    </row>
    <row r="303" s="7" customFormat="1" ht="16.5" spans="1:70">
      <c r="A303" s="7">
        <f>60000000+INDEX(编号表!$B:$B,MATCH(I303,编号表!$A:$A,0))*10000+INDEX(编号表!$B:$B,MATCH(J303,编号表!$C:$C,0))*1000+K303</f>
        <v>60381001</v>
      </c>
      <c r="B303" s="7" t="s">
        <v>842</v>
      </c>
      <c r="C303" s="7" t="s">
        <v>804</v>
      </c>
      <c r="D303" s="7" t="s">
        <v>843</v>
      </c>
      <c r="E303" s="7">
        <v>57</v>
      </c>
      <c r="F303" s="7" t="str" cm="1">
        <f t="array" ref="F303">INDEX(编号表!$E:$E,MATCH(J303,编号表!$C:$C,0))</f>
        <v>白色</v>
      </c>
      <c r="G303" s="7">
        <v>42</v>
      </c>
      <c r="H303" s="7" t="s">
        <v>841</v>
      </c>
      <c r="I303" s="7" t="s">
        <v>841</v>
      </c>
      <c r="J303" s="7" t="s">
        <v>137</v>
      </c>
      <c r="K303" s="7">
        <v>1</v>
      </c>
      <c r="L303" s="7">
        <f>COUNTIFS(I$11:I303,I303,J$11:J303,J303)-1</f>
        <v>1</v>
      </c>
      <c r="O303" s="7">
        <v>10</v>
      </c>
      <c r="P303" s="7">
        <v>300000</v>
      </c>
      <c r="Q303" s="7" t="s">
        <v>138</v>
      </c>
      <c r="R303" s="21">
        <v>40140009</v>
      </c>
      <c r="S303" s="7"/>
      <c r="T303" s="7"/>
      <c r="U303" s="7">
        <v>11010001</v>
      </c>
      <c r="V303" s="7">
        <v>11020001</v>
      </c>
      <c r="X303" s="7" t="s">
        <v>139</v>
      </c>
      <c r="Y303" s="7" t="s">
        <v>805</v>
      </c>
      <c r="Z303" s="7"/>
      <c r="AA303" s="7">
        <v>80</v>
      </c>
      <c r="AB303" s="7">
        <v>80</v>
      </c>
      <c r="AC303" s="7">
        <v>20</v>
      </c>
      <c r="AD303" s="7">
        <v>30</v>
      </c>
      <c r="AE303" s="7" t="s">
        <v>141</v>
      </c>
      <c r="AF303" s="7"/>
      <c r="AG303" s="22"/>
      <c r="AI303" s="23">
        <v>660</v>
      </c>
      <c r="AJ303" s="7" t="s">
        <v>142</v>
      </c>
      <c r="AK303" s="24">
        <v>4800</v>
      </c>
      <c r="AL303" s="7" t="s">
        <v>143</v>
      </c>
      <c r="AM303" s="7">
        <v>40</v>
      </c>
      <c r="AN303" s="7" t="s">
        <v>144</v>
      </c>
      <c r="AO303" s="7">
        <v>55</v>
      </c>
      <c r="AP303" s="7" t="s">
        <v>145</v>
      </c>
      <c r="AQ303" s="7">
        <v>37</v>
      </c>
      <c r="AR303" s="7" t="s">
        <v>146</v>
      </c>
      <c r="AS303" s="7">
        <v>55</v>
      </c>
      <c r="AT303" s="7" t="s">
        <v>147</v>
      </c>
      <c r="AU303" s="7">
        <v>95</v>
      </c>
      <c r="AV303" s="7" t="s">
        <v>148</v>
      </c>
      <c r="AW303" s="7">
        <v>130</v>
      </c>
      <c r="AX303" s="7" t="s">
        <v>149</v>
      </c>
      <c r="AY303" s="7">
        <v>95</v>
      </c>
      <c r="AZ303" s="7" t="s">
        <v>150</v>
      </c>
      <c r="BA303" s="7">
        <v>130</v>
      </c>
      <c r="BB303" s="7" t="s">
        <v>151</v>
      </c>
      <c r="BC303" s="7">
        <v>1</v>
      </c>
      <c r="BD303" s="7" t="s">
        <v>152</v>
      </c>
      <c r="BE303" s="7">
        <v>2</v>
      </c>
      <c r="BF303" s="7" t="s">
        <v>153</v>
      </c>
      <c r="BG303" s="7">
        <v>100</v>
      </c>
      <c r="BH303" s="7" t="s">
        <v>154</v>
      </c>
      <c r="BI303" s="7">
        <v>10</v>
      </c>
      <c r="BJ303" s="7" t="s">
        <v>155</v>
      </c>
      <c r="BK303" s="7">
        <v>300</v>
      </c>
      <c r="BL303" s="20"/>
      <c r="BM303" s="20"/>
      <c r="BN303" s="20">
        <v>1</v>
      </c>
      <c r="BO303" s="20">
        <v>2500</v>
      </c>
      <c r="BP303" s="20">
        <v>2</v>
      </c>
      <c r="BQ303" s="20">
        <v>2500</v>
      </c>
      <c r="BR303" s="20" t="s">
        <v>156</v>
      </c>
    </row>
    <row r="304" s="7" customFormat="1" ht="16.5" spans="1:70">
      <c r="A304" s="7">
        <f>60000000+INDEX(编号表!$B:$B,MATCH(I304,编号表!$A:$A,0))*10000+INDEX(编号表!$B:$B,MATCH(J304,编号表!$C:$C,0))*1000+K304</f>
        <v>60381002</v>
      </c>
      <c r="B304" s="7" t="s">
        <v>844</v>
      </c>
      <c r="C304" s="7" t="s">
        <v>791</v>
      </c>
      <c r="D304" s="7" t="s">
        <v>845</v>
      </c>
      <c r="E304" s="7">
        <v>57</v>
      </c>
      <c r="F304" s="7" t="str" cm="1">
        <f t="array" ref="F304">INDEX(编号表!$E:$E,MATCH(J304,编号表!$C:$C,0))</f>
        <v>白色</v>
      </c>
      <c r="G304" s="7">
        <v>42</v>
      </c>
      <c r="H304" s="7" t="s">
        <v>841</v>
      </c>
      <c r="I304" s="7" t="s">
        <v>841</v>
      </c>
      <c r="J304" s="7" t="s">
        <v>137</v>
      </c>
      <c r="K304" s="7">
        <v>2</v>
      </c>
      <c r="L304" s="7">
        <f>COUNTIFS(I$11:I304,I304,J$11:J304,J304)-1</f>
        <v>2</v>
      </c>
      <c r="O304" s="7">
        <v>10</v>
      </c>
      <c r="P304" s="7">
        <v>300000</v>
      </c>
      <c r="Q304" s="7" t="s">
        <v>138</v>
      </c>
      <c r="R304" s="21">
        <v>40140009</v>
      </c>
      <c r="S304" s="7"/>
      <c r="T304" s="7"/>
      <c r="U304" s="7">
        <v>11010001</v>
      </c>
      <c r="V304" s="7">
        <v>11020001</v>
      </c>
      <c r="X304" s="7" t="s">
        <v>139</v>
      </c>
      <c r="Y304" s="7" t="s">
        <v>792</v>
      </c>
      <c r="Z304" s="7"/>
      <c r="AA304" s="7">
        <v>80</v>
      </c>
      <c r="AB304" s="7">
        <v>80</v>
      </c>
      <c r="AC304" s="7">
        <v>20</v>
      </c>
      <c r="AD304" s="7">
        <v>30</v>
      </c>
      <c r="AE304" s="7" t="s">
        <v>141</v>
      </c>
      <c r="AF304" s="7"/>
      <c r="AG304" s="22"/>
      <c r="AI304" s="23">
        <v>660</v>
      </c>
      <c r="AJ304" s="7" t="s">
        <v>142</v>
      </c>
      <c r="AK304" s="24">
        <v>4800</v>
      </c>
      <c r="AL304" s="7" t="s">
        <v>143</v>
      </c>
      <c r="AM304" s="7">
        <v>40</v>
      </c>
      <c r="AN304" s="7" t="s">
        <v>144</v>
      </c>
      <c r="AO304" s="7">
        <v>55</v>
      </c>
      <c r="AP304" s="7" t="s">
        <v>145</v>
      </c>
      <c r="AQ304" s="7">
        <v>37</v>
      </c>
      <c r="AR304" s="7" t="s">
        <v>146</v>
      </c>
      <c r="AS304" s="7">
        <v>55</v>
      </c>
      <c r="AT304" s="7" t="s">
        <v>147</v>
      </c>
      <c r="AU304" s="7">
        <v>95</v>
      </c>
      <c r="AV304" s="7" t="s">
        <v>148</v>
      </c>
      <c r="AW304" s="7">
        <v>130</v>
      </c>
      <c r="AX304" s="7" t="s">
        <v>149</v>
      </c>
      <c r="AY304" s="7">
        <v>95</v>
      </c>
      <c r="AZ304" s="7" t="s">
        <v>150</v>
      </c>
      <c r="BA304" s="7">
        <v>130</v>
      </c>
      <c r="BB304" s="7" t="s">
        <v>151</v>
      </c>
      <c r="BC304" s="7">
        <v>1</v>
      </c>
      <c r="BD304" s="7" t="s">
        <v>152</v>
      </c>
      <c r="BE304" s="7">
        <v>2</v>
      </c>
      <c r="BF304" s="7" t="s">
        <v>153</v>
      </c>
      <c r="BG304" s="7">
        <v>100</v>
      </c>
      <c r="BH304" s="7" t="s">
        <v>154</v>
      </c>
      <c r="BI304" s="7">
        <v>10</v>
      </c>
      <c r="BJ304" s="7" t="s">
        <v>155</v>
      </c>
      <c r="BK304" s="7">
        <v>300</v>
      </c>
      <c r="BL304" s="20"/>
      <c r="BM304" s="20"/>
      <c r="BN304" s="20">
        <v>1</v>
      </c>
      <c r="BO304" s="20">
        <v>2500</v>
      </c>
      <c r="BP304" s="20">
        <v>2</v>
      </c>
      <c r="BQ304" s="20">
        <v>2500</v>
      </c>
      <c r="BR304" s="20" t="s">
        <v>156</v>
      </c>
    </row>
    <row r="305" s="7" customFormat="1" ht="16.5" spans="1:70">
      <c r="A305" s="7">
        <f>60000000+INDEX(编号表!$B:$B,MATCH(I305,编号表!$A:$A,0))*10000+INDEX(编号表!$B:$B,MATCH(J305,编号表!$C:$C,0))*1000+K305</f>
        <v>60381003</v>
      </c>
      <c r="B305" s="7" t="s">
        <v>846</v>
      </c>
      <c r="C305" s="7" t="s">
        <v>847</v>
      </c>
      <c r="D305" s="7" t="s">
        <v>847</v>
      </c>
      <c r="E305" s="7">
        <v>57</v>
      </c>
      <c r="F305" s="7" t="str" cm="1">
        <f t="array" ref="F305">INDEX(编号表!$E:$E,MATCH(J305,编号表!$C:$C,0))</f>
        <v>白色</v>
      </c>
      <c r="G305" s="7">
        <v>42</v>
      </c>
      <c r="H305" s="7" t="s">
        <v>841</v>
      </c>
      <c r="I305" s="7" t="s">
        <v>841</v>
      </c>
      <c r="J305" s="7" t="s">
        <v>137</v>
      </c>
      <c r="K305" s="7">
        <v>3</v>
      </c>
      <c r="L305" s="7">
        <f>COUNTIFS(I$11:I305,I305,J$11:J305,J305)-1</f>
        <v>3</v>
      </c>
      <c r="O305" s="7">
        <v>10</v>
      </c>
      <c r="P305" s="7">
        <v>300000</v>
      </c>
      <c r="Q305" s="7" t="s">
        <v>138</v>
      </c>
      <c r="R305" s="21">
        <v>40140009</v>
      </c>
      <c r="S305" s="7"/>
      <c r="T305" s="7"/>
      <c r="U305" s="7">
        <v>11010001</v>
      </c>
      <c r="V305" s="7">
        <v>11020001</v>
      </c>
      <c r="X305" s="7" t="s">
        <v>139</v>
      </c>
      <c r="Y305" s="7" t="s">
        <v>848</v>
      </c>
      <c r="Z305" s="7"/>
      <c r="AA305" s="7">
        <v>80</v>
      </c>
      <c r="AB305" s="7">
        <v>80</v>
      </c>
      <c r="AC305" s="7">
        <v>20</v>
      </c>
      <c r="AD305" s="7">
        <v>30</v>
      </c>
      <c r="AE305" s="7" t="s">
        <v>141</v>
      </c>
      <c r="AF305" s="7"/>
      <c r="AG305" s="22"/>
      <c r="AI305" s="23">
        <v>660</v>
      </c>
      <c r="AJ305" s="7" t="s">
        <v>142</v>
      </c>
      <c r="AK305" s="24">
        <v>5500</v>
      </c>
      <c r="AL305" s="7" t="s">
        <v>143</v>
      </c>
      <c r="AM305" s="7">
        <v>46</v>
      </c>
      <c r="AN305" s="7" t="s">
        <v>144</v>
      </c>
      <c r="AO305" s="7">
        <v>65</v>
      </c>
      <c r="AP305" s="7" t="s">
        <v>145</v>
      </c>
      <c r="AQ305" s="7">
        <v>42</v>
      </c>
      <c r="AR305" s="7" t="s">
        <v>146</v>
      </c>
      <c r="AS305" s="7">
        <v>60</v>
      </c>
      <c r="AT305" s="7" t="s">
        <v>147</v>
      </c>
      <c r="AU305" s="7">
        <v>95</v>
      </c>
      <c r="AV305" s="7" t="s">
        <v>148</v>
      </c>
      <c r="AW305" s="7">
        <v>125</v>
      </c>
      <c r="AX305" s="7" t="s">
        <v>149</v>
      </c>
      <c r="AY305" s="7">
        <v>95</v>
      </c>
      <c r="AZ305" s="7" t="s">
        <v>150</v>
      </c>
      <c r="BA305" s="7">
        <v>125</v>
      </c>
      <c r="BB305" s="7" t="s">
        <v>151</v>
      </c>
      <c r="BC305" s="7">
        <v>1</v>
      </c>
      <c r="BD305" s="7" t="s">
        <v>152</v>
      </c>
      <c r="BE305" s="7">
        <v>2</v>
      </c>
      <c r="BF305" s="7" t="s">
        <v>153</v>
      </c>
      <c r="BG305" s="7">
        <v>100</v>
      </c>
      <c r="BH305" s="7" t="s">
        <v>154</v>
      </c>
      <c r="BI305" s="7">
        <v>10</v>
      </c>
      <c r="BJ305" s="7" t="s">
        <v>155</v>
      </c>
      <c r="BK305" s="7">
        <v>300</v>
      </c>
      <c r="BL305" s="20"/>
      <c r="BM305" s="20"/>
      <c r="BN305" s="20">
        <v>1</v>
      </c>
      <c r="BO305" s="20">
        <v>2500</v>
      </c>
      <c r="BP305" s="20">
        <v>2</v>
      </c>
      <c r="BQ305" s="20">
        <v>2500</v>
      </c>
      <c r="BR305" s="20" t="s">
        <v>156</v>
      </c>
    </row>
    <row r="306" s="7" customFormat="1" ht="16.5" spans="1:70">
      <c r="A306" s="28">
        <f>60000000+INDEX(编号表!$B:$B,MATCH(I306,编号表!$A:$A,0))*10000+INDEX(编号表!$B:$B,MATCH(J306,编号表!$C:$C,0))*1000+K306</f>
        <v>60381004</v>
      </c>
      <c r="B306" s="28" t="s">
        <v>849</v>
      </c>
      <c r="C306" s="28" t="s">
        <v>850</v>
      </c>
      <c r="D306" s="28" t="s">
        <v>850</v>
      </c>
      <c r="E306" s="28">
        <v>57</v>
      </c>
      <c r="F306" s="28" t="str" cm="1">
        <f t="array" ref="F306">INDEX(编号表!$E:$E,MATCH(J306,编号表!$C:$C,0))</f>
        <v>白色</v>
      </c>
      <c r="G306" s="7">
        <v>42</v>
      </c>
      <c r="H306" s="7" t="s">
        <v>841</v>
      </c>
      <c r="I306" s="7" t="s">
        <v>841</v>
      </c>
      <c r="J306" s="7" t="s">
        <v>137</v>
      </c>
      <c r="K306" s="7">
        <v>4</v>
      </c>
      <c r="L306" s="7">
        <f>COUNTIFS(I$11:I306,I306,J$11:J306,J306)-1</f>
        <v>4</v>
      </c>
      <c r="O306" s="7">
        <v>10</v>
      </c>
      <c r="P306" s="7">
        <v>300000</v>
      </c>
      <c r="Q306" s="7" t="s">
        <v>138</v>
      </c>
      <c r="R306" s="21">
        <v>40140009</v>
      </c>
      <c r="S306" s="7"/>
      <c r="T306" s="7"/>
      <c r="U306" s="7">
        <v>11010001</v>
      </c>
      <c r="V306" s="7">
        <v>11020001</v>
      </c>
      <c r="X306" s="7" t="s">
        <v>139</v>
      </c>
      <c r="Y306" s="7" t="s">
        <v>851</v>
      </c>
      <c r="Z306" s="7"/>
      <c r="AA306" s="7">
        <v>80</v>
      </c>
      <c r="AB306" s="7">
        <v>80</v>
      </c>
      <c r="AC306" s="7">
        <v>20</v>
      </c>
      <c r="AD306" s="7">
        <v>30</v>
      </c>
      <c r="AE306" s="7" t="s">
        <v>141</v>
      </c>
      <c r="AF306" s="7"/>
      <c r="AG306" s="22"/>
      <c r="AI306" s="23">
        <v>660</v>
      </c>
      <c r="AJ306" s="7" t="s">
        <v>142</v>
      </c>
      <c r="AK306" s="24">
        <v>5500</v>
      </c>
      <c r="AL306" s="7" t="s">
        <v>143</v>
      </c>
      <c r="AM306" s="7">
        <v>46</v>
      </c>
      <c r="AN306" s="7" t="s">
        <v>144</v>
      </c>
      <c r="AO306" s="7">
        <v>65</v>
      </c>
      <c r="AP306" s="7" t="s">
        <v>145</v>
      </c>
      <c r="AQ306" s="7">
        <v>42</v>
      </c>
      <c r="AR306" s="7" t="s">
        <v>146</v>
      </c>
      <c r="AS306" s="7">
        <v>60</v>
      </c>
      <c r="AT306" s="7" t="s">
        <v>147</v>
      </c>
      <c r="AU306" s="7">
        <v>95</v>
      </c>
      <c r="AV306" s="7" t="s">
        <v>148</v>
      </c>
      <c r="AW306" s="7">
        <v>125</v>
      </c>
      <c r="AX306" s="7" t="s">
        <v>149</v>
      </c>
      <c r="AY306" s="7">
        <v>95</v>
      </c>
      <c r="AZ306" s="7" t="s">
        <v>150</v>
      </c>
      <c r="BA306" s="7">
        <v>125</v>
      </c>
      <c r="BB306" s="7" t="s">
        <v>151</v>
      </c>
      <c r="BC306" s="7">
        <v>1</v>
      </c>
      <c r="BD306" s="7" t="s">
        <v>152</v>
      </c>
      <c r="BE306" s="7">
        <v>2</v>
      </c>
      <c r="BF306" s="7" t="s">
        <v>153</v>
      </c>
      <c r="BG306" s="7">
        <v>100</v>
      </c>
      <c r="BH306" s="7" t="s">
        <v>154</v>
      </c>
      <c r="BI306" s="7">
        <v>10</v>
      </c>
      <c r="BJ306" s="7" t="s">
        <v>155</v>
      </c>
      <c r="BK306" s="7">
        <v>300</v>
      </c>
      <c r="BL306" s="20"/>
      <c r="BM306" s="20"/>
      <c r="BN306" s="20">
        <v>1</v>
      </c>
      <c r="BO306" s="20">
        <v>2500</v>
      </c>
      <c r="BP306" s="20">
        <v>2</v>
      </c>
      <c r="BQ306" s="20">
        <v>2500</v>
      </c>
      <c r="BR306" s="20" t="s">
        <v>156</v>
      </c>
    </row>
    <row r="307" s="7" customFormat="1" ht="16.5" spans="1:70">
      <c r="A307" s="7">
        <f>60000000+INDEX(编号表!$B:$B,MATCH(I307,编号表!$A:$A,0))*10000+INDEX(编号表!$B:$B,MATCH(J307,编号表!$C:$C,0))*1000+K307</f>
        <v>60381005</v>
      </c>
      <c r="B307" s="7" t="s">
        <v>852</v>
      </c>
      <c r="C307" s="7" t="s">
        <v>853</v>
      </c>
      <c r="D307" s="7" t="s">
        <v>853</v>
      </c>
      <c r="E307" s="7">
        <v>57</v>
      </c>
      <c r="F307" s="7" t="str" cm="1">
        <f t="array" ref="F307">INDEX(编号表!$E:$E,MATCH(J307,编号表!$C:$C,0))</f>
        <v>白色</v>
      </c>
      <c r="G307" s="7">
        <v>42</v>
      </c>
      <c r="H307" s="7" t="s">
        <v>841</v>
      </c>
      <c r="I307" s="7" t="s">
        <v>841</v>
      </c>
      <c r="J307" s="7" t="s">
        <v>137</v>
      </c>
      <c r="K307" s="7">
        <v>5</v>
      </c>
      <c r="L307" s="7">
        <f>COUNTIFS(I$11:I307,I307,J$11:J307,J307)-1</f>
        <v>5</v>
      </c>
      <c r="O307" s="7">
        <v>10</v>
      </c>
      <c r="P307" s="7">
        <v>300000</v>
      </c>
      <c r="Q307" s="7" t="s">
        <v>138</v>
      </c>
      <c r="R307" s="21">
        <v>40140009</v>
      </c>
      <c r="S307" s="7"/>
      <c r="T307" s="7"/>
      <c r="U307" s="7">
        <v>11010001</v>
      </c>
      <c r="V307" s="7">
        <v>11020001</v>
      </c>
      <c r="X307" s="7" t="s">
        <v>139</v>
      </c>
      <c r="Y307" s="7" t="s">
        <v>854</v>
      </c>
      <c r="Z307" s="7"/>
      <c r="AA307" s="7">
        <v>80</v>
      </c>
      <c r="AB307" s="7">
        <v>80</v>
      </c>
      <c r="AC307" s="7">
        <v>20</v>
      </c>
      <c r="AD307" s="7">
        <v>30</v>
      </c>
      <c r="AE307" s="7" t="s">
        <v>141</v>
      </c>
      <c r="AF307" s="7"/>
      <c r="AG307" s="22"/>
      <c r="AI307" s="23">
        <v>660</v>
      </c>
      <c r="AJ307" s="7" t="s">
        <v>142</v>
      </c>
      <c r="AK307" s="24">
        <v>4800</v>
      </c>
      <c r="AL307" s="7" t="s">
        <v>143</v>
      </c>
      <c r="AM307" s="7">
        <v>40</v>
      </c>
      <c r="AN307" s="7" t="s">
        <v>144</v>
      </c>
      <c r="AO307" s="7">
        <v>55</v>
      </c>
      <c r="AP307" s="7" t="s">
        <v>145</v>
      </c>
      <c r="AQ307" s="7">
        <v>37</v>
      </c>
      <c r="AR307" s="7" t="s">
        <v>146</v>
      </c>
      <c r="AS307" s="7">
        <v>55</v>
      </c>
      <c r="AT307" s="7" t="s">
        <v>147</v>
      </c>
      <c r="AU307" s="7">
        <v>90</v>
      </c>
      <c r="AV307" s="7" t="s">
        <v>148</v>
      </c>
      <c r="AW307" s="7">
        <v>120</v>
      </c>
      <c r="AX307" s="7" t="s">
        <v>149</v>
      </c>
      <c r="AY307" s="7">
        <v>90</v>
      </c>
      <c r="AZ307" s="7" t="s">
        <v>150</v>
      </c>
      <c r="BA307" s="7">
        <v>120</v>
      </c>
      <c r="BB307" s="7" t="s">
        <v>151</v>
      </c>
      <c r="BC307" s="7">
        <v>1</v>
      </c>
      <c r="BD307" s="7" t="s">
        <v>152</v>
      </c>
      <c r="BE307" s="7">
        <v>2</v>
      </c>
      <c r="BF307" s="7" t="s">
        <v>153</v>
      </c>
      <c r="BG307" s="7">
        <v>100</v>
      </c>
      <c r="BH307" s="7" t="s">
        <v>154</v>
      </c>
      <c r="BI307" s="7">
        <v>10</v>
      </c>
      <c r="BJ307" s="7" t="s">
        <v>155</v>
      </c>
      <c r="BK307" s="7">
        <v>300</v>
      </c>
      <c r="BL307" s="20"/>
      <c r="BM307" s="20"/>
      <c r="BN307" s="20">
        <v>1</v>
      </c>
      <c r="BO307" s="20">
        <v>2500</v>
      </c>
      <c r="BP307" s="20">
        <v>2</v>
      </c>
      <c r="BQ307" s="20">
        <v>2500</v>
      </c>
      <c r="BR307" s="20" t="s">
        <v>156</v>
      </c>
    </row>
    <row r="308" s="7" customFormat="1" ht="16.5" spans="1:70">
      <c r="A308" s="7">
        <f>60000000+INDEX(编号表!$B:$B,MATCH(I308,编号表!$A:$A,0))*10000+INDEX(编号表!$B:$B,MATCH(J308,编号表!$C:$C,0))*1000+K308</f>
        <v>60382000</v>
      </c>
      <c r="B308" s="7" t="s">
        <v>855</v>
      </c>
      <c r="C308" s="7" t="s">
        <v>791</v>
      </c>
      <c r="D308" s="7" t="s">
        <v>856</v>
      </c>
      <c r="E308" s="7">
        <v>58</v>
      </c>
      <c r="F308" s="7" t="str" cm="1">
        <f t="array" ref="F308">INDEX(编号表!$E:$E,MATCH(J308,编号表!$C:$C,0))</f>
        <v>绿色</v>
      </c>
      <c r="G308" s="7">
        <v>42</v>
      </c>
      <c r="H308" s="7" t="s">
        <v>841</v>
      </c>
      <c r="I308" s="7" t="s">
        <v>841</v>
      </c>
      <c r="J308" s="7" t="s">
        <v>221</v>
      </c>
      <c r="K308" s="7">
        <v>0</v>
      </c>
      <c r="L308" s="7">
        <f>COUNTIFS(I$11:I308,I308,J$11:J308,J308)-1</f>
        <v>0</v>
      </c>
      <c r="O308" s="7">
        <v>10</v>
      </c>
      <c r="P308" s="7">
        <v>300000</v>
      </c>
      <c r="Q308" s="7" t="s">
        <v>138</v>
      </c>
      <c r="R308" s="21">
        <v>40140009</v>
      </c>
      <c r="S308" s="7"/>
      <c r="T308" s="7"/>
      <c r="U308" s="7">
        <v>11010001</v>
      </c>
      <c r="V308" s="7">
        <v>11020001</v>
      </c>
      <c r="X308" s="7" t="s">
        <v>139</v>
      </c>
      <c r="Y308" s="7" t="s">
        <v>792</v>
      </c>
      <c r="Z308" s="7"/>
      <c r="AA308" s="7">
        <v>80</v>
      </c>
      <c r="AB308" s="7">
        <v>80</v>
      </c>
      <c r="AC308" s="7">
        <v>20</v>
      </c>
      <c r="AD308" s="7">
        <v>30</v>
      </c>
      <c r="AE308" s="7" t="s">
        <v>141</v>
      </c>
      <c r="AF308" s="7"/>
      <c r="AG308" s="22" t="s">
        <v>222</v>
      </c>
      <c r="AI308" s="23">
        <v>2750</v>
      </c>
      <c r="AJ308" s="7" t="s">
        <v>142</v>
      </c>
      <c r="AK308" s="24">
        <v>31000</v>
      </c>
      <c r="AL308" s="7" t="s">
        <v>143</v>
      </c>
      <c r="AM308" s="7">
        <v>65</v>
      </c>
      <c r="AN308" s="7" t="s">
        <v>144</v>
      </c>
      <c r="AO308" s="7">
        <v>95</v>
      </c>
      <c r="AP308" s="7" t="s">
        <v>145</v>
      </c>
      <c r="AQ308" s="7">
        <v>60</v>
      </c>
      <c r="AR308" s="7" t="s">
        <v>146</v>
      </c>
      <c r="AS308" s="7">
        <v>90</v>
      </c>
      <c r="AT308" s="7" t="s">
        <v>147</v>
      </c>
      <c r="AU308" s="7">
        <v>220</v>
      </c>
      <c r="AV308" s="7" t="s">
        <v>148</v>
      </c>
      <c r="AW308" s="7">
        <v>290</v>
      </c>
      <c r="AX308" s="7" t="s">
        <v>149</v>
      </c>
      <c r="AY308" s="7">
        <v>220</v>
      </c>
      <c r="AZ308" s="7" t="s">
        <v>150</v>
      </c>
      <c r="BA308" s="7">
        <v>290</v>
      </c>
      <c r="BB308" s="7" t="s">
        <v>151</v>
      </c>
      <c r="BC308" s="7">
        <v>1</v>
      </c>
      <c r="BD308" s="7" t="s">
        <v>152</v>
      </c>
      <c r="BE308" s="7">
        <v>2</v>
      </c>
      <c r="BF308" s="7" t="s">
        <v>153</v>
      </c>
      <c r="BG308" s="7">
        <v>100</v>
      </c>
      <c r="BH308" s="7" t="s">
        <v>154</v>
      </c>
      <c r="BI308" s="7">
        <v>10</v>
      </c>
      <c r="BJ308" s="7" t="s">
        <v>155</v>
      </c>
      <c r="BK308" s="7">
        <v>300</v>
      </c>
      <c r="BL308" s="20"/>
      <c r="BM308" s="20"/>
      <c r="BN308" s="20">
        <v>1</v>
      </c>
      <c r="BO308" s="20">
        <v>2500</v>
      </c>
      <c r="BP308" s="20">
        <v>2</v>
      </c>
      <c r="BQ308" s="20">
        <v>2500</v>
      </c>
      <c r="BR308" s="20" t="s">
        <v>156</v>
      </c>
    </row>
    <row r="309" s="7" customFormat="1" ht="16.5" spans="1:70">
      <c r="A309" s="7">
        <f>60000000+INDEX(编号表!$B:$B,MATCH(I309,编号表!$A:$A,0))*10000+INDEX(编号表!$B:$B,MATCH(J309,编号表!$C:$C,0))*1000+K309</f>
        <v>60382001</v>
      </c>
      <c r="B309" s="7" t="s">
        <v>857</v>
      </c>
      <c r="C309" s="7" t="s">
        <v>847</v>
      </c>
      <c r="D309" s="7" t="s">
        <v>858</v>
      </c>
      <c r="E309" s="7">
        <v>58</v>
      </c>
      <c r="F309" s="7" t="str" cm="1">
        <f t="array" ref="F309">INDEX(编号表!$E:$E,MATCH(J309,编号表!$C:$C,0))</f>
        <v>绿色</v>
      </c>
      <c r="G309" s="7">
        <v>42</v>
      </c>
      <c r="H309" s="7" t="s">
        <v>841</v>
      </c>
      <c r="I309" s="7" t="s">
        <v>841</v>
      </c>
      <c r="J309" s="7" t="s">
        <v>221</v>
      </c>
      <c r="K309" s="7">
        <v>1</v>
      </c>
      <c r="L309" s="7">
        <f>COUNTIFS(I$11:I309,I309,J$11:J309,J309)-1</f>
        <v>1</v>
      </c>
      <c r="O309" s="7">
        <v>10</v>
      </c>
      <c r="P309" s="7">
        <v>300000</v>
      </c>
      <c r="Q309" s="7" t="s">
        <v>138</v>
      </c>
      <c r="R309" s="21">
        <v>40140009</v>
      </c>
      <c r="S309" s="7"/>
      <c r="T309" s="7"/>
      <c r="U309" s="7">
        <v>11010001</v>
      </c>
      <c r="V309" s="7">
        <v>11020001</v>
      </c>
      <c r="X309" s="7" t="s">
        <v>139</v>
      </c>
      <c r="Y309" s="7" t="s">
        <v>848</v>
      </c>
      <c r="Z309" s="7"/>
      <c r="AA309" s="7">
        <v>80</v>
      </c>
      <c r="AB309" s="7">
        <v>80</v>
      </c>
      <c r="AC309" s="7">
        <v>20</v>
      </c>
      <c r="AD309" s="7">
        <v>30</v>
      </c>
      <c r="AE309" s="7" t="s">
        <v>141</v>
      </c>
      <c r="AF309" s="7"/>
      <c r="AG309" s="22" t="s">
        <v>234</v>
      </c>
      <c r="AI309" s="23">
        <v>660</v>
      </c>
      <c r="AJ309" s="7" t="s">
        <v>142</v>
      </c>
      <c r="AK309" s="24">
        <v>35500</v>
      </c>
      <c r="AL309" s="7" t="s">
        <v>143</v>
      </c>
      <c r="AM309" s="7">
        <v>75</v>
      </c>
      <c r="AN309" s="7" t="s">
        <v>144</v>
      </c>
      <c r="AO309" s="7">
        <v>110</v>
      </c>
      <c r="AP309" s="7" t="s">
        <v>145</v>
      </c>
      <c r="AQ309" s="7">
        <v>70</v>
      </c>
      <c r="AR309" s="7" t="s">
        <v>146</v>
      </c>
      <c r="AS309" s="7">
        <v>105</v>
      </c>
      <c r="AT309" s="7" t="s">
        <v>147</v>
      </c>
      <c r="AU309" s="7">
        <v>210</v>
      </c>
      <c r="AV309" s="7" t="s">
        <v>148</v>
      </c>
      <c r="AW309" s="7">
        <v>280</v>
      </c>
      <c r="AX309" s="7" t="s">
        <v>149</v>
      </c>
      <c r="AY309" s="7">
        <v>210</v>
      </c>
      <c r="AZ309" s="7" t="s">
        <v>150</v>
      </c>
      <c r="BA309" s="7">
        <v>280</v>
      </c>
      <c r="BB309" s="7" t="s">
        <v>151</v>
      </c>
      <c r="BC309" s="7">
        <v>1</v>
      </c>
      <c r="BD309" s="7" t="s">
        <v>152</v>
      </c>
      <c r="BE309" s="7">
        <v>2</v>
      </c>
      <c r="BF309" s="7" t="s">
        <v>153</v>
      </c>
      <c r="BG309" s="7">
        <v>100</v>
      </c>
      <c r="BH309" s="7" t="s">
        <v>154</v>
      </c>
      <c r="BI309" s="7">
        <v>10</v>
      </c>
      <c r="BJ309" s="7" t="s">
        <v>155</v>
      </c>
      <c r="BK309" s="7">
        <v>300</v>
      </c>
      <c r="BL309" s="20"/>
      <c r="BM309" s="20"/>
      <c r="BN309" s="20">
        <v>1</v>
      </c>
      <c r="BO309" s="20">
        <v>2500</v>
      </c>
      <c r="BP309" s="20">
        <v>2</v>
      </c>
      <c r="BQ309" s="20">
        <v>2500</v>
      </c>
      <c r="BR309" s="20" t="s">
        <v>156</v>
      </c>
    </row>
    <row r="310" s="15" customFormat="1" ht="16.5" spans="1:70">
      <c r="A310" s="15">
        <f>60000000+INDEX(编号表!$B:$B,MATCH(I310,编号表!$A:$A,0))*10000+INDEX(编号表!$B:$B,MATCH(J310,编号表!$C:$C,0))*1000+K310</f>
        <v>60384000</v>
      </c>
      <c r="B310" s="15" t="s">
        <v>859</v>
      </c>
      <c r="C310" s="15" t="s">
        <v>847</v>
      </c>
      <c r="D310" s="15" t="s">
        <v>858</v>
      </c>
      <c r="E310" s="15">
        <v>58</v>
      </c>
      <c r="F310" s="15" t="str" cm="1">
        <f t="array" ref="F310">INDEX(编号表!$E:$E,MATCH(J310,编号表!$C:$C,0))</f>
        <v>橙色</v>
      </c>
      <c r="G310" s="15">
        <v>42</v>
      </c>
      <c r="H310" s="15" t="s">
        <v>841</v>
      </c>
      <c r="I310" s="15" t="s">
        <v>841</v>
      </c>
      <c r="J310" s="15" t="s">
        <v>233</v>
      </c>
      <c r="K310" s="15">
        <v>0</v>
      </c>
      <c r="L310" s="15">
        <f>COUNTIFS(I$11:I310,I310,J$11:J310,J310)-1</f>
        <v>0</v>
      </c>
      <c r="O310" s="7">
        <v>10</v>
      </c>
      <c r="P310" s="7">
        <v>300000</v>
      </c>
      <c r="Q310" s="15" t="s">
        <v>138</v>
      </c>
      <c r="R310" s="21">
        <v>40140009</v>
      </c>
      <c r="S310" s="15"/>
      <c r="T310" s="15"/>
      <c r="U310" s="15">
        <v>11010001</v>
      </c>
      <c r="V310" s="15">
        <v>11020001</v>
      </c>
      <c r="X310" s="15" t="s">
        <v>139</v>
      </c>
      <c r="Y310" s="7" t="s">
        <v>848</v>
      </c>
      <c r="Z310" s="7">
        <v>1.5</v>
      </c>
      <c r="AA310" s="7">
        <v>100</v>
      </c>
      <c r="AB310" s="7">
        <v>100</v>
      </c>
      <c r="AC310" s="7">
        <v>20</v>
      </c>
      <c r="AD310" s="7">
        <v>30</v>
      </c>
      <c r="AE310" s="15" t="s">
        <v>141</v>
      </c>
      <c r="AF310" s="15"/>
      <c r="AG310" s="22" t="s">
        <v>234</v>
      </c>
      <c r="AH310" s="15"/>
      <c r="AI310" s="23">
        <v>660</v>
      </c>
      <c r="AJ310" s="15" t="s">
        <v>142</v>
      </c>
      <c r="AK310" s="24">
        <v>267000</v>
      </c>
      <c r="AL310" s="15" t="s">
        <v>143</v>
      </c>
      <c r="AM310" s="15">
        <v>115</v>
      </c>
      <c r="AN310" s="15" t="s">
        <v>144</v>
      </c>
      <c r="AO310" s="15">
        <v>160</v>
      </c>
      <c r="AP310" s="15" t="s">
        <v>145</v>
      </c>
      <c r="AQ310" s="15">
        <v>105</v>
      </c>
      <c r="AR310" s="15" t="s">
        <v>146</v>
      </c>
      <c r="AS310" s="15">
        <v>155</v>
      </c>
      <c r="AT310" s="15" t="s">
        <v>147</v>
      </c>
      <c r="AU310" s="15">
        <v>350</v>
      </c>
      <c r="AV310" s="15" t="s">
        <v>148</v>
      </c>
      <c r="AW310" s="15">
        <v>470</v>
      </c>
      <c r="AX310" s="15" t="s">
        <v>149</v>
      </c>
      <c r="AY310" s="15">
        <v>350</v>
      </c>
      <c r="AZ310" s="15" t="s">
        <v>150</v>
      </c>
      <c r="BA310" s="15">
        <v>470</v>
      </c>
      <c r="BB310" s="15" t="s">
        <v>151</v>
      </c>
      <c r="BC310" s="15">
        <v>1</v>
      </c>
      <c r="BD310" s="15" t="s">
        <v>152</v>
      </c>
      <c r="BE310" s="15">
        <v>2</v>
      </c>
      <c r="BF310" s="15" t="s">
        <v>153</v>
      </c>
      <c r="BG310" s="15">
        <v>100</v>
      </c>
      <c r="BH310" s="15" t="s">
        <v>154</v>
      </c>
      <c r="BI310" s="15">
        <v>10</v>
      </c>
      <c r="BJ310" s="15" t="s">
        <v>155</v>
      </c>
      <c r="BK310" s="7">
        <v>300</v>
      </c>
      <c r="BL310" s="25"/>
      <c r="BM310" s="25"/>
      <c r="BN310" s="20">
        <v>1</v>
      </c>
      <c r="BO310" s="20">
        <v>2500</v>
      </c>
      <c r="BP310" s="20">
        <v>2</v>
      </c>
      <c r="BQ310" s="20">
        <v>2500</v>
      </c>
      <c r="BR310" s="25" t="s">
        <v>156</v>
      </c>
    </row>
    <row r="311" s="7" customFormat="1" ht="16.5" spans="1:70">
      <c r="A311" s="7">
        <f>60000000+INDEX(编号表!$B:$B,MATCH(I311,编号表!$A:$A,0))*10000+INDEX(编号表!$B:$B,MATCH(J311,编号表!$C:$C,0))*1000+K311</f>
        <v>60391000</v>
      </c>
      <c r="B311" s="7" t="s">
        <v>860</v>
      </c>
      <c r="C311" s="7" t="s">
        <v>785</v>
      </c>
      <c r="D311" s="7" t="s">
        <v>861</v>
      </c>
      <c r="E311" s="7">
        <v>58</v>
      </c>
      <c r="F311" s="7" t="str" cm="1">
        <f t="array" ref="F311">INDEX(编号表!$E:$E,MATCH(J311,编号表!$C:$C,0))</f>
        <v>白色</v>
      </c>
      <c r="G311" s="7">
        <v>43</v>
      </c>
      <c r="H311" s="7" t="s">
        <v>862</v>
      </c>
      <c r="I311" s="7" t="s">
        <v>862</v>
      </c>
      <c r="J311" s="7" t="s">
        <v>137</v>
      </c>
      <c r="K311" s="7">
        <v>0</v>
      </c>
      <c r="L311" s="7">
        <f>COUNTIFS(I$11:I311,I311,J$11:J311,J311)-1</f>
        <v>0</v>
      </c>
      <c r="O311" s="7">
        <v>10</v>
      </c>
      <c r="P311" s="7">
        <v>300000</v>
      </c>
      <c r="Q311" s="7" t="s">
        <v>138</v>
      </c>
      <c r="R311" s="21">
        <v>40140009</v>
      </c>
      <c r="S311" s="7"/>
      <c r="T311" s="7"/>
      <c r="U311" s="7">
        <v>11010001</v>
      </c>
      <c r="V311" s="7">
        <v>11020001</v>
      </c>
      <c r="X311" s="7" t="s">
        <v>139</v>
      </c>
      <c r="Y311" s="7" t="s">
        <v>786</v>
      </c>
      <c r="Z311" s="7"/>
      <c r="AA311" s="7">
        <v>80</v>
      </c>
      <c r="AB311" s="7">
        <v>80</v>
      </c>
      <c r="AC311" s="7">
        <v>20</v>
      </c>
      <c r="AD311" s="7">
        <v>30</v>
      </c>
      <c r="AE311" s="7" t="s">
        <v>141</v>
      </c>
      <c r="AF311" s="7"/>
      <c r="AG311" s="22"/>
      <c r="AI311" s="23">
        <v>660</v>
      </c>
      <c r="AJ311" s="7" t="s">
        <v>142</v>
      </c>
      <c r="AK311" s="24">
        <v>5000</v>
      </c>
      <c r="AL311" s="7" t="s">
        <v>143</v>
      </c>
      <c r="AM311" s="7">
        <v>41</v>
      </c>
      <c r="AN311" s="7" t="s">
        <v>144</v>
      </c>
      <c r="AO311" s="7">
        <v>60</v>
      </c>
      <c r="AP311" s="7" t="s">
        <v>145</v>
      </c>
      <c r="AQ311" s="7">
        <v>38</v>
      </c>
      <c r="AR311" s="7" t="s">
        <v>146</v>
      </c>
      <c r="AS311" s="7">
        <v>55</v>
      </c>
      <c r="AT311" s="7" t="s">
        <v>147</v>
      </c>
      <c r="AU311" s="7">
        <v>100</v>
      </c>
      <c r="AV311" s="7" t="s">
        <v>148</v>
      </c>
      <c r="AW311" s="7">
        <v>135</v>
      </c>
      <c r="AX311" s="7" t="s">
        <v>149</v>
      </c>
      <c r="AY311" s="7">
        <v>100</v>
      </c>
      <c r="AZ311" s="7" t="s">
        <v>150</v>
      </c>
      <c r="BA311" s="7">
        <v>135</v>
      </c>
      <c r="BB311" s="7" t="s">
        <v>151</v>
      </c>
      <c r="BC311" s="7">
        <v>1</v>
      </c>
      <c r="BD311" s="7" t="s">
        <v>152</v>
      </c>
      <c r="BE311" s="7">
        <v>2</v>
      </c>
      <c r="BF311" s="7" t="s">
        <v>153</v>
      </c>
      <c r="BG311" s="7">
        <v>100</v>
      </c>
      <c r="BH311" s="7" t="s">
        <v>154</v>
      </c>
      <c r="BI311" s="7">
        <v>10</v>
      </c>
      <c r="BJ311" s="7" t="s">
        <v>155</v>
      </c>
      <c r="BK311" s="7">
        <v>300</v>
      </c>
      <c r="BL311" s="20"/>
      <c r="BM311" s="20"/>
      <c r="BN311" s="20">
        <v>1</v>
      </c>
      <c r="BO311" s="20">
        <v>2500</v>
      </c>
      <c r="BP311" s="20">
        <v>2</v>
      </c>
      <c r="BQ311" s="20">
        <v>2500</v>
      </c>
      <c r="BR311" s="20" t="s">
        <v>156</v>
      </c>
    </row>
    <row r="312" s="7" customFormat="1" ht="16.5" spans="1:70">
      <c r="A312" s="7">
        <f>60000000+INDEX(编号表!$B:$B,MATCH(I312,编号表!$A:$A,0))*10000+INDEX(编号表!$B:$B,MATCH(J312,编号表!$C:$C,0))*1000+K312</f>
        <v>60391001</v>
      </c>
      <c r="B312" s="7" t="s">
        <v>863</v>
      </c>
      <c r="C312" s="7" t="s">
        <v>788</v>
      </c>
      <c r="D312" s="7" t="s">
        <v>864</v>
      </c>
      <c r="E312" s="7">
        <v>58</v>
      </c>
      <c r="F312" s="7" t="str" cm="1">
        <f t="array" ref="F312">INDEX(编号表!$E:$E,MATCH(J312,编号表!$C:$C,0))</f>
        <v>白色</v>
      </c>
      <c r="G312" s="7">
        <v>43</v>
      </c>
      <c r="H312" s="7" t="s">
        <v>862</v>
      </c>
      <c r="I312" s="7" t="s">
        <v>862</v>
      </c>
      <c r="J312" s="7" t="s">
        <v>137</v>
      </c>
      <c r="K312" s="7">
        <v>1</v>
      </c>
      <c r="L312" s="7">
        <f>COUNTIFS(I$11:I312,I312,J$11:J312,J312)-1</f>
        <v>1</v>
      </c>
      <c r="O312" s="7">
        <v>10</v>
      </c>
      <c r="P312" s="7">
        <v>300000</v>
      </c>
      <c r="Q312" s="7" t="s">
        <v>138</v>
      </c>
      <c r="R312" s="21">
        <v>40140009</v>
      </c>
      <c r="S312" s="7"/>
      <c r="T312" s="7"/>
      <c r="U312" s="7">
        <v>11010001</v>
      </c>
      <c r="V312" s="7">
        <v>11020001</v>
      </c>
      <c r="X312" s="7" t="s">
        <v>139</v>
      </c>
      <c r="Y312" s="7" t="s">
        <v>789</v>
      </c>
      <c r="Z312" s="7"/>
      <c r="AA312" s="7">
        <v>80</v>
      </c>
      <c r="AB312" s="7">
        <v>80</v>
      </c>
      <c r="AC312" s="7">
        <v>20</v>
      </c>
      <c r="AD312" s="7">
        <v>30</v>
      </c>
      <c r="AE312" s="7" t="s">
        <v>141</v>
      </c>
      <c r="AF312" s="7"/>
      <c r="AG312" s="22"/>
      <c r="AI312" s="23">
        <v>660</v>
      </c>
      <c r="AJ312" s="7" t="s">
        <v>142</v>
      </c>
      <c r="AK312" s="24">
        <v>5000</v>
      </c>
      <c r="AL312" s="7" t="s">
        <v>143</v>
      </c>
      <c r="AM312" s="7">
        <v>41</v>
      </c>
      <c r="AN312" s="7" t="s">
        <v>144</v>
      </c>
      <c r="AO312" s="7">
        <v>60</v>
      </c>
      <c r="AP312" s="7" t="s">
        <v>145</v>
      </c>
      <c r="AQ312" s="7">
        <v>38</v>
      </c>
      <c r="AR312" s="7" t="s">
        <v>146</v>
      </c>
      <c r="AS312" s="7">
        <v>55</v>
      </c>
      <c r="AT312" s="7" t="s">
        <v>147</v>
      </c>
      <c r="AU312" s="7">
        <v>100</v>
      </c>
      <c r="AV312" s="7" t="s">
        <v>148</v>
      </c>
      <c r="AW312" s="7">
        <v>135</v>
      </c>
      <c r="AX312" s="7" t="s">
        <v>149</v>
      </c>
      <c r="AY312" s="7">
        <v>100</v>
      </c>
      <c r="AZ312" s="7" t="s">
        <v>150</v>
      </c>
      <c r="BA312" s="7">
        <v>135</v>
      </c>
      <c r="BB312" s="7" t="s">
        <v>151</v>
      </c>
      <c r="BC312" s="7">
        <v>1</v>
      </c>
      <c r="BD312" s="7" t="s">
        <v>152</v>
      </c>
      <c r="BE312" s="7">
        <v>2</v>
      </c>
      <c r="BF312" s="7" t="s">
        <v>153</v>
      </c>
      <c r="BG312" s="7">
        <v>100</v>
      </c>
      <c r="BH312" s="7" t="s">
        <v>154</v>
      </c>
      <c r="BI312" s="7">
        <v>10</v>
      </c>
      <c r="BJ312" s="7" t="s">
        <v>155</v>
      </c>
      <c r="BK312" s="7">
        <v>300</v>
      </c>
      <c r="BL312" s="20"/>
      <c r="BM312" s="20"/>
      <c r="BN312" s="20">
        <v>1</v>
      </c>
      <c r="BO312" s="20">
        <v>2500</v>
      </c>
      <c r="BP312" s="20">
        <v>2</v>
      </c>
      <c r="BQ312" s="20">
        <v>2500</v>
      </c>
      <c r="BR312" s="20" t="s">
        <v>156</v>
      </c>
    </row>
    <row r="313" s="7" customFormat="1" ht="16.5" spans="1:70">
      <c r="A313" s="7">
        <f>60000000+INDEX(编号表!$B:$B,MATCH(I313,编号表!$A:$A,0))*10000+INDEX(编号表!$B:$B,MATCH(J313,编号表!$C:$C,0))*1000+K313</f>
        <v>60391002</v>
      </c>
      <c r="B313" s="7" t="s">
        <v>865</v>
      </c>
      <c r="C313" s="7" t="s">
        <v>804</v>
      </c>
      <c r="D313" s="7" t="s">
        <v>866</v>
      </c>
      <c r="E313" s="7">
        <v>58</v>
      </c>
      <c r="F313" s="7" t="str" cm="1">
        <f t="array" ref="F313">INDEX(编号表!$E:$E,MATCH(J313,编号表!$C:$C,0))</f>
        <v>白色</v>
      </c>
      <c r="G313" s="7">
        <v>43</v>
      </c>
      <c r="H313" s="7" t="s">
        <v>862</v>
      </c>
      <c r="I313" s="7" t="s">
        <v>862</v>
      </c>
      <c r="J313" s="7" t="s">
        <v>137</v>
      </c>
      <c r="K313" s="7">
        <v>2</v>
      </c>
      <c r="L313" s="7">
        <f>COUNTIFS(I$11:I313,I313,J$11:J313,J313)-1</f>
        <v>2</v>
      </c>
      <c r="O313" s="7">
        <v>10</v>
      </c>
      <c r="P313" s="7">
        <v>300000</v>
      </c>
      <c r="Q313" s="7" t="s">
        <v>138</v>
      </c>
      <c r="R313" s="21">
        <v>40140009</v>
      </c>
      <c r="S313" s="7"/>
      <c r="T313" s="7"/>
      <c r="U313" s="7">
        <v>11010001</v>
      </c>
      <c r="V313" s="7">
        <v>11020001</v>
      </c>
      <c r="X313" s="7" t="s">
        <v>139</v>
      </c>
      <c r="Y313" s="7" t="s">
        <v>805</v>
      </c>
      <c r="Z313" s="7"/>
      <c r="AA313" s="7">
        <v>80</v>
      </c>
      <c r="AB313" s="7">
        <v>80</v>
      </c>
      <c r="AC313" s="7">
        <v>20</v>
      </c>
      <c r="AD313" s="7">
        <v>30</v>
      </c>
      <c r="AE313" s="7" t="s">
        <v>141</v>
      </c>
      <c r="AF313" s="7"/>
      <c r="AG313" s="22"/>
      <c r="AI313" s="23">
        <v>660</v>
      </c>
      <c r="AJ313" s="7" t="s">
        <v>142</v>
      </c>
      <c r="AK313" s="24">
        <v>5000</v>
      </c>
      <c r="AL313" s="7" t="s">
        <v>143</v>
      </c>
      <c r="AM313" s="7">
        <v>41</v>
      </c>
      <c r="AN313" s="7" t="s">
        <v>144</v>
      </c>
      <c r="AO313" s="7">
        <v>60</v>
      </c>
      <c r="AP313" s="7" t="s">
        <v>145</v>
      </c>
      <c r="AQ313" s="7">
        <v>38</v>
      </c>
      <c r="AR313" s="7" t="s">
        <v>146</v>
      </c>
      <c r="AS313" s="7">
        <v>55</v>
      </c>
      <c r="AT313" s="7" t="s">
        <v>147</v>
      </c>
      <c r="AU313" s="7">
        <v>100</v>
      </c>
      <c r="AV313" s="7" t="s">
        <v>148</v>
      </c>
      <c r="AW313" s="7">
        <v>135</v>
      </c>
      <c r="AX313" s="7" t="s">
        <v>149</v>
      </c>
      <c r="AY313" s="7">
        <v>100</v>
      </c>
      <c r="AZ313" s="7" t="s">
        <v>150</v>
      </c>
      <c r="BA313" s="7">
        <v>135</v>
      </c>
      <c r="BB313" s="7" t="s">
        <v>151</v>
      </c>
      <c r="BC313" s="7">
        <v>1</v>
      </c>
      <c r="BD313" s="7" t="s">
        <v>152</v>
      </c>
      <c r="BE313" s="7">
        <v>2</v>
      </c>
      <c r="BF313" s="7" t="s">
        <v>153</v>
      </c>
      <c r="BG313" s="7">
        <v>100</v>
      </c>
      <c r="BH313" s="7" t="s">
        <v>154</v>
      </c>
      <c r="BI313" s="7">
        <v>10</v>
      </c>
      <c r="BJ313" s="7" t="s">
        <v>155</v>
      </c>
      <c r="BK313" s="7">
        <v>300</v>
      </c>
      <c r="BL313" s="20"/>
      <c r="BM313" s="20"/>
      <c r="BN313" s="20">
        <v>1</v>
      </c>
      <c r="BO313" s="20">
        <v>2500</v>
      </c>
      <c r="BP313" s="20">
        <v>2</v>
      </c>
      <c r="BQ313" s="20">
        <v>2500</v>
      </c>
      <c r="BR313" s="20" t="s">
        <v>156</v>
      </c>
    </row>
    <row r="314" s="7" customFormat="1" ht="16.5" spans="1:70">
      <c r="A314" s="7">
        <f>60000000+INDEX(编号表!$B:$B,MATCH(I314,编号表!$A:$A,0))*10000+INDEX(编号表!$B:$B,MATCH(J314,编号表!$C:$C,0))*1000+K314</f>
        <v>60391003</v>
      </c>
      <c r="B314" s="7" t="s">
        <v>867</v>
      </c>
      <c r="C314" s="7" t="s">
        <v>847</v>
      </c>
      <c r="D314" s="7" t="s">
        <v>868</v>
      </c>
      <c r="E314" s="7">
        <v>58</v>
      </c>
      <c r="F314" s="7" t="str" cm="1">
        <f t="array" ref="F314">INDEX(编号表!$E:$E,MATCH(J314,编号表!$C:$C,0))</f>
        <v>白色</v>
      </c>
      <c r="G314" s="7">
        <v>43</v>
      </c>
      <c r="H314" s="7" t="s">
        <v>862</v>
      </c>
      <c r="I314" s="7" t="s">
        <v>862</v>
      </c>
      <c r="J314" s="7" t="s">
        <v>137</v>
      </c>
      <c r="K314" s="7">
        <v>3</v>
      </c>
      <c r="L314" s="7">
        <f>COUNTIFS(I$11:I314,I314,J$11:J314,J314)-1</f>
        <v>3</v>
      </c>
      <c r="O314" s="7">
        <v>10</v>
      </c>
      <c r="P314" s="7">
        <v>300000</v>
      </c>
      <c r="Q314" s="7" t="s">
        <v>138</v>
      </c>
      <c r="R314" s="21">
        <v>40140009</v>
      </c>
      <c r="S314" s="7"/>
      <c r="T314" s="7"/>
      <c r="U314" s="7">
        <v>11010001</v>
      </c>
      <c r="V314" s="7">
        <v>11020001</v>
      </c>
      <c r="X314" s="7" t="s">
        <v>139</v>
      </c>
      <c r="Y314" s="7" t="s">
        <v>848</v>
      </c>
      <c r="Z314" s="7"/>
      <c r="AA314" s="7">
        <v>80</v>
      </c>
      <c r="AB314" s="7">
        <v>80</v>
      </c>
      <c r="AC314" s="7">
        <v>20</v>
      </c>
      <c r="AD314" s="7">
        <v>30</v>
      </c>
      <c r="AE314" s="7" t="s">
        <v>141</v>
      </c>
      <c r="AF314" s="7"/>
      <c r="AG314" s="22"/>
      <c r="AI314" s="23">
        <v>660</v>
      </c>
      <c r="AJ314" s="7" t="s">
        <v>142</v>
      </c>
      <c r="AK314" s="24">
        <v>5700</v>
      </c>
      <c r="AL314" s="7" t="s">
        <v>143</v>
      </c>
      <c r="AM314" s="7">
        <v>47</v>
      </c>
      <c r="AN314" s="7" t="s">
        <v>144</v>
      </c>
      <c r="AO314" s="7">
        <v>65</v>
      </c>
      <c r="AP314" s="7" t="s">
        <v>145</v>
      </c>
      <c r="AQ314" s="7">
        <v>44</v>
      </c>
      <c r="AR314" s="7" t="s">
        <v>146</v>
      </c>
      <c r="AS314" s="7">
        <v>65</v>
      </c>
      <c r="AT314" s="7" t="s">
        <v>147</v>
      </c>
      <c r="AU314" s="7">
        <v>95</v>
      </c>
      <c r="AV314" s="7" t="s">
        <v>148</v>
      </c>
      <c r="AW314" s="7">
        <v>130</v>
      </c>
      <c r="AX314" s="7" t="s">
        <v>149</v>
      </c>
      <c r="AY314" s="7">
        <v>95</v>
      </c>
      <c r="AZ314" s="7" t="s">
        <v>150</v>
      </c>
      <c r="BA314" s="7">
        <v>130</v>
      </c>
      <c r="BB314" s="7" t="s">
        <v>151</v>
      </c>
      <c r="BC314" s="7">
        <v>1</v>
      </c>
      <c r="BD314" s="7" t="s">
        <v>152</v>
      </c>
      <c r="BE314" s="7">
        <v>2</v>
      </c>
      <c r="BF314" s="7" t="s">
        <v>153</v>
      </c>
      <c r="BG314" s="7">
        <v>100</v>
      </c>
      <c r="BH314" s="7" t="s">
        <v>154</v>
      </c>
      <c r="BI314" s="7">
        <v>10</v>
      </c>
      <c r="BJ314" s="7" t="s">
        <v>155</v>
      </c>
      <c r="BK314" s="7">
        <v>300</v>
      </c>
      <c r="BL314" s="20"/>
      <c r="BM314" s="20"/>
      <c r="BN314" s="20">
        <v>1</v>
      </c>
      <c r="BO314" s="20">
        <v>2500</v>
      </c>
      <c r="BP314" s="20">
        <v>2</v>
      </c>
      <c r="BQ314" s="20">
        <v>2500</v>
      </c>
      <c r="BR314" s="20" t="s">
        <v>156</v>
      </c>
    </row>
    <row r="315" s="7" customFormat="1" ht="16.5" spans="1:70">
      <c r="A315" s="7">
        <f>60000000+INDEX(编号表!$B:$B,MATCH(I315,编号表!$A:$A,0))*10000+INDEX(编号表!$B:$B,MATCH(J315,编号表!$C:$C,0))*1000+K315</f>
        <v>60391004</v>
      </c>
      <c r="B315" s="7" t="s">
        <v>869</v>
      </c>
      <c r="C315" s="7" t="s">
        <v>853</v>
      </c>
      <c r="D315" s="7" t="s">
        <v>870</v>
      </c>
      <c r="E315" s="7">
        <v>58</v>
      </c>
      <c r="F315" s="7" t="str" cm="1">
        <f t="array" ref="F315">INDEX(编号表!$E:$E,MATCH(J315,编号表!$C:$C,0))</f>
        <v>白色</v>
      </c>
      <c r="G315" s="7">
        <v>43</v>
      </c>
      <c r="H315" s="7" t="s">
        <v>862</v>
      </c>
      <c r="I315" s="7" t="s">
        <v>862</v>
      </c>
      <c r="J315" s="7" t="s">
        <v>137</v>
      </c>
      <c r="K315" s="7">
        <v>4</v>
      </c>
      <c r="L315" s="7">
        <f>COUNTIFS(I$11:I315,I315,J$11:J315,J315)-1</f>
        <v>4</v>
      </c>
      <c r="O315" s="7">
        <v>10</v>
      </c>
      <c r="P315" s="7">
        <v>300000</v>
      </c>
      <c r="Q315" s="7" t="s">
        <v>138</v>
      </c>
      <c r="R315" s="21">
        <v>40140009</v>
      </c>
      <c r="S315" s="7"/>
      <c r="T315" s="7"/>
      <c r="U315" s="7">
        <v>11010001</v>
      </c>
      <c r="V315" s="7">
        <v>11020001</v>
      </c>
      <c r="X315" s="7" t="s">
        <v>139</v>
      </c>
      <c r="Y315" s="7" t="s">
        <v>854</v>
      </c>
      <c r="Z315" s="7"/>
      <c r="AA315" s="7">
        <v>80</v>
      </c>
      <c r="AB315" s="7">
        <v>80</v>
      </c>
      <c r="AC315" s="7">
        <v>20</v>
      </c>
      <c r="AD315" s="7">
        <v>30</v>
      </c>
      <c r="AE315" s="7" t="s">
        <v>141</v>
      </c>
      <c r="AF315" s="7"/>
      <c r="AG315" s="22"/>
      <c r="AI315" s="23">
        <v>660</v>
      </c>
      <c r="AJ315" s="7" t="s">
        <v>142</v>
      </c>
      <c r="AK315" s="24">
        <v>5000</v>
      </c>
      <c r="AL315" s="7" t="s">
        <v>143</v>
      </c>
      <c r="AM315" s="7">
        <v>41</v>
      </c>
      <c r="AN315" s="7" t="s">
        <v>144</v>
      </c>
      <c r="AO315" s="7">
        <v>60</v>
      </c>
      <c r="AP315" s="7" t="s">
        <v>145</v>
      </c>
      <c r="AQ315" s="7">
        <v>38</v>
      </c>
      <c r="AR315" s="7" t="s">
        <v>146</v>
      </c>
      <c r="AS315" s="7">
        <v>55</v>
      </c>
      <c r="AT315" s="7" t="s">
        <v>147</v>
      </c>
      <c r="AU315" s="7">
        <v>90</v>
      </c>
      <c r="AV315" s="7" t="s">
        <v>148</v>
      </c>
      <c r="AW315" s="7">
        <v>125</v>
      </c>
      <c r="AX315" s="7" t="s">
        <v>149</v>
      </c>
      <c r="AY315" s="7">
        <v>90</v>
      </c>
      <c r="AZ315" s="7" t="s">
        <v>150</v>
      </c>
      <c r="BA315" s="7">
        <v>125</v>
      </c>
      <c r="BB315" s="7" t="s">
        <v>151</v>
      </c>
      <c r="BC315" s="7">
        <v>1</v>
      </c>
      <c r="BD315" s="7" t="s">
        <v>152</v>
      </c>
      <c r="BE315" s="7">
        <v>2</v>
      </c>
      <c r="BF315" s="7" t="s">
        <v>153</v>
      </c>
      <c r="BG315" s="7">
        <v>100</v>
      </c>
      <c r="BH315" s="7" t="s">
        <v>154</v>
      </c>
      <c r="BI315" s="7">
        <v>10</v>
      </c>
      <c r="BJ315" s="7" t="s">
        <v>155</v>
      </c>
      <c r="BK315" s="7">
        <v>300</v>
      </c>
      <c r="BL315" s="20"/>
      <c r="BM315" s="20"/>
      <c r="BN315" s="20">
        <v>1</v>
      </c>
      <c r="BO315" s="20">
        <v>2500</v>
      </c>
      <c r="BP315" s="20">
        <v>2</v>
      </c>
      <c r="BQ315" s="20">
        <v>2500</v>
      </c>
      <c r="BR315" s="20" t="s">
        <v>156</v>
      </c>
    </row>
    <row r="316" s="7" customFormat="1" ht="16.5" spans="1:70">
      <c r="A316" s="7">
        <f>60000000+INDEX(编号表!$B:$B,MATCH(I316,编号表!$A:$A,0))*10000+INDEX(编号表!$B:$B,MATCH(J316,编号表!$C:$C,0))*1000+K316</f>
        <v>60392000</v>
      </c>
      <c r="B316" s="7" t="s">
        <v>871</v>
      </c>
      <c r="C316" s="7" t="s">
        <v>847</v>
      </c>
      <c r="D316" s="7" t="s">
        <v>872</v>
      </c>
      <c r="E316" s="7">
        <v>59</v>
      </c>
      <c r="F316" s="7" t="str" cm="1">
        <f t="array" ref="F316">INDEX(编号表!$E:$E,MATCH(J316,编号表!$C:$C,0))</f>
        <v>绿色</v>
      </c>
      <c r="G316" s="7">
        <v>43</v>
      </c>
      <c r="H316" s="7" t="s">
        <v>862</v>
      </c>
      <c r="I316" s="7" t="s">
        <v>862</v>
      </c>
      <c r="J316" s="7" t="s">
        <v>221</v>
      </c>
      <c r="K316" s="7">
        <v>0</v>
      </c>
      <c r="L316" s="7">
        <f>COUNTIFS(I$11:I316,I316,J$11:J316,J316)-1</f>
        <v>0</v>
      </c>
      <c r="O316" s="7">
        <v>10</v>
      </c>
      <c r="P316" s="7">
        <v>300000</v>
      </c>
      <c r="Q316" s="7" t="s">
        <v>138</v>
      </c>
      <c r="R316" s="21">
        <v>40140009</v>
      </c>
      <c r="S316" s="7"/>
      <c r="T316" s="7"/>
      <c r="U316" s="7">
        <v>11010001</v>
      </c>
      <c r="V316" s="7">
        <v>11020001</v>
      </c>
      <c r="X316" s="7" t="s">
        <v>139</v>
      </c>
      <c r="Y316" s="7" t="s">
        <v>848</v>
      </c>
      <c r="Z316" s="7"/>
      <c r="AA316" s="7">
        <v>80</v>
      </c>
      <c r="AB316" s="7">
        <v>80</v>
      </c>
      <c r="AC316" s="7">
        <v>20</v>
      </c>
      <c r="AD316" s="7">
        <v>30</v>
      </c>
      <c r="AE316" s="7" t="s">
        <v>141</v>
      </c>
      <c r="AF316" s="7"/>
      <c r="AG316" s="22" t="s">
        <v>234</v>
      </c>
      <c r="AI316" s="23">
        <v>660</v>
      </c>
      <c r="AJ316" s="7" t="s">
        <v>142</v>
      </c>
      <c r="AK316" s="24">
        <v>37000</v>
      </c>
      <c r="AL316" s="7" t="s">
        <v>143</v>
      </c>
      <c r="AM316" s="7">
        <v>80</v>
      </c>
      <c r="AN316" s="7" t="s">
        <v>144</v>
      </c>
      <c r="AO316" s="7">
        <v>115</v>
      </c>
      <c r="AP316" s="7" t="s">
        <v>145</v>
      </c>
      <c r="AQ316" s="7">
        <v>75</v>
      </c>
      <c r="AR316" s="7" t="s">
        <v>146</v>
      </c>
      <c r="AS316" s="7">
        <v>110</v>
      </c>
      <c r="AT316" s="7" t="s">
        <v>147</v>
      </c>
      <c r="AU316" s="7">
        <v>220</v>
      </c>
      <c r="AV316" s="7" t="s">
        <v>148</v>
      </c>
      <c r="AW316" s="7">
        <v>290</v>
      </c>
      <c r="AX316" s="7" t="s">
        <v>149</v>
      </c>
      <c r="AY316" s="7">
        <v>220</v>
      </c>
      <c r="AZ316" s="7" t="s">
        <v>150</v>
      </c>
      <c r="BA316" s="7">
        <v>290</v>
      </c>
      <c r="BB316" s="7" t="s">
        <v>151</v>
      </c>
      <c r="BC316" s="7">
        <v>1</v>
      </c>
      <c r="BD316" s="7" t="s">
        <v>152</v>
      </c>
      <c r="BE316" s="7">
        <v>2</v>
      </c>
      <c r="BF316" s="7" t="s">
        <v>153</v>
      </c>
      <c r="BG316" s="7">
        <v>100</v>
      </c>
      <c r="BH316" s="7" t="s">
        <v>154</v>
      </c>
      <c r="BI316" s="7">
        <v>10</v>
      </c>
      <c r="BJ316" s="7" t="s">
        <v>155</v>
      </c>
      <c r="BK316" s="7">
        <v>300</v>
      </c>
      <c r="BL316" s="20"/>
      <c r="BM316" s="20"/>
      <c r="BN316" s="20">
        <v>1</v>
      </c>
      <c r="BO316" s="20">
        <v>2500</v>
      </c>
      <c r="BP316" s="20">
        <v>2</v>
      </c>
      <c r="BQ316" s="20">
        <v>2500</v>
      </c>
      <c r="BR316" s="20" t="s">
        <v>156</v>
      </c>
    </row>
    <row r="317" s="7" customFormat="1" ht="16.5" spans="1:70">
      <c r="A317" s="7">
        <f>60000000+INDEX(编号表!$B:$B,MATCH(I317,编号表!$A:$A,0))*10000+INDEX(编号表!$B:$B,MATCH(J317,编号表!$C:$C,0))*1000+K317</f>
        <v>60394000</v>
      </c>
      <c r="B317" s="7" t="s">
        <v>873</v>
      </c>
      <c r="C317" s="7" t="s">
        <v>874</v>
      </c>
      <c r="D317" s="7" t="s">
        <v>874</v>
      </c>
      <c r="E317" s="7">
        <v>59</v>
      </c>
      <c r="F317" s="7" t="str" cm="1">
        <f t="array" ref="F317">INDEX(编号表!$E:$E,MATCH(J317,编号表!$C:$C,0))</f>
        <v>橙色</v>
      </c>
      <c r="G317" s="7">
        <v>43</v>
      </c>
      <c r="H317" s="7" t="s">
        <v>862</v>
      </c>
      <c r="I317" s="7" t="s">
        <v>862</v>
      </c>
      <c r="J317" s="7" t="s">
        <v>233</v>
      </c>
      <c r="K317" s="7">
        <v>0</v>
      </c>
      <c r="L317" s="7">
        <f>COUNTIFS(I$11:I317,I317,J$11:J317,J317)-1</f>
        <v>0</v>
      </c>
      <c r="O317" s="7">
        <v>10</v>
      </c>
      <c r="P317" s="7">
        <v>300000</v>
      </c>
      <c r="Q317" s="7" t="s">
        <v>138</v>
      </c>
      <c r="R317" s="21">
        <v>40140009</v>
      </c>
      <c r="S317" s="7"/>
      <c r="T317" s="7"/>
      <c r="U317" s="7">
        <v>11010001</v>
      </c>
      <c r="V317" s="7">
        <v>11020001</v>
      </c>
      <c r="X317" s="7" t="s">
        <v>139</v>
      </c>
      <c r="Y317" s="7" t="s">
        <v>875</v>
      </c>
      <c r="Z317" s="7">
        <v>1.5</v>
      </c>
      <c r="AA317" s="7">
        <v>100</v>
      </c>
      <c r="AB317" s="7">
        <v>100</v>
      </c>
      <c r="AC317" s="7">
        <v>20</v>
      </c>
      <c r="AD317" s="7">
        <v>30</v>
      </c>
      <c r="AE317" s="7" t="s">
        <v>141</v>
      </c>
      <c r="AF317" s="7"/>
      <c r="AG317" s="22" t="s">
        <v>234</v>
      </c>
      <c r="AI317" s="23">
        <v>660</v>
      </c>
      <c r="AJ317" s="7" t="s">
        <v>142</v>
      </c>
      <c r="AK317" s="24">
        <v>352000</v>
      </c>
      <c r="AL317" s="7" t="s">
        <v>143</v>
      </c>
      <c r="AM317" s="7">
        <v>125</v>
      </c>
      <c r="AN317" s="7" t="s">
        <v>144</v>
      </c>
      <c r="AO317" s="7">
        <v>180</v>
      </c>
      <c r="AP317" s="7" t="s">
        <v>145</v>
      </c>
      <c r="AQ317" s="7">
        <v>120</v>
      </c>
      <c r="AR317" s="7" t="s">
        <v>146</v>
      </c>
      <c r="AS317" s="7">
        <v>170</v>
      </c>
      <c r="AT317" s="7" t="s">
        <v>147</v>
      </c>
      <c r="AU317" s="7">
        <v>400</v>
      </c>
      <c r="AV317" s="7" t="s">
        <v>148</v>
      </c>
      <c r="AW317" s="7">
        <v>550</v>
      </c>
      <c r="AX317" s="7" t="s">
        <v>149</v>
      </c>
      <c r="AY317" s="7">
        <v>400</v>
      </c>
      <c r="AZ317" s="7" t="s">
        <v>150</v>
      </c>
      <c r="BA317" s="7">
        <v>550</v>
      </c>
      <c r="BB317" s="7" t="s">
        <v>151</v>
      </c>
      <c r="BC317" s="7">
        <v>1</v>
      </c>
      <c r="BD317" s="7" t="s">
        <v>152</v>
      </c>
      <c r="BE317" s="7">
        <v>2</v>
      </c>
      <c r="BF317" s="7" t="s">
        <v>153</v>
      </c>
      <c r="BG317" s="7">
        <v>100</v>
      </c>
      <c r="BH317" s="7" t="s">
        <v>154</v>
      </c>
      <c r="BI317" s="7">
        <v>10</v>
      </c>
      <c r="BJ317" s="7" t="s">
        <v>155</v>
      </c>
      <c r="BK317" s="7">
        <v>300</v>
      </c>
      <c r="BL317" s="20"/>
      <c r="BM317" s="20"/>
      <c r="BN317" s="20">
        <v>1</v>
      </c>
      <c r="BO317" s="20">
        <v>2500</v>
      </c>
      <c r="BP317" s="20">
        <v>2</v>
      </c>
      <c r="BQ317" s="20">
        <v>2500</v>
      </c>
      <c r="BR317" s="20" t="s">
        <v>156</v>
      </c>
    </row>
    <row r="318" s="7" customFormat="1" ht="16.5" spans="1:70">
      <c r="A318" s="7">
        <f>60000000+INDEX(编号表!$B:$B,MATCH(I318,编号表!$A:$A,0))*10000+INDEX(编号表!$B:$B,MATCH(J318,编号表!$C:$C,0))*1000+K318</f>
        <v>60394001</v>
      </c>
      <c r="B318" s="7" t="s">
        <v>876</v>
      </c>
      <c r="C318" s="7" t="s">
        <v>877</v>
      </c>
      <c r="D318" s="7" t="s">
        <v>877</v>
      </c>
      <c r="E318" s="7">
        <v>59</v>
      </c>
      <c r="F318" s="7" t="str" cm="1">
        <f t="array" ref="F318">INDEX(编号表!$E:$E,MATCH(J318,编号表!$C:$C,0))</f>
        <v>橙色</v>
      </c>
      <c r="G318" s="7">
        <v>43</v>
      </c>
      <c r="H318" s="7" t="s">
        <v>862</v>
      </c>
      <c r="I318" s="7" t="s">
        <v>862</v>
      </c>
      <c r="J318" s="7" t="s">
        <v>233</v>
      </c>
      <c r="K318" s="7">
        <v>1</v>
      </c>
      <c r="L318" s="7">
        <f>COUNTIFS(I$11:I318,I318,J$11:J318,J318)-1</f>
        <v>1</v>
      </c>
      <c r="O318" s="7">
        <v>10</v>
      </c>
      <c r="P318" s="7">
        <v>300000</v>
      </c>
      <c r="Q318" s="7" t="s">
        <v>138</v>
      </c>
      <c r="R318" s="21">
        <v>40140009</v>
      </c>
      <c r="S318" s="7"/>
      <c r="T318" s="7"/>
      <c r="U318" s="7">
        <v>11010001</v>
      </c>
      <c r="V318" s="7">
        <v>11020001</v>
      </c>
      <c r="X318" s="7" t="s">
        <v>139</v>
      </c>
      <c r="Y318" s="7" t="s">
        <v>851</v>
      </c>
      <c r="Z318" s="7">
        <v>1.5</v>
      </c>
      <c r="AA318" s="7">
        <v>100</v>
      </c>
      <c r="AB318" s="7">
        <v>100</v>
      </c>
      <c r="AC318" s="7">
        <v>20</v>
      </c>
      <c r="AD318" s="7">
        <v>30</v>
      </c>
      <c r="AE318" s="7" t="s">
        <v>141</v>
      </c>
      <c r="AF318" s="7"/>
      <c r="AG318" s="22" t="s">
        <v>234</v>
      </c>
      <c r="AI318" s="23">
        <v>660</v>
      </c>
      <c r="AJ318" s="7" t="s">
        <v>142</v>
      </c>
      <c r="AK318" s="24">
        <v>352000</v>
      </c>
      <c r="AL318" s="7" t="s">
        <v>143</v>
      </c>
      <c r="AM318" s="7">
        <v>125</v>
      </c>
      <c r="AN318" s="7" t="s">
        <v>144</v>
      </c>
      <c r="AO318" s="7">
        <v>180</v>
      </c>
      <c r="AP318" s="7" t="s">
        <v>145</v>
      </c>
      <c r="AQ318" s="7">
        <v>120</v>
      </c>
      <c r="AR318" s="7" t="s">
        <v>146</v>
      </c>
      <c r="AS318" s="7">
        <v>170</v>
      </c>
      <c r="AT318" s="7" t="s">
        <v>147</v>
      </c>
      <c r="AU318" s="7">
        <v>400</v>
      </c>
      <c r="AV318" s="7" t="s">
        <v>148</v>
      </c>
      <c r="AW318" s="7">
        <v>550</v>
      </c>
      <c r="AX318" s="7" t="s">
        <v>149</v>
      </c>
      <c r="AY318" s="7">
        <v>400</v>
      </c>
      <c r="AZ318" s="7" t="s">
        <v>150</v>
      </c>
      <c r="BA318" s="7">
        <v>550</v>
      </c>
      <c r="BB318" s="7" t="s">
        <v>151</v>
      </c>
      <c r="BC318" s="7">
        <v>1</v>
      </c>
      <c r="BD318" s="7" t="s">
        <v>152</v>
      </c>
      <c r="BE318" s="7">
        <v>2</v>
      </c>
      <c r="BF318" s="7" t="s">
        <v>153</v>
      </c>
      <c r="BG318" s="7">
        <v>100</v>
      </c>
      <c r="BH318" s="7" t="s">
        <v>154</v>
      </c>
      <c r="BI318" s="7">
        <v>10</v>
      </c>
      <c r="BJ318" s="7" t="s">
        <v>155</v>
      </c>
      <c r="BK318" s="7">
        <v>300</v>
      </c>
      <c r="BL318" s="20"/>
      <c r="BM318" s="20"/>
      <c r="BN318" s="20">
        <v>1</v>
      </c>
      <c r="BO318" s="20">
        <v>2500</v>
      </c>
      <c r="BP318" s="20">
        <v>2</v>
      </c>
      <c r="BQ318" s="20">
        <v>2500</v>
      </c>
      <c r="BR318" s="20" t="s">
        <v>156</v>
      </c>
    </row>
    <row r="319" s="7" customFormat="1" ht="16.5" spans="1:70">
      <c r="A319" s="7">
        <f>60000000+INDEX(编号表!$B:$B,MATCH(I319,编号表!$A:$A,0))*10000+INDEX(编号表!$B:$B,MATCH(J319,编号表!$C:$C,0))*1000+K319</f>
        <v>60401000</v>
      </c>
      <c r="B319" s="7" t="s">
        <v>878</v>
      </c>
      <c r="C319" s="7" t="s">
        <v>788</v>
      </c>
      <c r="D319" s="7" t="s">
        <v>879</v>
      </c>
      <c r="E319" s="7">
        <v>59</v>
      </c>
      <c r="F319" s="7" t="str" cm="1">
        <f t="array" ref="F319">INDEX(编号表!$E:$E,MATCH(J319,编号表!$C:$C,0))</f>
        <v>白色</v>
      </c>
      <c r="G319" s="7">
        <v>44</v>
      </c>
      <c r="H319" s="7" t="s">
        <v>880</v>
      </c>
      <c r="I319" s="7" t="s">
        <v>880</v>
      </c>
      <c r="J319" s="7" t="s">
        <v>137</v>
      </c>
      <c r="K319" s="7">
        <v>0</v>
      </c>
      <c r="L319" s="7">
        <f>COUNTIFS(I$11:I319,I319,J$11:J319,J319)-1</f>
        <v>0</v>
      </c>
      <c r="O319" s="7">
        <v>10</v>
      </c>
      <c r="P319" s="7">
        <v>300000</v>
      </c>
      <c r="Q319" s="7" t="s">
        <v>138</v>
      </c>
      <c r="R319" s="21">
        <v>40140009</v>
      </c>
      <c r="S319" s="7"/>
      <c r="T319" s="7"/>
      <c r="U319" s="7">
        <v>11010001</v>
      </c>
      <c r="V319" s="7">
        <v>11020001</v>
      </c>
      <c r="X319" s="7" t="s">
        <v>139</v>
      </c>
      <c r="Y319" s="7" t="s">
        <v>789</v>
      </c>
      <c r="Z319" s="7"/>
      <c r="AA319" s="7">
        <v>80</v>
      </c>
      <c r="AB319" s="7">
        <v>80</v>
      </c>
      <c r="AC319" s="7">
        <v>20</v>
      </c>
      <c r="AD319" s="7">
        <v>30</v>
      </c>
      <c r="AE319" s="7" t="s">
        <v>141</v>
      </c>
      <c r="AF319" s="7"/>
      <c r="AG319" s="22"/>
      <c r="AI319" s="23">
        <v>660</v>
      </c>
      <c r="AJ319" s="7" t="s">
        <v>142</v>
      </c>
      <c r="AK319" s="24">
        <v>5200</v>
      </c>
      <c r="AL319" s="7" t="s">
        <v>143</v>
      </c>
      <c r="AM319" s="7">
        <v>42</v>
      </c>
      <c r="AN319" s="7" t="s">
        <v>144</v>
      </c>
      <c r="AO319" s="7">
        <v>60</v>
      </c>
      <c r="AP319" s="7" t="s">
        <v>145</v>
      </c>
      <c r="AQ319" s="7">
        <v>39</v>
      </c>
      <c r="AR319" s="7" t="s">
        <v>146</v>
      </c>
      <c r="AS319" s="7">
        <v>55</v>
      </c>
      <c r="AT319" s="7" t="s">
        <v>147</v>
      </c>
      <c r="AU319" s="7">
        <v>100</v>
      </c>
      <c r="AV319" s="7" t="s">
        <v>148</v>
      </c>
      <c r="AW319" s="7">
        <v>135</v>
      </c>
      <c r="AX319" s="7" t="s">
        <v>149</v>
      </c>
      <c r="AY319" s="7">
        <v>100</v>
      </c>
      <c r="AZ319" s="7" t="s">
        <v>150</v>
      </c>
      <c r="BA319" s="7">
        <v>135</v>
      </c>
      <c r="BB319" s="7" t="s">
        <v>151</v>
      </c>
      <c r="BC319" s="7">
        <v>1</v>
      </c>
      <c r="BD319" s="7" t="s">
        <v>152</v>
      </c>
      <c r="BE319" s="7">
        <v>2</v>
      </c>
      <c r="BF319" s="7" t="s">
        <v>153</v>
      </c>
      <c r="BG319" s="7">
        <v>100</v>
      </c>
      <c r="BH319" s="7" t="s">
        <v>154</v>
      </c>
      <c r="BI319" s="7">
        <v>10</v>
      </c>
      <c r="BJ319" s="7" t="s">
        <v>155</v>
      </c>
      <c r="BK319" s="7">
        <v>300</v>
      </c>
      <c r="BL319" s="20"/>
      <c r="BM319" s="20"/>
      <c r="BN319" s="20">
        <v>1</v>
      </c>
      <c r="BO319" s="20">
        <v>2500</v>
      </c>
      <c r="BP319" s="20">
        <v>2</v>
      </c>
      <c r="BQ319" s="20">
        <v>2500</v>
      </c>
      <c r="BR319" s="20" t="s">
        <v>156</v>
      </c>
    </row>
    <row r="320" s="7" customFormat="1" ht="16.5" spans="1:70">
      <c r="A320" s="7">
        <f>60000000+INDEX(编号表!$B:$B,MATCH(I320,编号表!$A:$A,0))*10000+INDEX(编号表!$B:$B,MATCH(J320,编号表!$C:$C,0))*1000+K320</f>
        <v>60401001</v>
      </c>
      <c r="B320" s="7" t="s">
        <v>881</v>
      </c>
      <c r="C320" s="7" t="s">
        <v>804</v>
      </c>
      <c r="D320" s="7" t="s">
        <v>882</v>
      </c>
      <c r="E320" s="7">
        <v>59</v>
      </c>
      <c r="F320" s="7" t="str" cm="1">
        <f t="array" ref="F320">INDEX(编号表!$E:$E,MATCH(J320,编号表!$C:$C,0))</f>
        <v>白色</v>
      </c>
      <c r="G320" s="7">
        <v>44</v>
      </c>
      <c r="H320" s="7" t="s">
        <v>880</v>
      </c>
      <c r="I320" s="7" t="s">
        <v>880</v>
      </c>
      <c r="J320" s="7" t="s">
        <v>137</v>
      </c>
      <c r="K320" s="7">
        <v>1</v>
      </c>
      <c r="L320" s="7">
        <f>COUNTIFS(I$11:I320,I320,J$11:J320,J320)-1</f>
        <v>1</v>
      </c>
      <c r="O320" s="7">
        <v>10</v>
      </c>
      <c r="P320" s="7">
        <v>300000</v>
      </c>
      <c r="Q320" s="7" t="s">
        <v>138</v>
      </c>
      <c r="R320" s="21">
        <v>40140009</v>
      </c>
      <c r="S320" s="7"/>
      <c r="T320" s="7"/>
      <c r="U320" s="7">
        <v>11010001</v>
      </c>
      <c r="V320" s="7">
        <v>11020001</v>
      </c>
      <c r="X320" s="7" t="s">
        <v>139</v>
      </c>
      <c r="Y320" s="7" t="s">
        <v>805</v>
      </c>
      <c r="Z320" s="7"/>
      <c r="AA320" s="7">
        <v>80</v>
      </c>
      <c r="AB320" s="7">
        <v>80</v>
      </c>
      <c r="AC320" s="7">
        <v>20</v>
      </c>
      <c r="AD320" s="7">
        <v>30</v>
      </c>
      <c r="AE320" s="7" t="s">
        <v>141</v>
      </c>
      <c r="AF320" s="7"/>
      <c r="AG320" s="22"/>
      <c r="AI320" s="23">
        <v>660</v>
      </c>
      <c r="AJ320" s="7" t="s">
        <v>142</v>
      </c>
      <c r="AK320" s="24">
        <v>5200</v>
      </c>
      <c r="AL320" s="7" t="s">
        <v>143</v>
      </c>
      <c r="AM320" s="7">
        <v>42</v>
      </c>
      <c r="AN320" s="7" t="s">
        <v>144</v>
      </c>
      <c r="AO320" s="7">
        <v>60</v>
      </c>
      <c r="AP320" s="7" t="s">
        <v>145</v>
      </c>
      <c r="AQ320" s="7">
        <v>39</v>
      </c>
      <c r="AR320" s="7" t="s">
        <v>146</v>
      </c>
      <c r="AS320" s="7">
        <v>55</v>
      </c>
      <c r="AT320" s="7" t="s">
        <v>147</v>
      </c>
      <c r="AU320" s="7">
        <v>100</v>
      </c>
      <c r="AV320" s="7" t="s">
        <v>148</v>
      </c>
      <c r="AW320" s="7">
        <v>135</v>
      </c>
      <c r="AX320" s="7" t="s">
        <v>149</v>
      </c>
      <c r="AY320" s="7">
        <v>100</v>
      </c>
      <c r="AZ320" s="7" t="s">
        <v>150</v>
      </c>
      <c r="BA320" s="7">
        <v>135</v>
      </c>
      <c r="BB320" s="7" t="s">
        <v>151</v>
      </c>
      <c r="BC320" s="7">
        <v>1</v>
      </c>
      <c r="BD320" s="7" t="s">
        <v>152</v>
      </c>
      <c r="BE320" s="7">
        <v>2</v>
      </c>
      <c r="BF320" s="7" t="s">
        <v>153</v>
      </c>
      <c r="BG320" s="7">
        <v>100</v>
      </c>
      <c r="BH320" s="7" t="s">
        <v>154</v>
      </c>
      <c r="BI320" s="7">
        <v>10</v>
      </c>
      <c r="BJ320" s="7" t="s">
        <v>155</v>
      </c>
      <c r="BK320" s="7">
        <v>300</v>
      </c>
      <c r="BL320" s="20"/>
      <c r="BM320" s="20"/>
      <c r="BN320" s="20">
        <v>1</v>
      </c>
      <c r="BO320" s="20">
        <v>2500</v>
      </c>
      <c r="BP320" s="20">
        <v>2</v>
      </c>
      <c r="BQ320" s="20">
        <v>2500</v>
      </c>
      <c r="BR320" s="20" t="s">
        <v>156</v>
      </c>
    </row>
    <row r="321" s="7" customFormat="1" ht="16.5" spans="1:70">
      <c r="A321" s="7">
        <f>60000000+INDEX(编号表!$B:$B,MATCH(I321,编号表!$A:$A,0))*10000+INDEX(编号表!$B:$B,MATCH(J321,编号表!$C:$C,0))*1000+K321</f>
        <v>60401002</v>
      </c>
      <c r="B321" s="7" t="s">
        <v>883</v>
      </c>
      <c r="C321" s="7" t="s">
        <v>850</v>
      </c>
      <c r="D321" s="7" t="s">
        <v>884</v>
      </c>
      <c r="E321" s="7">
        <v>59</v>
      </c>
      <c r="F321" s="7" t="str" cm="1">
        <f t="array" ref="F321">INDEX(编号表!$E:$E,MATCH(J321,编号表!$C:$C,0))</f>
        <v>白色</v>
      </c>
      <c r="G321" s="7">
        <v>44</v>
      </c>
      <c r="H321" s="7" t="s">
        <v>880</v>
      </c>
      <c r="I321" s="7" t="s">
        <v>880</v>
      </c>
      <c r="J321" s="7" t="s">
        <v>137</v>
      </c>
      <c r="K321" s="7">
        <v>2</v>
      </c>
      <c r="L321" s="7">
        <f>COUNTIFS(I$11:I321,I321,J$11:J321,J321)-1</f>
        <v>2</v>
      </c>
      <c r="O321" s="7">
        <v>10</v>
      </c>
      <c r="P321" s="7">
        <v>300000</v>
      </c>
      <c r="Q321" s="7" t="s">
        <v>138</v>
      </c>
      <c r="R321" s="21">
        <v>40140009</v>
      </c>
      <c r="S321" s="7"/>
      <c r="T321" s="7"/>
      <c r="U321" s="7">
        <v>11010001</v>
      </c>
      <c r="V321" s="7">
        <v>11020001</v>
      </c>
      <c r="X321" s="7" t="s">
        <v>139</v>
      </c>
      <c r="Y321" s="7" t="s">
        <v>851</v>
      </c>
      <c r="Z321" s="7"/>
      <c r="AA321" s="7">
        <v>80</v>
      </c>
      <c r="AB321" s="7">
        <v>80</v>
      </c>
      <c r="AC321" s="7">
        <v>20</v>
      </c>
      <c r="AD321" s="7">
        <v>30</v>
      </c>
      <c r="AE321" s="7" t="s">
        <v>141</v>
      </c>
      <c r="AF321" s="7"/>
      <c r="AG321" s="22"/>
      <c r="AI321" s="23">
        <v>660</v>
      </c>
      <c r="AJ321" s="7" t="s">
        <v>142</v>
      </c>
      <c r="AK321" s="24">
        <v>6000</v>
      </c>
      <c r="AL321" s="7" t="s">
        <v>143</v>
      </c>
      <c r="AM321" s="7">
        <v>48</v>
      </c>
      <c r="AN321" s="7" t="s">
        <v>144</v>
      </c>
      <c r="AO321" s="7">
        <v>70</v>
      </c>
      <c r="AP321" s="7" t="s">
        <v>145</v>
      </c>
      <c r="AQ321" s="7">
        <v>45</v>
      </c>
      <c r="AR321" s="7" t="s">
        <v>146</v>
      </c>
      <c r="AS321" s="7">
        <v>65</v>
      </c>
      <c r="AT321" s="7" t="s">
        <v>147</v>
      </c>
      <c r="AU321" s="7">
        <v>100</v>
      </c>
      <c r="AV321" s="7" t="s">
        <v>148</v>
      </c>
      <c r="AW321" s="7">
        <v>135</v>
      </c>
      <c r="AX321" s="7" t="s">
        <v>149</v>
      </c>
      <c r="AY321" s="7">
        <v>100</v>
      </c>
      <c r="AZ321" s="7" t="s">
        <v>150</v>
      </c>
      <c r="BA321" s="7">
        <v>135</v>
      </c>
      <c r="BB321" s="7" t="s">
        <v>151</v>
      </c>
      <c r="BC321" s="7">
        <v>1</v>
      </c>
      <c r="BD321" s="7" t="s">
        <v>152</v>
      </c>
      <c r="BE321" s="7">
        <v>2</v>
      </c>
      <c r="BF321" s="7" t="s">
        <v>153</v>
      </c>
      <c r="BG321" s="7">
        <v>100</v>
      </c>
      <c r="BH321" s="7" t="s">
        <v>154</v>
      </c>
      <c r="BI321" s="7">
        <v>10</v>
      </c>
      <c r="BJ321" s="7" t="s">
        <v>155</v>
      </c>
      <c r="BK321" s="7">
        <v>300</v>
      </c>
      <c r="BL321" s="20"/>
      <c r="BM321" s="20"/>
      <c r="BN321" s="20">
        <v>1</v>
      </c>
      <c r="BO321" s="20">
        <v>2500</v>
      </c>
      <c r="BP321" s="20">
        <v>2</v>
      </c>
      <c r="BQ321" s="20">
        <v>2500</v>
      </c>
      <c r="BR321" s="20" t="s">
        <v>156</v>
      </c>
    </row>
    <row r="322" s="7" customFormat="1" ht="16.5" spans="1:70">
      <c r="A322" s="7">
        <f>60000000+INDEX(编号表!$B:$B,MATCH(I322,编号表!$A:$A,0))*10000+INDEX(编号表!$B:$B,MATCH(J322,编号表!$C:$C,0))*1000+K322</f>
        <v>60401003</v>
      </c>
      <c r="B322" s="7" t="s">
        <v>885</v>
      </c>
      <c r="C322" s="7" t="s">
        <v>847</v>
      </c>
      <c r="D322" s="7" t="s">
        <v>886</v>
      </c>
      <c r="E322" s="7">
        <v>59</v>
      </c>
      <c r="F322" s="7" t="str" cm="1">
        <f t="array" ref="F322">INDEX(编号表!$E:$E,MATCH(J322,编号表!$C:$C,0))</f>
        <v>白色</v>
      </c>
      <c r="G322" s="7">
        <v>44</v>
      </c>
      <c r="H322" s="7" t="s">
        <v>880</v>
      </c>
      <c r="I322" s="7" t="s">
        <v>880</v>
      </c>
      <c r="J322" s="7" t="s">
        <v>137</v>
      </c>
      <c r="K322" s="7">
        <v>3</v>
      </c>
      <c r="L322" s="7">
        <f>COUNTIFS(I$11:I322,I322,J$11:J322,J322)-1</f>
        <v>3</v>
      </c>
      <c r="O322" s="7">
        <v>10</v>
      </c>
      <c r="P322" s="7">
        <v>300000</v>
      </c>
      <c r="Q322" s="7" t="s">
        <v>138</v>
      </c>
      <c r="R322" s="21">
        <v>40140009</v>
      </c>
      <c r="S322" s="7"/>
      <c r="T322" s="7"/>
      <c r="U322" s="7">
        <v>11010001</v>
      </c>
      <c r="V322" s="7">
        <v>11020001</v>
      </c>
      <c r="X322" s="7" t="s">
        <v>139</v>
      </c>
      <c r="Y322" s="7" t="s">
        <v>848</v>
      </c>
      <c r="Z322" s="7"/>
      <c r="AA322" s="7">
        <v>80</v>
      </c>
      <c r="AB322" s="7">
        <v>80</v>
      </c>
      <c r="AC322" s="7">
        <v>20</v>
      </c>
      <c r="AD322" s="7">
        <v>30</v>
      </c>
      <c r="AE322" s="7" t="s">
        <v>141</v>
      </c>
      <c r="AF322" s="7"/>
      <c r="AG322" s="22"/>
      <c r="AI322" s="23">
        <v>660</v>
      </c>
      <c r="AJ322" s="7" t="s">
        <v>142</v>
      </c>
      <c r="AK322" s="24">
        <v>6000</v>
      </c>
      <c r="AL322" s="7" t="s">
        <v>143</v>
      </c>
      <c r="AM322" s="7">
        <v>48</v>
      </c>
      <c r="AN322" s="7" t="s">
        <v>144</v>
      </c>
      <c r="AO322" s="7">
        <v>70</v>
      </c>
      <c r="AP322" s="7" t="s">
        <v>145</v>
      </c>
      <c r="AQ322" s="7">
        <v>45</v>
      </c>
      <c r="AR322" s="7" t="s">
        <v>146</v>
      </c>
      <c r="AS322" s="7">
        <v>65</v>
      </c>
      <c r="AT322" s="7" t="s">
        <v>147</v>
      </c>
      <c r="AU322" s="7">
        <v>100</v>
      </c>
      <c r="AV322" s="7" t="s">
        <v>148</v>
      </c>
      <c r="AW322" s="7">
        <v>135</v>
      </c>
      <c r="AX322" s="7" t="s">
        <v>149</v>
      </c>
      <c r="AY322" s="7">
        <v>100</v>
      </c>
      <c r="AZ322" s="7" t="s">
        <v>150</v>
      </c>
      <c r="BA322" s="7">
        <v>135</v>
      </c>
      <c r="BB322" s="7" t="s">
        <v>151</v>
      </c>
      <c r="BC322" s="7">
        <v>1</v>
      </c>
      <c r="BD322" s="7" t="s">
        <v>152</v>
      </c>
      <c r="BE322" s="7">
        <v>2</v>
      </c>
      <c r="BF322" s="7" t="s">
        <v>153</v>
      </c>
      <c r="BG322" s="7">
        <v>100</v>
      </c>
      <c r="BH322" s="7" t="s">
        <v>154</v>
      </c>
      <c r="BI322" s="7">
        <v>10</v>
      </c>
      <c r="BJ322" s="7" t="s">
        <v>155</v>
      </c>
      <c r="BK322" s="7">
        <v>300</v>
      </c>
      <c r="BL322" s="20"/>
      <c r="BM322" s="20"/>
      <c r="BN322" s="20">
        <v>1</v>
      </c>
      <c r="BO322" s="20">
        <v>2500</v>
      </c>
      <c r="BP322" s="20">
        <v>2</v>
      </c>
      <c r="BQ322" s="20">
        <v>2500</v>
      </c>
      <c r="BR322" s="20" t="s">
        <v>156</v>
      </c>
    </row>
    <row r="323" s="7" customFormat="1" ht="16.5" spans="1:70">
      <c r="A323" s="7">
        <f>60000000+INDEX(编号表!$B:$B,MATCH(I323,编号表!$A:$A,0))*10000+INDEX(编号表!$B:$B,MATCH(J323,编号表!$C:$C,0))*1000+K323</f>
        <v>60401004</v>
      </c>
      <c r="B323" s="7" t="s">
        <v>887</v>
      </c>
      <c r="C323" s="7" t="s">
        <v>853</v>
      </c>
      <c r="D323" s="7" t="s">
        <v>888</v>
      </c>
      <c r="E323" s="7">
        <v>59</v>
      </c>
      <c r="F323" s="7" t="str" cm="1">
        <f t="array" ref="F323">INDEX(编号表!$E:$E,MATCH(J323,编号表!$C:$C,0))</f>
        <v>白色</v>
      </c>
      <c r="G323" s="7">
        <v>44</v>
      </c>
      <c r="H323" s="7" t="s">
        <v>880</v>
      </c>
      <c r="I323" s="7" t="s">
        <v>880</v>
      </c>
      <c r="J323" s="7" t="s">
        <v>137</v>
      </c>
      <c r="K323" s="7">
        <v>4</v>
      </c>
      <c r="L323" s="7">
        <f>COUNTIFS(I$11:I323,I323,J$11:J323,J323)-1</f>
        <v>4</v>
      </c>
      <c r="O323" s="7">
        <v>10</v>
      </c>
      <c r="P323" s="7">
        <v>300000</v>
      </c>
      <c r="Q323" s="7" t="s">
        <v>138</v>
      </c>
      <c r="R323" s="21">
        <v>40140009</v>
      </c>
      <c r="S323" s="7"/>
      <c r="T323" s="7"/>
      <c r="U323" s="7">
        <v>11010001</v>
      </c>
      <c r="V323" s="7">
        <v>11020001</v>
      </c>
      <c r="X323" s="7" t="s">
        <v>139</v>
      </c>
      <c r="Y323" s="7" t="s">
        <v>854</v>
      </c>
      <c r="Z323" s="7"/>
      <c r="AA323" s="7">
        <v>80</v>
      </c>
      <c r="AB323" s="7">
        <v>80</v>
      </c>
      <c r="AC323" s="7">
        <v>20</v>
      </c>
      <c r="AD323" s="7">
        <v>30</v>
      </c>
      <c r="AE323" s="7" t="s">
        <v>141</v>
      </c>
      <c r="AF323" s="7"/>
      <c r="AG323" s="22"/>
      <c r="AI323" s="23">
        <v>660</v>
      </c>
      <c r="AJ323" s="7" t="s">
        <v>142</v>
      </c>
      <c r="AK323" s="24">
        <v>5200</v>
      </c>
      <c r="AL323" s="7" t="s">
        <v>143</v>
      </c>
      <c r="AM323" s="7">
        <v>42</v>
      </c>
      <c r="AN323" s="7" t="s">
        <v>144</v>
      </c>
      <c r="AO323" s="7">
        <v>60</v>
      </c>
      <c r="AP323" s="7" t="s">
        <v>145</v>
      </c>
      <c r="AQ323" s="7">
        <v>39</v>
      </c>
      <c r="AR323" s="7" t="s">
        <v>146</v>
      </c>
      <c r="AS323" s="7">
        <v>55</v>
      </c>
      <c r="AT323" s="7" t="s">
        <v>147</v>
      </c>
      <c r="AU323" s="7">
        <v>95</v>
      </c>
      <c r="AV323" s="7" t="s">
        <v>148</v>
      </c>
      <c r="AW323" s="7">
        <v>125</v>
      </c>
      <c r="AX323" s="7" t="s">
        <v>149</v>
      </c>
      <c r="AY323" s="7">
        <v>95</v>
      </c>
      <c r="AZ323" s="7" t="s">
        <v>150</v>
      </c>
      <c r="BA323" s="7">
        <v>125</v>
      </c>
      <c r="BB323" s="7" t="s">
        <v>151</v>
      </c>
      <c r="BC323" s="7">
        <v>1</v>
      </c>
      <c r="BD323" s="7" t="s">
        <v>152</v>
      </c>
      <c r="BE323" s="7">
        <v>2</v>
      </c>
      <c r="BF323" s="7" t="s">
        <v>153</v>
      </c>
      <c r="BG323" s="7">
        <v>100</v>
      </c>
      <c r="BH323" s="7" t="s">
        <v>154</v>
      </c>
      <c r="BI323" s="7">
        <v>10</v>
      </c>
      <c r="BJ323" s="7" t="s">
        <v>155</v>
      </c>
      <c r="BK323" s="7">
        <v>300</v>
      </c>
      <c r="BL323" s="20"/>
      <c r="BM323" s="20"/>
      <c r="BN323" s="20">
        <v>1</v>
      </c>
      <c r="BO323" s="20">
        <v>2500</v>
      </c>
      <c r="BP323" s="20">
        <v>2</v>
      </c>
      <c r="BQ323" s="20">
        <v>2500</v>
      </c>
      <c r="BR323" s="20" t="s">
        <v>156</v>
      </c>
    </row>
    <row r="324" s="7" customFormat="1" ht="16.5" spans="1:70">
      <c r="A324" s="7">
        <f>60000000+INDEX(编号表!$B:$B,MATCH(I324,编号表!$A:$A,0))*10000+INDEX(编号表!$B:$B,MATCH(J324,编号表!$C:$C,0))*1000+K324</f>
        <v>60402000</v>
      </c>
      <c r="B324" s="7" t="s">
        <v>889</v>
      </c>
      <c r="C324" s="7" t="s">
        <v>847</v>
      </c>
      <c r="D324" s="7" t="s">
        <v>890</v>
      </c>
      <c r="E324" s="7">
        <v>60</v>
      </c>
      <c r="F324" s="7" t="str" cm="1">
        <f t="array" ref="F324">INDEX(编号表!$E:$E,MATCH(J324,编号表!$C:$C,0))</f>
        <v>绿色</v>
      </c>
      <c r="G324" s="7">
        <v>44</v>
      </c>
      <c r="H324" s="7" t="s">
        <v>880</v>
      </c>
      <c r="I324" s="7" t="s">
        <v>880</v>
      </c>
      <c r="J324" s="7" t="s">
        <v>221</v>
      </c>
      <c r="K324" s="7">
        <v>0</v>
      </c>
      <c r="L324" s="7">
        <f>COUNTIFS(I$11:I324,I324,J$11:J324,J324)-1</f>
        <v>0</v>
      </c>
      <c r="O324" s="7">
        <v>10</v>
      </c>
      <c r="P324" s="7">
        <v>300000</v>
      </c>
      <c r="Q324" s="7" t="s">
        <v>138</v>
      </c>
      <c r="R324" s="21">
        <v>40140009</v>
      </c>
      <c r="S324" s="7"/>
      <c r="T324" s="7"/>
      <c r="U324" s="7">
        <v>11010001</v>
      </c>
      <c r="V324" s="7">
        <v>11020001</v>
      </c>
      <c r="X324" s="7" t="s">
        <v>139</v>
      </c>
      <c r="Y324" s="7" t="s">
        <v>848</v>
      </c>
      <c r="Z324" s="7"/>
      <c r="AA324" s="7">
        <v>80</v>
      </c>
      <c r="AB324" s="7">
        <v>80</v>
      </c>
      <c r="AC324" s="7">
        <v>20</v>
      </c>
      <c r="AD324" s="7">
        <v>30</v>
      </c>
      <c r="AE324" s="7" t="s">
        <v>141</v>
      </c>
      <c r="AF324" s="7"/>
      <c r="AG324" s="22" t="s">
        <v>234</v>
      </c>
      <c r="AI324" s="23">
        <v>660</v>
      </c>
      <c r="AJ324" s="7" t="s">
        <v>142</v>
      </c>
      <c r="AK324" s="24">
        <v>39000</v>
      </c>
      <c r="AL324" s="7" t="s">
        <v>143</v>
      </c>
      <c r="AM324" s="7">
        <v>80</v>
      </c>
      <c r="AN324" s="7" t="s">
        <v>144</v>
      </c>
      <c r="AO324" s="7">
        <v>115</v>
      </c>
      <c r="AP324" s="7" t="s">
        <v>145</v>
      </c>
      <c r="AQ324" s="7">
        <v>75</v>
      </c>
      <c r="AR324" s="7" t="s">
        <v>146</v>
      </c>
      <c r="AS324" s="7">
        <v>110</v>
      </c>
      <c r="AT324" s="7" t="s">
        <v>147</v>
      </c>
      <c r="AU324" s="7">
        <v>230</v>
      </c>
      <c r="AV324" s="7" t="s">
        <v>148</v>
      </c>
      <c r="AW324" s="7">
        <v>300</v>
      </c>
      <c r="AX324" s="7" t="s">
        <v>149</v>
      </c>
      <c r="AY324" s="7">
        <v>230</v>
      </c>
      <c r="AZ324" s="7" t="s">
        <v>150</v>
      </c>
      <c r="BA324" s="7">
        <v>300</v>
      </c>
      <c r="BB324" s="7" t="s">
        <v>151</v>
      </c>
      <c r="BC324" s="7">
        <v>1</v>
      </c>
      <c r="BD324" s="7" t="s">
        <v>152</v>
      </c>
      <c r="BE324" s="7">
        <v>2</v>
      </c>
      <c r="BF324" s="7" t="s">
        <v>153</v>
      </c>
      <c r="BG324" s="7">
        <v>100</v>
      </c>
      <c r="BH324" s="7" t="s">
        <v>154</v>
      </c>
      <c r="BI324" s="7">
        <v>10</v>
      </c>
      <c r="BJ324" s="7" t="s">
        <v>155</v>
      </c>
      <c r="BK324" s="7">
        <v>300</v>
      </c>
      <c r="BL324" s="20"/>
      <c r="BM324" s="20"/>
      <c r="BN324" s="20">
        <v>1</v>
      </c>
      <c r="BO324" s="20">
        <v>2500</v>
      </c>
      <c r="BP324" s="20">
        <v>2</v>
      </c>
      <c r="BQ324" s="20">
        <v>2500</v>
      </c>
      <c r="BR324" s="20" t="s">
        <v>156</v>
      </c>
    </row>
    <row r="325" s="7" customFormat="1" ht="16.5" spans="1:70">
      <c r="A325" s="7">
        <f>60000000+INDEX(编号表!$B:$B,MATCH(I325,编号表!$A:$A,0))*10000+INDEX(编号表!$B:$B,MATCH(J325,编号表!$C:$C,0))*1000+K325</f>
        <v>60404000</v>
      </c>
      <c r="B325" s="7" t="s">
        <v>891</v>
      </c>
      <c r="C325" s="7" t="s">
        <v>874</v>
      </c>
      <c r="D325" s="7" t="s">
        <v>892</v>
      </c>
      <c r="E325" s="7">
        <v>60</v>
      </c>
      <c r="F325" s="7" t="str" cm="1">
        <f t="array" ref="F325">INDEX(编号表!$E:$E,MATCH(J325,编号表!$C:$C,0))</f>
        <v>橙色</v>
      </c>
      <c r="G325" s="7">
        <v>44</v>
      </c>
      <c r="H325" s="7" t="s">
        <v>880</v>
      </c>
      <c r="I325" s="7" t="s">
        <v>880</v>
      </c>
      <c r="J325" s="7" t="s">
        <v>233</v>
      </c>
      <c r="K325" s="7">
        <v>0</v>
      </c>
      <c r="L325" s="7">
        <f>COUNTIFS(I$11:I325,I325,J$11:J325,J325)-1</f>
        <v>0</v>
      </c>
      <c r="O325" s="7">
        <v>10</v>
      </c>
      <c r="P325" s="7">
        <v>300000</v>
      </c>
      <c r="Q325" s="7" t="s">
        <v>138</v>
      </c>
      <c r="R325" s="21">
        <v>40140009</v>
      </c>
      <c r="S325" s="7"/>
      <c r="T325" s="7"/>
      <c r="U325" s="7">
        <v>11010001</v>
      </c>
      <c r="V325" s="7">
        <v>11020001</v>
      </c>
      <c r="X325" s="7" t="s">
        <v>139</v>
      </c>
      <c r="Y325" s="7" t="s">
        <v>875</v>
      </c>
      <c r="Z325" s="7">
        <v>1.5</v>
      </c>
      <c r="AA325" s="7">
        <v>100</v>
      </c>
      <c r="AB325" s="7">
        <v>100</v>
      </c>
      <c r="AC325" s="7">
        <v>20</v>
      </c>
      <c r="AD325" s="7">
        <v>30</v>
      </c>
      <c r="AE325" s="7" t="s">
        <v>141</v>
      </c>
      <c r="AF325" s="7"/>
      <c r="AG325" s="22" t="s">
        <v>234</v>
      </c>
      <c r="AI325" s="23">
        <v>3660</v>
      </c>
      <c r="AJ325" s="7" t="s">
        <v>142</v>
      </c>
      <c r="AK325" s="24">
        <v>372000</v>
      </c>
      <c r="AL325" s="7" t="s">
        <v>143</v>
      </c>
      <c r="AM325" s="7">
        <v>130</v>
      </c>
      <c r="AN325" s="7" t="s">
        <v>144</v>
      </c>
      <c r="AO325" s="7">
        <v>185</v>
      </c>
      <c r="AP325" s="7" t="s">
        <v>145</v>
      </c>
      <c r="AQ325" s="7">
        <v>120</v>
      </c>
      <c r="AR325" s="7" t="s">
        <v>146</v>
      </c>
      <c r="AS325" s="7">
        <v>180</v>
      </c>
      <c r="AT325" s="7" t="s">
        <v>147</v>
      </c>
      <c r="AU325" s="7">
        <v>420</v>
      </c>
      <c r="AV325" s="7" t="s">
        <v>148</v>
      </c>
      <c r="AW325" s="7">
        <v>570</v>
      </c>
      <c r="AX325" s="7" t="s">
        <v>149</v>
      </c>
      <c r="AY325" s="7">
        <v>420</v>
      </c>
      <c r="AZ325" s="7" t="s">
        <v>150</v>
      </c>
      <c r="BA325" s="7">
        <v>570</v>
      </c>
      <c r="BB325" s="7" t="s">
        <v>151</v>
      </c>
      <c r="BC325" s="7">
        <v>1</v>
      </c>
      <c r="BD325" s="7" t="s">
        <v>152</v>
      </c>
      <c r="BE325" s="7">
        <v>2</v>
      </c>
      <c r="BF325" s="7" t="s">
        <v>153</v>
      </c>
      <c r="BG325" s="7">
        <v>100</v>
      </c>
      <c r="BH325" s="7" t="s">
        <v>154</v>
      </c>
      <c r="BI325" s="7">
        <v>10</v>
      </c>
      <c r="BJ325" s="7" t="s">
        <v>155</v>
      </c>
      <c r="BK325" s="7">
        <v>300</v>
      </c>
      <c r="BL325" s="20"/>
      <c r="BM325" s="20"/>
      <c r="BN325" s="20">
        <v>1</v>
      </c>
      <c r="BO325" s="20">
        <v>2500</v>
      </c>
      <c r="BP325" s="20">
        <v>2</v>
      </c>
      <c r="BQ325" s="20">
        <v>2500</v>
      </c>
      <c r="BR325" s="20" t="s">
        <v>156</v>
      </c>
    </row>
    <row r="326" s="7" customFormat="1" ht="16.5" spans="1:70">
      <c r="A326" s="7">
        <f>60000000+INDEX(编号表!$B:$B,MATCH(I326,编号表!$A:$A,0))*10000+INDEX(编号表!$B:$B,MATCH(J326,编号表!$C:$C,0))*1000+K326</f>
        <v>60404001</v>
      </c>
      <c r="B326" s="7" t="s">
        <v>893</v>
      </c>
      <c r="C326" s="7" t="s">
        <v>877</v>
      </c>
      <c r="D326" s="7" t="s">
        <v>894</v>
      </c>
      <c r="E326" s="7">
        <v>60</v>
      </c>
      <c r="F326" s="7" t="str" cm="1">
        <f t="array" ref="F326">INDEX(编号表!$E:$E,MATCH(J326,编号表!$C:$C,0))</f>
        <v>橙色</v>
      </c>
      <c r="G326" s="7">
        <v>44</v>
      </c>
      <c r="H326" s="7" t="s">
        <v>880</v>
      </c>
      <c r="I326" s="7" t="s">
        <v>880</v>
      </c>
      <c r="J326" s="7" t="s">
        <v>233</v>
      </c>
      <c r="K326" s="7">
        <v>1</v>
      </c>
      <c r="L326" s="7">
        <f>COUNTIFS(I$11:I326,I326,J$11:J326,J326)-1</f>
        <v>1</v>
      </c>
      <c r="O326" s="7">
        <v>10</v>
      </c>
      <c r="P326" s="7">
        <v>300000</v>
      </c>
      <c r="Q326" s="7" t="s">
        <v>138</v>
      </c>
      <c r="R326" s="21">
        <v>40140009</v>
      </c>
      <c r="S326" s="7"/>
      <c r="T326" s="7"/>
      <c r="U326" s="7">
        <v>11010001</v>
      </c>
      <c r="V326" s="7">
        <v>11020001</v>
      </c>
      <c r="X326" s="7" t="s">
        <v>139</v>
      </c>
      <c r="Y326" s="7" t="s">
        <v>851</v>
      </c>
      <c r="Z326" s="7">
        <v>1.5</v>
      </c>
      <c r="AA326" s="7">
        <v>100</v>
      </c>
      <c r="AB326" s="7">
        <v>100</v>
      </c>
      <c r="AC326" s="7">
        <v>20</v>
      </c>
      <c r="AD326" s="7">
        <v>30</v>
      </c>
      <c r="AE326" s="7" t="s">
        <v>141</v>
      </c>
      <c r="AF326" s="7"/>
      <c r="AG326" s="22" t="s">
        <v>234</v>
      </c>
      <c r="AI326" s="23">
        <v>3660</v>
      </c>
      <c r="AJ326" s="7" t="s">
        <v>142</v>
      </c>
      <c r="AK326" s="24">
        <v>372000</v>
      </c>
      <c r="AL326" s="7" t="s">
        <v>143</v>
      </c>
      <c r="AM326" s="7">
        <v>130</v>
      </c>
      <c r="AN326" s="7" t="s">
        <v>144</v>
      </c>
      <c r="AO326" s="7">
        <v>185</v>
      </c>
      <c r="AP326" s="7" t="s">
        <v>145</v>
      </c>
      <c r="AQ326" s="7">
        <v>120</v>
      </c>
      <c r="AR326" s="7" t="s">
        <v>146</v>
      </c>
      <c r="AS326" s="7">
        <v>180</v>
      </c>
      <c r="AT326" s="7" t="s">
        <v>147</v>
      </c>
      <c r="AU326" s="7">
        <v>420</v>
      </c>
      <c r="AV326" s="7" t="s">
        <v>148</v>
      </c>
      <c r="AW326" s="7">
        <v>570</v>
      </c>
      <c r="AX326" s="7" t="s">
        <v>149</v>
      </c>
      <c r="AY326" s="7">
        <v>420</v>
      </c>
      <c r="AZ326" s="7" t="s">
        <v>150</v>
      </c>
      <c r="BA326" s="7">
        <v>570</v>
      </c>
      <c r="BB326" s="7" t="s">
        <v>151</v>
      </c>
      <c r="BC326" s="7">
        <v>1</v>
      </c>
      <c r="BD326" s="7" t="s">
        <v>152</v>
      </c>
      <c r="BE326" s="7">
        <v>2</v>
      </c>
      <c r="BF326" s="7" t="s">
        <v>153</v>
      </c>
      <c r="BG326" s="7">
        <v>100</v>
      </c>
      <c r="BH326" s="7" t="s">
        <v>154</v>
      </c>
      <c r="BI326" s="7">
        <v>10</v>
      </c>
      <c r="BJ326" s="7" t="s">
        <v>155</v>
      </c>
      <c r="BK326" s="7">
        <v>300</v>
      </c>
      <c r="BL326" s="20"/>
      <c r="BM326" s="20"/>
      <c r="BN326" s="20">
        <v>1</v>
      </c>
      <c r="BO326" s="20">
        <v>2500</v>
      </c>
      <c r="BP326" s="20">
        <v>2</v>
      </c>
      <c r="BQ326" s="20">
        <v>2500</v>
      </c>
      <c r="BR326" s="20" t="s">
        <v>156</v>
      </c>
    </row>
    <row r="327" s="7" customFormat="1" ht="16.5" spans="1:70">
      <c r="A327" s="7">
        <f>60000000+INDEX(编号表!$B:$B,MATCH(I327,编号表!$A:$A,0))*10000+INDEX(编号表!$B:$B,MATCH(J327,编号表!$C:$C,0))*1000+K327</f>
        <v>60404002</v>
      </c>
      <c r="B327" s="7" t="s">
        <v>895</v>
      </c>
      <c r="C327" s="7" t="s">
        <v>896</v>
      </c>
      <c r="D327" s="7" t="s">
        <v>896</v>
      </c>
      <c r="E327" s="7">
        <v>60</v>
      </c>
      <c r="F327" s="7" t="str" cm="1">
        <f t="array" ref="F327">INDEX(编号表!$E:$E,MATCH(J327,编号表!$C:$C,0))</f>
        <v>橙色</v>
      </c>
      <c r="G327" s="7">
        <v>44</v>
      </c>
      <c r="H327" s="7" t="s">
        <v>880</v>
      </c>
      <c r="I327" s="7" t="s">
        <v>880</v>
      </c>
      <c r="J327" s="7" t="s">
        <v>233</v>
      </c>
      <c r="K327" s="7">
        <v>2</v>
      </c>
      <c r="L327" s="7">
        <f>COUNTIFS(I$11:I327,I327,J$11:J327,J327)-1</f>
        <v>2</v>
      </c>
      <c r="O327" s="7">
        <v>10</v>
      </c>
      <c r="P327" s="7">
        <v>300000</v>
      </c>
      <c r="Q327" s="7" t="s">
        <v>138</v>
      </c>
      <c r="R327" s="21">
        <v>40140009</v>
      </c>
      <c r="S327" s="7"/>
      <c r="T327" s="7"/>
      <c r="U327" s="7">
        <v>11010001</v>
      </c>
      <c r="V327" s="7">
        <v>11020001</v>
      </c>
      <c r="X327" s="7" t="s">
        <v>139</v>
      </c>
      <c r="Y327" s="7" t="s">
        <v>897</v>
      </c>
      <c r="Z327" s="7">
        <v>1.5</v>
      </c>
      <c r="AA327" s="7">
        <v>80</v>
      </c>
      <c r="AB327" s="7">
        <v>80</v>
      </c>
      <c r="AC327" s="7">
        <v>20</v>
      </c>
      <c r="AD327" s="7">
        <v>30</v>
      </c>
      <c r="AE327" s="7" t="s">
        <v>141</v>
      </c>
      <c r="AF327" s="7"/>
      <c r="AG327" s="22" t="s">
        <v>234</v>
      </c>
      <c r="AI327" s="23">
        <v>3660</v>
      </c>
      <c r="AJ327" s="7" t="s">
        <v>142</v>
      </c>
      <c r="AK327" s="24">
        <v>404000</v>
      </c>
      <c r="AL327" s="7" t="s">
        <v>143</v>
      </c>
      <c r="AM327" s="7">
        <v>125</v>
      </c>
      <c r="AN327" s="7" t="s">
        <v>144</v>
      </c>
      <c r="AO327" s="7">
        <v>180</v>
      </c>
      <c r="AP327" s="7" t="s">
        <v>145</v>
      </c>
      <c r="AQ327" s="7">
        <v>115</v>
      </c>
      <c r="AR327" s="7" t="s">
        <v>146</v>
      </c>
      <c r="AS327" s="7">
        <v>170</v>
      </c>
      <c r="AT327" s="7" t="s">
        <v>147</v>
      </c>
      <c r="AU327" s="7">
        <v>460</v>
      </c>
      <c r="AV327" s="7" t="s">
        <v>148</v>
      </c>
      <c r="AW327" s="7">
        <v>620</v>
      </c>
      <c r="AX327" s="7" t="s">
        <v>149</v>
      </c>
      <c r="AY327" s="7">
        <v>460</v>
      </c>
      <c r="AZ327" s="7" t="s">
        <v>150</v>
      </c>
      <c r="BA327" s="7">
        <v>620</v>
      </c>
      <c r="BB327" s="7" t="s">
        <v>151</v>
      </c>
      <c r="BC327" s="7">
        <v>1</v>
      </c>
      <c r="BD327" s="7" t="s">
        <v>152</v>
      </c>
      <c r="BE327" s="7">
        <v>2</v>
      </c>
      <c r="BF327" s="7" t="s">
        <v>153</v>
      </c>
      <c r="BG327" s="7">
        <v>100</v>
      </c>
      <c r="BH327" s="7" t="s">
        <v>154</v>
      </c>
      <c r="BI327" s="7">
        <v>10</v>
      </c>
      <c r="BJ327" s="7" t="s">
        <v>155</v>
      </c>
      <c r="BK327" s="7">
        <v>300</v>
      </c>
      <c r="BL327" s="20"/>
      <c r="BM327" s="20"/>
      <c r="BN327" s="20">
        <v>1</v>
      </c>
      <c r="BO327" s="20">
        <v>2500</v>
      </c>
      <c r="BP327" s="20">
        <v>2</v>
      </c>
      <c r="BQ327" s="20">
        <v>2500</v>
      </c>
      <c r="BR327" s="20" t="s">
        <v>156</v>
      </c>
    </row>
    <row r="328" s="7" customFormat="1" ht="16.5" spans="1:70">
      <c r="A328" s="7">
        <f>60000000+INDEX(编号表!$B:$B,MATCH(I328,编号表!$A:$A,0))*10000+INDEX(编号表!$B:$B,MATCH(J328,编号表!$C:$C,0))*1000+K328</f>
        <v>60014001</v>
      </c>
      <c r="B328" s="7" t="s">
        <v>898</v>
      </c>
      <c r="C328" s="7" t="s">
        <v>899</v>
      </c>
      <c r="D328" s="7" t="s">
        <v>899</v>
      </c>
      <c r="E328" s="7">
        <v>60</v>
      </c>
      <c r="F328" s="7" t="str" cm="1">
        <f t="array" ref="F328">INDEX(编号表!$E:$E,MATCH(J328,编号表!$C:$C,0))</f>
        <v>橙色</v>
      </c>
      <c r="G328" s="7">
        <v>1</v>
      </c>
      <c r="H328" s="7" t="s">
        <v>135</v>
      </c>
      <c r="I328" s="7" t="s">
        <v>136</v>
      </c>
      <c r="J328" s="7" t="s">
        <v>233</v>
      </c>
      <c r="K328" s="7">
        <v>1</v>
      </c>
      <c r="L328" s="7">
        <f>COUNTIFS(I$11:I328,I328,J$11:J328,J328)-1</f>
        <v>1</v>
      </c>
      <c r="O328" s="7">
        <v>1</v>
      </c>
      <c r="P328" s="7">
        <v>10</v>
      </c>
      <c r="Q328" s="7" t="s">
        <v>138</v>
      </c>
      <c r="R328" s="21">
        <v>40140009</v>
      </c>
      <c r="X328" s="7" t="s">
        <v>139</v>
      </c>
      <c r="Y328" s="7" t="s">
        <v>897</v>
      </c>
      <c r="Z328" s="7">
        <v>1.5</v>
      </c>
      <c r="AA328" s="7">
        <v>80</v>
      </c>
      <c r="AB328" s="7">
        <v>80</v>
      </c>
      <c r="AC328" s="7">
        <v>20</v>
      </c>
      <c r="AD328" s="7">
        <v>30</v>
      </c>
      <c r="AE328" s="7" t="s">
        <v>141</v>
      </c>
      <c r="AG328" s="22" t="s">
        <v>234</v>
      </c>
      <c r="AI328" s="7">
        <v>0</v>
      </c>
      <c r="AJ328" s="7" t="s">
        <v>142</v>
      </c>
      <c r="AK328" s="24">
        <v>999999</v>
      </c>
      <c r="AL328" s="7" t="s">
        <v>143</v>
      </c>
      <c r="AM328" s="7">
        <v>0</v>
      </c>
      <c r="AN328" s="7" t="s">
        <v>144</v>
      </c>
      <c r="AO328" s="7">
        <v>0</v>
      </c>
      <c r="AP328" s="7" t="s">
        <v>145</v>
      </c>
      <c r="AQ328" s="7">
        <v>0</v>
      </c>
      <c r="AR328" s="7" t="s">
        <v>146</v>
      </c>
      <c r="AS328" s="7">
        <v>0</v>
      </c>
      <c r="AT328" s="7" t="s">
        <v>147</v>
      </c>
      <c r="AU328" s="7">
        <v>0</v>
      </c>
      <c r="AV328" s="7" t="s">
        <v>148</v>
      </c>
      <c r="AW328" s="7">
        <v>0</v>
      </c>
      <c r="AX328" s="7" t="s">
        <v>149</v>
      </c>
      <c r="AY328" s="7">
        <v>0</v>
      </c>
      <c r="AZ328" s="7" t="s">
        <v>150</v>
      </c>
      <c r="BA328" s="7">
        <v>0</v>
      </c>
      <c r="BB328" s="7" t="s">
        <v>151</v>
      </c>
      <c r="BC328" s="7">
        <v>1</v>
      </c>
      <c r="BD328" s="7" t="s">
        <v>152</v>
      </c>
      <c r="BE328" s="7">
        <v>2</v>
      </c>
      <c r="BF328" s="7" t="s">
        <v>153</v>
      </c>
      <c r="BG328" s="7"/>
      <c r="BH328" s="7" t="s">
        <v>154</v>
      </c>
      <c r="BI328" s="7"/>
      <c r="BJ328" s="7" t="s">
        <v>155</v>
      </c>
      <c r="BK328" s="7"/>
      <c r="BL328" s="20"/>
      <c r="BM328" s="20"/>
      <c r="BN328" s="20">
        <v>1</v>
      </c>
      <c r="BO328" s="20">
        <v>2500</v>
      </c>
      <c r="BP328" s="20">
        <v>2</v>
      </c>
      <c r="BQ328" s="20">
        <v>2500</v>
      </c>
      <c r="BR328" s="20"/>
    </row>
    <row r="329" s="7" customFormat="1" ht="16.5" spans="1:70">
      <c r="A329" s="7">
        <f>60000000+INDEX(编号表!$B:$B,MATCH(I329,编号表!$A:$A,0))*10000+INDEX(编号表!$B:$B,MATCH(J329,编号表!$C:$C,0))*1000+K329</f>
        <v>60014002</v>
      </c>
      <c r="B329" s="7" t="s">
        <v>900</v>
      </c>
      <c r="C329" s="7" t="s">
        <v>901</v>
      </c>
      <c r="D329" s="7" t="s">
        <v>901</v>
      </c>
      <c r="E329" s="7">
        <v>60</v>
      </c>
      <c r="F329" s="7" t="str" cm="1">
        <f t="array" ref="F329">INDEX(编号表!$E:$E,MATCH(J329,编号表!$C:$C,0))</f>
        <v>橙色</v>
      </c>
      <c r="G329" s="7">
        <v>1</v>
      </c>
      <c r="H329" s="7" t="s">
        <v>135</v>
      </c>
      <c r="I329" s="7" t="s">
        <v>136</v>
      </c>
      <c r="J329" s="7" t="s">
        <v>233</v>
      </c>
      <c r="K329" s="7">
        <v>2</v>
      </c>
      <c r="L329" s="7">
        <f>COUNTIFS(I$11:I329,I329,J$11:J329,J329)-1</f>
        <v>2</v>
      </c>
      <c r="O329" s="7">
        <v>1</v>
      </c>
      <c r="P329" s="7">
        <v>10</v>
      </c>
      <c r="Q329" s="7" t="s">
        <v>138</v>
      </c>
      <c r="R329" s="21">
        <v>40140009</v>
      </c>
      <c r="X329" s="7" t="s">
        <v>139</v>
      </c>
      <c r="Y329" s="7" t="s">
        <v>851</v>
      </c>
      <c r="Z329" s="7">
        <v>1.5</v>
      </c>
      <c r="AA329" s="7">
        <v>80</v>
      </c>
      <c r="AB329" s="7">
        <v>80</v>
      </c>
      <c r="AC329" s="7">
        <v>20</v>
      </c>
      <c r="AD329" s="7">
        <v>30</v>
      </c>
      <c r="AE329" s="7" t="s">
        <v>141</v>
      </c>
      <c r="AG329" s="22" t="s">
        <v>234</v>
      </c>
      <c r="AI329" s="7">
        <v>0</v>
      </c>
      <c r="AJ329" s="7" t="s">
        <v>142</v>
      </c>
      <c r="AK329" s="24">
        <v>999999</v>
      </c>
      <c r="AL329" s="7" t="s">
        <v>143</v>
      </c>
      <c r="AM329" s="7">
        <v>0</v>
      </c>
      <c r="AN329" s="7" t="s">
        <v>144</v>
      </c>
      <c r="AO329" s="7">
        <v>0</v>
      </c>
      <c r="AP329" s="7" t="s">
        <v>145</v>
      </c>
      <c r="AQ329" s="7">
        <v>0</v>
      </c>
      <c r="AR329" s="7" t="s">
        <v>146</v>
      </c>
      <c r="AS329" s="7">
        <v>0</v>
      </c>
      <c r="AT329" s="7" t="s">
        <v>147</v>
      </c>
      <c r="AU329" s="7">
        <v>0</v>
      </c>
      <c r="AV329" s="7" t="s">
        <v>148</v>
      </c>
      <c r="AW329" s="7">
        <v>0</v>
      </c>
      <c r="AX329" s="7" t="s">
        <v>149</v>
      </c>
      <c r="AY329" s="7">
        <v>0</v>
      </c>
      <c r="AZ329" s="7" t="s">
        <v>150</v>
      </c>
      <c r="BA329" s="7">
        <v>0</v>
      </c>
      <c r="BB329" s="7" t="s">
        <v>151</v>
      </c>
      <c r="BC329" s="7">
        <v>1</v>
      </c>
      <c r="BD329" s="7" t="s">
        <v>152</v>
      </c>
      <c r="BE329" s="7">
        <v>2</v>
      </c>
      <c r="BF329" s="7" t="s">
        <v>153</v>
      </c>
      <c r="BH329" s="7" t="s">
        <v>154</v>
      </c>
      <c r="BJ329" s="7" t="s">
        <v>155</v>
      </c>
      <c r="BL329" s="20"/>
      <c r="BM329" s="20"/>
      <c r="BN329" s="20">
        <v>1</v>
      </c>
      <c r="BO329" s="20">
        <v>2500</v>
      </c>
      <c r="BP329" s="20">
        <v>2</v>
      </c>
      <c r="BQ329" s="20">
        <v>2500</v>
      </c>
      <c r="BR329" s="20"/>
    </row>
    <row r="330" s="7" customFormat="1" ht="16.5" spans="1:70">
      <c r="A330" s="7">
        <f>60000000+INDEX(编号表!$B:$B,MATCH(I330,编号表!$A:$A,0))*10000+INDEX(编号表!$B:$B,MATCH(J330,编号表!$C:$C,0))*1000+K330</f>
        <v>60014003</v>
      </c>
      <c r="B330" s="7" t="s">
        <v>902</v>
      </c>
      <c r="C330" s="7" t="s">
        <v>903</v>
      </c>
      <c r="D330" s="7" t="s">
        <v>903</v>
      </c>
      <c r="E330" s="7">
        <v>60</v>
      </c>
      <c r="F330" s="7" t="str" cm="1">
        <f t="array" ref="F330">INDEX(编号表!$E:$E,MATCH(J330,编号表!$C:$C,0))</f>
        <v>橙色</v>
      </c>
      <c r="G330" s="7">
        <v>1</v>
      </c>
      <c r="H330" s="7" t="s">
        <v>135</v>
      </c>
      <c r="I330" s="7" t="s">
        <v>136</v>
      </c>
      <c r="J330" s="7" t="s">
        <v>233</v>
      </c>
      <c r="K330" s="7">
        <v>3</v>
      </c>
      <c r="L330" s="7">
        <f>COUNTIFS(I$11:I330,I330,J$11:J330,J330)-1</f>
        <v>3</v>
      </c>
      <c r="O330" s="7">
        <v>1</v>
      </c>
      <c r="P330" s="7">
        <v>10</v>
      </c>
      <c r="Q330" s="7" t="s">
        <v>138</v>
      </c>
      <c r="R330" s="21">
        <v>40140009</v>
      </c>
      <c r="X330" s="7" t="s">
        <v>139</v>
      </c>
      <c r="Y330" s="7" t="s">
        <v>848</v>
      </c>
      <c r="Z330" s="7">
        <v>1.5</v>
      </c>
      <c r="AA330" s="7">
        <v>80</v>
      </c>
      <c r="AB330" s="7">
        <v>80</v>
      </c>
      <c r="AC330" s="7">
        <v>20</v>
      </c>
      <c r="AD330" s="7">
        <v>30</v>
      </c>
      <c r="AE330" s="7" t="s">
        <v>141</v>
      </c>
      <c r="AG330" s="22" t="s">
        <v>234</v>
      </c>
      <c r="AI330" s="7">
        <v>0</v>
      </c>
      <c r="AJ330" s="7" t="s">
        <v>142</v>
      </c>
      <c r="AK330" s="24">
        <v>999999</v>
      </c>
      <c r="AL330" s="7" t="s">
        <v>143</v>
      </c>
      <c r="AM330" s="7">
        <v>0</v>
      </c>
      <c r="AN330" s="7" t="s">
        <v>144</v>
      </c>
      <c r="AO330" s="7">
        <v>0</v>
      </c>
      <c r="AP330" s="7" t="s">
        <v>145</v>
      </c>
      <c r="AQ330" s="7">
        <v>0</v>
      </c>
      <c r="AR330" s="7" t="s">
        <v>146</v>
      </c>
      <c r="AS330" s="7">
        <v>0</v>
      </c>
      <c r="AT330" s="7" t="s">
        <v>147</v>
      </c>
      <c r="AU330" s="7">
        <v>0</v>
      </c>
      <c r="AV330" s="7" t="s">
        <v>148</v>
      </c>
      <c r="AW330" s="7">
        <v>0</v>
      </c>
      <c r="AX330" s="7" t="s">
        <v>149</v>
      </c>
      <c r="AY330" s="7">
        <v>0</v>
      </c>
      <c r="AZ330" s="7" t="s">
        <v>150</v>
      </c>
      <c r="BA330" s="7">
        <v>0</v>
      </c>
      <c r="BB330" s="7" t="s">
        <v>151</v>
      </c>
      <c r="BC330" s="7">
        <v>1</v>
      </c>
      <c r="BD330" s="7" t="s">
        <v>152</v>
      </c>
      <c r="BE330" s="7">
        <v>2</v>
      </c>
      <c r="BF330" s="7" t="s">
        <v>153</v>
      </c>
      <c r="BH330" s="7" t="s">
        <v>154</v>
      </c>
      <c r="BJ330" s="7" t="s">
        <v>155</v>
      </c>
      <c r="BL330" s="20"/>
      <c r="BM330" s="20"/>
      <c r="BN330" s="20">
        <v>1</v>
      </c>
      <c r="BO330" s="20">
        <v>2500</v>
      </c>
      <c r="BP330" s="20">
        <v>2</v>
      </c>
      <c r="BQ330" s="20">
        <v>2500</v>
      </c>
      <c r="BR330" s="20"/>
    </row>
    <row r="331" s="7" customFormat="1" ht="16.5" spans="1:70">
      <c r="A331" s="7">
        <f>60000000+INDEX(编号表!$B:$B,MATCH(I331,编号表!$A:$A,0))*10000+INDEX(编号表!$B:$B,MATCH(J331,编号表!$C:$C,0))*1000+K331</f>
        <v>60011020</v>
      </c>
      <c r="B331" s="7" t="s">
        <v>904</v>
      </c>
      <c r="C331" s="7" t="s">
        <v>134</v>
      </c>
      <c r="D331" s="7" t="s">
        <v>905</v>
      </c>
      <c r="E331" s="7">
        <v>60</v>
      </c>
      <c r="F331" s="7" t="s">
        <v>906</v>
      </c>
      <c r="G331" s="7">
        <v>1</v>
      </c>
      <c r="H331" s="7" t="s">
        <v>135</v>
      </c>
      <c r="I331" s="7" t="s">
        <v>136</v>
      </c>
      <c r="J331" s="7" t="s">
        <v>137</v>
      </c>
      <c r="K331" s="7">
        <v>20</v>
      </c>
      <c r="L331" s="7">
        <f>COUNTIFS(I$11:I331,I331,J$11:J331,J331)-1</f>
        <v>20</v>
      </c>
      <c r="O331" s="7">
        <v>1</v>
      </c>
      <c r="P331" s="7">
        <v>10</v>
      </c>
      <c r="Q331" s="7" t="s">
        <v>138</v>
      </c>
      <c r="R331" s="21">
        <v>40140009</v>
      </c>
      <c r="X331" s="7" t="s">
        <v>139</v>
      </c>
      <c r="Y331" s="7" t="s">
        <v>140</v>
      </c>
      <c r="AA331" s="7">
        <v>30</v>
      </c>
      <c r="AB331" s="7">
        <v>30</v>
      </c>
      <c r="AC331" s="7">
        <v>10</v>
      </c>
      <c r="AD331" s="7">
        <v>20</v>
      </c>
      <c r="AE331" s="7" t="s">
        <v>141</v>
      </c>
      <c r="AG331" s="22"/>
      <c r="AJ331" s="7" t="s">
        <v>142</v>
      </c>
      <c r="AK331" s="24">
        <v>2400</v>
      </c>
      <c r="AL331" s="7" t="s">
        <v>143</v>
      </c>
      <c r="AM331" s="7">
        <v>21</v>
      </c>
      <c r="AN331" s="7" t="s">
        <v>144</v>
      </c>
      <c r="AO331" s="7">
        <v>31</v>
      </c>
      <c r="AP331" s="7" t="s">
        <v>145</v>
      </c>
      <c r="AQ331" s="7">
        <v>20</v>
      </c>
      <c r="AR331" s="7" t="s">
        <v>146</v>
      </c>
      <c r="AS331" s="7">
        <v>29</v>
      </c>
      <c r="AT331" s="7" t="s">
        <v>147</v>
      </c>
      <c r="AU331" s="7">
        <v>50</v>
      </c>
      <c r="AV331" s="7" t="s">
        <v>148</v>
      </c>
      <c r="AW331" s="7">
        <v>70</v>
      </c>
      <c r="AX331" s="7" t="s">
        <v>149</v>
      </c>
      <c r="AY331" s="7">
        <v>50</v>
      </c>
      <c r="AZ331" s="7" t="s">
        <v>150</v>
      </c>
      <c r="BA331" s="7">
        <v>70</v>
      </c>
      <c r="BB331" s="7" t="s">
        <v>151</v>
      </c>
      <c r="BC331" s="7">
        <v>0</v>
      </c>
      <c r="BD331" s="7" t="s">
        <v>152</v>
      </c>
      <c r="BE331" s="7">
        <v>0</v>
      </c>
      <c r="BF331" s="7" t="s">
        <v>153</v>
      </c>
      <c r="BG331" s="7">
        <v>100</v>
      </c>
      <c r="BH331" s="7" t="s">
        <v>154</v>
      </c>
      <c r="BI331" s="7">
        <v>10</v>
      </c>
      <c r="BJ331" s="7" t="s">
        <v>155</v>
      </c>
      <c r="BK331" s="7">
        <v>300</v>
      </c>
      <c r="BL331" s="20"/>
      <c r="BM331" s="20"/>
      <c r="BN331" s="20"/>
      <c r="BO331" s="20"/>
      <c r="BP331" s="20"/>
      <c r="BQ331" s="20"/>
      <c r="BR331" s="20"/>
    </row>
    <row r="332" s="7" customFormat="1" spans="1:70">
      <c r="AG332" s="22"/>
      <c r="BL332" s="20"/>
      <c r="BM332" s="20"/>
      <c r="BN332" s="20"/>
      <c r="BO332" s="20"/>
      <c r="BP332" s="20"/>
      <c r="BQ332" s="20"/>
      <c r="BR332" s="20"/>
    </row>
    <row r="333" s="7" customFormat="1" spans="1:70">
      <c r="AG333" s="22"/>
      <c r="BL333" s="20"/>
      <c r="BM333" s="20"/>
      <c r="BN333" s="20"/>
      <c r="BO333" s="20"/>
      <c r="BP333" s="20"/>
      <c r="BQ333" s="20"/>
      <c r="BR333" s="20"/>
    </row>
    <row r="334" s="7" customFormat="1" spans="1:70">
      <c r="AG334" s="22"/>
      <c r="BL334" s="20"/>
      <c r="BM334" s="20"/>
      <c r="BN334" s="20"/>
      <c r="BO334" s="20"/>
      <c r="BP334" s="20"/>
      <c r="BQ334" s="20"/>
      <c r="BR334" s="20"/>
    </row>
    <row r="335" s="7" customFormat="1" spans="1:70">
      <c r="AG335" s="22"/>
      <c r="BL335" s="20"/>
      <c r="BM335" s="20"/>
      <c r="BN335" s="20"/>
      <c r="BO335" s="20"/>
      <c r="BP335" s="20"/>
      <c r="BQ335" s="20"/>
      <c r="BR335" s="20"/>
    </row>
    <row r="336" s="7" customFormat="1" spans="1:70">
      <c r="AG336" s="22"/>
      <c r="BL336" s="20"/>
      <c r="BM336" s="20"/>
      <c r="BN336" s="20"/>
      <c r="BO336" s="20"/>
      <c r="BP336" s="20"/>
      <c r="BQ336" s="20"/>
      <c r="BR336" s="20"/>
    </row>
    <row r="337" s="7" customFormat="1" spans="33:70">
      <c r="AG337" s="22"/>
      <c r="BL337" s="20"/>
      <c r="BM337" s="20"/>
      <c r="BN337" s="20"/>
      <c r="BO337" s="20"/>
      <c r="BP337" s="20"/>
      <c r="BQ337" s="20"/>
      <c r="BR337" s="20"/>
    </row>
    <row r="338" s="7" customFormat="1" spans="33:70">
      <c r="AG338" s="22"/>
      <c r="BL338" s="20"/>
      <c r="BM338" s="20"/>
      <c r="BN338" s="20"/>
      <c r="BO338" s="20"/>
      <c r="BP338" s="20"/>
      <c r="BQ338" s="20"/>
      <c r="BR338" s="20"/>
    </row>
    <row r="339" s="7" customFormat="1" spans="33:70">
      <c r="AG339" s="22"/>
      <c r="BL339" s="20"/>
      <c r="BM339" s="20"/>
      <c r="BN339" s="20"/>
      <c r="BO339" s="20"/>
      <c r="BP339" s="20"/>
      <c r="BQ339" s="20"/>
      <c r="BR339" s="20"/>
    </row>
    <row r="340" s="7" customFormat="1" spans="33:70">
      <c r="AG340" s="22"/>
      <c r="BL340" s="20"/>
      <c r="BM340" s="20"/>
      <c r="BN340" s="20"/>
      <c r="BO340" s="20"/>
      <c r="BP340" s="20"/>
      <c r="BQ340" s="20"/>
      <c r="BR340" s="20"/>
    </row>
    <row r="341" s="7" customFormat="1" spans="33:70">
      <c r="AG341" s="22"/>
      <c r="BL341" s="20"/>
      <c r="BM341" s="20"/>
      <c r="BN341" s="20"/>
      <c r="BO341" s="20"/>
      <c r="BP341" s="20"/>
      <c r="BQ341" s="20"/>
      <c r="BR341" s="20"/>
    </row>
    <row r="342" s="7" customFormat="1" spans="33:70">
      <c r="AG342" s="22"/>
      <c r="BL342" s="20"/>
      <c r="BM342" s="20"/>
      <c r="BN342" s="20"/>
      <c r="BO342" s="20"/>
      <c r="BP342" s="20"/>
      <c r="BQ342" s="20"/>
      <c r="BR342" s="20"/>
    </row>
    <row r="343" s="7" customFormat="1" spans="33:70">
      <c r="AG343" s="22"/>
      <c r="BL343" s="20"/>
      <c r="BM343" s="20"/>
      <c r="BN343" s="20"/>
      <c r="BO343" s="20"/>
      <c r="BP343" s="20"/>
      <c r="BQ343" s="20"/>
      <c r="BR343" s="20"/>
    </row>
    <row r="344" s="7" customFormat="1" spans="33:70">
      <c r="AG344" s="22"/>
      <c r="BL344" s="20"/>
      <c r="BM344" s="20"/>
      <c r="BN344" s="20"/>
      <c r="BO344" s="20"/>
      <c r="BP344" s="20"/>
      <c r="BQ344" s="20"/>
      <c r="BR344" s="20"/>
    </row>
    <row r="345" s="7" customFormat="1" spans="33:70">
      <c r="AG345" s="22"/>
      <c r="BL345" s="20"/>
      <c r="BM345" s="20"/>
      <c r="BN345" s="20"/>
      <c r="BO345" s="20"/>
      <c r="BP345" s="20"/>
      <c r="BQ345" s="20"/>
      <c r="BR345" s="20"/>
    </row>
    <row r="346" s="7" customFormat="1" spans="33:70">
      <c r="AG346" s="22"/>
      <c r="BL346" s="20"/>
      <c r="BM346" s="20"/>
      <c r="BN346" s="20"/>
      <c r="BO346" s="20"/>
      <c r="BP346" s="20"/>
      <c r="BQ346" s="20"/>
      <c r="BR346" s="20"/>
    </row>
    <row r="347" s="7" customFormat="1" spans="33:70">
      <c r="AG347" s="22"/>
      <c r="BL347" s="20"/>
      <c r="BM347" s="20"/>
      <c r="BN347" s="20"/>
      <c r="BO347" s="20"/>
      <c r="BP347" s="20"/>
      <c r="BQ347" s="20"/>
      <c r="BR347" s="20"/>
    </row>
    <row r="348" s="7" customFormat="1" spans="33:70">
      <c r="AG348" s="22"/>
      <c r="BL348" s="20"/>
      <c r="BM348" s="20"/>
      <c r="BN348" s="20"/>
      <c r="BO348" s="20"/>
      <c r="BP348" s="20"/>
      <c r="BQ348" s="20"/>
      <c r="BR348" s="20"/>
    </row>
    <row r="349" s="7" customFormat="1" spans="33:70">
      <c r="AG349" s="22"/>
      <c r="BL349" s="20"/>
      <c r="BM349" s="20"/>
      <c r="BN349" s="20"/>
      <c r="BO349" s="20"/>
      <c r="BP349" s="20"/>
      <c r="BQ349" s="20"/>
      <c r="BR349" s="20"/>
    </row>
    <row r="350" s="7" customFormat="1" spans="33:70">
      <c r="AG350" s="22"/>
      <c r="BL350" s="20"/>
      <c r="BM350" s="20"/>
      <c r="BN350" s="20"/>
      <c r="BO350" s="20"/>
      <c r="BP350" s="20"/>
      <c r="BQ350" s="20"/>
      <c r="BR350" s="20"/>
    </row>
    <row r="351" s="7" customFormat="1" spans="33:70">
      <c r="BL351" s="20"/>
      <c r="BM351" s="20"/>
      <c r="BN351" s="20"/>
      <c r="BO351" s="20"/>
      <c r="BP351" s="20"/>
      <c r="BQ351" s="20"/>
      <c r="BR351" s="20"/>
    </row>
    <row r="352" s="7" customFormat="1" spans="33:70">
      <c r="BL352" s="20"/>
      <c r="BM352" s="20"/>
      <c r="BN352" s="20"/>
      <c r="BO352" s="20"/>
      <c r="BP352" s="20"/>
      <c r="BQ352" s="20"/>
      <c r="BR352" s="20"/>
    </row>
    <row r="353" s="7" customFormat="1" spans="64:70">
      <c r="BL353" s="20"/>
      <c r="BM353" s="20"/>
      <c r="BN353" s="20"/>
      <c r="BO353" s="20"/>
      <c r="BP353" s="20"/>
      <c r="BQ353" s="20"/>
      <c r="BR353" s="20"/>
    </row>
    <row r="354" s="7" customFormat="1" spans="64:70">
      <c r="BL354" s="20"/>
      <c r="BM354" s="20"/>
      <c r="BN354" s="20"/>
      <c r="BO354" s="20"/>
      <c r="BP354" s="20"/>
      <c r="BQ354" s="20"/>
      <c r="BR354" s="20"/>
    </row>
    <row r="355" s="7" customFormat="1" spans="64:70">
      <c r="BL355" s="20"/>
      <c r="BM355" s="20"/>
      <c r="BN355" s="20"/>
      <c r="BO355" s="20"/>
      <c r="BP355" s="20"/>
      <c r="BQ355" s="20"/>
      <c r="BR355" s="20"/>
    </row>
    <row r="356" s="7" customFormat="1" spans="64:70">
      <c r="BL356" s="20"/>
      <c r="BM356" s="20"/>
      <c r="BN356" s="20"/>
      <c r="BO356" s="20"/>
      <c r="BP356" s="20"/>
      <c r="BQ356" s="20"/>
      <c r="BR356" s="20"/>
    </row>
    <row r="357" s="7" customFormat="1" spans="64:70">
      <c r="BL357" s="20"/>
      <c r="BM357" s="20"/>
      <c r="BN357" s="20"/>
      <c r="BO357" s="20"/>
      <c r="BP357" s="20"/>
      <c r="BQ357" s="20"/>
      <c r="BR357" s="20"/>
    </row>
    <row r="358" s="7" customFormat="1" spans="64:70">
      <c r="BL358" s="20"/>
      <c r="BM358" s="20"/>
      <c r="BN358" s="20"/>
      <c r="BO358" s="20"/>
      <c r="BP358" s="20"/>
      <c r="BQ358" s="20"/>
      <c r="BR358" s="20"/>
    </row>
    <row r="359" s="7" customFormat="1" spans="64:70">
      <c r="BL359" s="20"/>
      <c r="BM359" s="20"/>
      <c r="BN359" s="20"/>
      <c r="BO359" s="20"/>
      <c r="BP359" s="20"/>
      <c r="BQ359" s="20"/>
      <c r="BR359" s="20"/>
    </row>
    <row r="360" s="7" customFormat="1" spans="64:70">
      <c r="BL360" s="20"/>
      <c r="BM360" s="20"/>
      <c r="BN360" s="20"/>
      <c r="BO360" s="20"/>
      <c r="BP360" s="20"/>
      <c r="BQ360" s="20"/>
      <c r="BR360" s="20"/>
    </row>
    <row r="361" s="7" customFormat="1" spans="64:70">
      <c r="BL361" s="20"/>
      <c r="BM361" s="20"/>
      <c r="BN361" s="20"/>
      <c r="BO361" s="20"/>
      <c r="BP361" s="20"/>
      <c r="BQ361" s="20"/>
      <c r="BR361" s="20"/>
    </row>
    <row r="362" s="7" customFormat="1" spans="64:70">
      <c r="BL362" s="20"/>
      <c r="BM362" s="20"/>
      <c r="BN362" s="20"/>
      <c r="BO362" s="20"/>
      <c r="BP362" s="20"/>
      <c r="BQ362" s="20"/>
      <c r="BR362" s="20"/>
    </row>
    <row r="363" s="7" customFormat="1" spans="64:70">
      <c r="BL363" s="20"/>
      <c r="BM363" s="20"/>
      <c r="BN363" s="20"/>
      <c r="BO363" s="20"/>
      <c r="BP363" s="20"/>
      <c r="BQ363" s="20"/>
      <c r="BR363" s="20"/>
    </row>
    <row r="364" s="7" customFormat="1" spans="64:70">
      <c r="BL364" s="20"/>
      <c r="BM364" s="20"/>
      <c r="BN364" s="20"/>
      <c r="BO364" s="20"/>
      <c r="BP364" s="20"/>
      <c r="BQ364" s="20"/>
      <c r="BR364" s="20"/>
    </row>
    <row r="365" s="7" customFormat="1" spans="64:70">
      <c r="BL365" s="20"/>
      <c r="BM365" s="20"/>
      <c r="BN365" s="20"/>
      <c r="BO365" s="20"/>
      <c r="BP365" s="20"/>
      <c r="BQ365" s="20"/>
      <c r="BR365" s="20"/>
    </row>
    <row r="366" s="7" customFormat="1" spans="64:70">
      <c r="BL366" s="20"/>
      <c r="BM366" s="20"/>
      <c r="BN366" s="20"/>
      <c r="BO366" s="20"/>
      <c r="BP366" s="20"/>
      <c r="BQ366" s="20"/>
      <c r="BR366" s="20"/>
    </row>
    <row r="367" s="7" customFormat="1" spans="64:70">
      <c r="BL367" s="20"/>
      <c r="BM367" s="20"/>
      <c r="BN367" s="20"/>
      <c r="BO367" s="20"/>
      <c r="BP367" s="20"/>
      <c r="BQ367" s="20"/>
      <c r="BR367" s="20"/>
    </row>
    <row r="368" s="7" customFormat="1" spans="64:70">
      <c r="BL368" s="20"/>
      <c r="BM368" s="20"/>
      <c r="BN368" s="20"/>
      <c r="BO368" s="20"/>
      <c r="BP368" s="20"/>
      <c r="BQ368" s="20"/>
      <c r="BR368" s="20"/>
    </row>
    <row r="369" s="7" customFormat="1" spans="64:70">
      <c r="BL369" s="20"/>
      <c r="BM369" s="20"/>
      <c r="BN369" s="20"/>
      <c r="BO369" s="20"/>
      <c r="BP369" s="20"/>
      <c r="BQ369" s="20"/>
      <c r="BR369" s="20"/>
    </row>
    <row r="370" s="7" customFormat="1" spans="64:70">
      <c r="BL370" s="20"/>
      <c r="BM370" s="20"/>
      <c r="BN370" s="20"/>
      <c r="BO370" s="20"/>
      <c r="BP370" s="20"/>
      <c r="BQ370" s="20"/>
      <c r="BR370" s="20"/>
    </row>
    <row r="371" s="7" customFormat="1" spans="64:70">
      <c r="BL371" s="20"/>
      <c r="BM371" s="20"/>
      <c r="BN371" s="20"/>
      <c r="BO371" s="20"/>
      <c r="BP371" s="20"/>
      <c r="BQ371" s="20"/>
      <c r="BR371" s="20"/>
    </row>
    <row r="372" s="7" customFormat="1" spans="64:70">
      <c r="BL372" s="20"/>
      <c r="BM372" s="20"/>
      <c r="BN372" s="20"/>
      <c r="BO372" s="20"/>
      <c r="BP372" s="20"/>
      <c r="BQ372" s="20"/>
      <c r="BR372" s="20"/>
    </row>
    <row r="373" s="7" customFormat="1" spans="64:70">
      <c r="BL373" s="20"/>
      <c r="BM373" s="20"/>
      <c r="BN373" s="20"/>
      <c r="BO373" s="20"/>
      <c r="BP373" s="20"/>
      <c r="BQ373" s="20"/>
      <c r="BR373" s="20"/>
    </row>
    <row r="374" s="7" customFormat="1" spans="64:70">
      <c r="BL374" s="20"/>
      <c r="BM374" s="20"/>
      <c r="BN374" s="20"/>
      <c r="BO374" s="20"/>
      <c r="BP374" s="20"/>
      <c r="BQ374" s="20"/>
      <c r="BR374" s="20"/>
    </row>
    <row r="375" s="7" customFormat="1" spans="64:70">
      <c r="BL375" s="20"/>
      <c r="BM375" s="20"/>
      <c r="BN375" s="20"/>
      <c r="BO375" s="20"/>
      <c r="BP375" s="20"/>
      <c r="BQ375" s="20"/>
      <c r="BR375" s="20"/>
    </row>
    <row r="376" s="7" customFormat="1" spans="64:70">
      <c r="BL376" s="20"/>
      <c r="BM376" s="20"/>
      <c r="BN376" s="20"/>
      <c r="BO376" s="20"/>
      <c r="BP376" s="20"/>
      <c r="BQ376" s="20"/>
      <c r="BR376" s="20"/>
    </row>
    <row r="377" s="7" customFormat="1" spans="64:70">
      <c r="BL377" s="20"/>
      <c r="BM377" s="20"/>
      <c r="BN377" s="20"/>
      <c r="BO377" s="20"/>
      <c r="BP377" s="20"/>
      <c r="BQ377" s="20"/>
      <c r="BR377" s="20"/>
    </row>
    <row r="378" s="7" customFormat="1" spans="64:70">
      <c r="BL378" s="20"/>
      <c r="BM378" s="20"/>
      <c r="BN378" s="20"/>
      <c r="BO378" s="20"/>
      <c r="BP378" s="20"/>
      <c r="BQ378" s="20"/>
      <c r="BR378" s="20"/>
    </row>
    <row r="379" s="7" customFormat="1" spans="64:70">
      <c r="BL379" s="20"/>
      <c r="BM379" s="20"/>
      <c r="BN379" s="20"/>
      <c r="BO379" s="20"/>
      <c r="BP379" s="20"/>
      <c r="BQ379" s="20"/>
      <c r="BR379" s="20"/>
    </row>
    <row r="380" s="7" customFormat="1" spans="64:70">
      <c r="BL380" s="20"/>
      <c r="BM380" s="20"/>
      <c r="BN380" s="20"/>
      <c r="BO380" s="20"/>
      <c r="BP380" s="20"/>
      <c r="BQ380" s="20"/>
      <c r="BR380" s="20"/>
    </row>
    <row r="381" s="7" customFormat="1" spans="64:70">
      <c r="BL381" s="20"/>
      <c r="BM381" s="20"/>
      <c r="BN381" s="20"/>
      <c r="BO381" s="20"/>
      <c r="BP381" s="20"/>
      <c r="BQ381" s="20"/>
      <c r="BR381" s="20"/>
    </row>
    <row r="382" s="7" customFormat="1" spans="64:70">
      <c r="BL382" s="20"/>
      <c r="BM382" s="20"/>
      <c r="BN382" s="20"/>
      <c r="BO382" s="20"/>
      <c r="BP382" s="20"/>
      <c r="BQ382" s="20"/>
      <c r="BR382" s="20"/>
    </row>
    <row r="383" s="7" customFormat="1" spans="64:70">
      <c r="BL383" s="20"/>
      <c r="BM383" s="20"/>
      <c r="BN383" s="20"/>
      <c r="BO383" s="20"/>
      <c r="BP383" s="20"/>
      <c r="BQ383" s="20"/>
      <c r="BR383" s="20"/>
    </row>
    <row r="384" s="7" customFormat="1" spans="64:70">
      <c r="BL384" s="20"/>
      <c r="BM384" s="20"/>
      <c r="BN384" s="20"/>
      <c r="BO384" s="20"/>
      <c r="BP384" s="20"/>
      <c r="BQ384" s="20"/>
      <c r="BR384" s="20"/>
    </row>
    <row r="385" s="7" customFormat="1" spans="64:70">
      <c r="BL385" s="20"/>
      <c r="BM385" s="20"/>
      <c r="BN385" s="20"/>
      <c r="BO385" s="20"/>
      <c r="BP385" s="20"/>
      <c r="BQ385" s="20"/>
      <c r="BR385" s="20"/>
    </row>
    <row r="386" s="7" customFormat="1" spans="64:70">
      <c r="BL386" s="20"/>
      <c r="BM386" s="20"/>
      <c r="BN386" s="20"/>
      <c r="BO386" s="20"/>
      <c r="BP386" s="20"/>
      <c r="BQ386" s="20"/>
      <c r="BR386" s="20"/>
    </row>
    <row r="387" s="7" customFormat="1" spans="64:70">
      <c r="BL387" s="20"/>
      <c r="BM387" s="20"/>
      <c r="BN387" s="20"/>
      <c r="BO387" s="20"/>
      <c r="BP387" s="20"/>
      <c r="BQ387" s="20"/>
      <c r="BR387" s="20"/>
    </row>
    <row r="388" s="7" customFormat="1" spans="64:70">
      <c r="BL388" s="20"/>
      <c r="BM388" s="20"/>
      <c r="BN388" s="20"/>
      <c r="BO388" s="20"/>
      <c r="BP388" s="20"/>
      <c r="BQ388" s="20"/>
      <c r="BR388" s="20"/>
    </row>
    <row r="389" s="7" customFormat="1" spans="64:70">
      <c r="BL389" s="20"/>
      <c r="BM389" s="20"/>
      <c r="BN389" s="20"/>
      <c r="BO389" s="20"/>
      <c r="BP389" s="20"/>
      <c r="BQ389" s="20"/>
      <c r="BR389" s="20"/>
    </row>
    <row r="390" s="7" customFormat="1" spans="64:70">
      <c r="BL390" s="20"/>
      <c r="BM390" s="20"/>
      <c r="BN390" s="20"/>
      <c r="BO390" s="20"/>
      <c r="BP390" s="20"/>
      <c r="BQ390" s="20"/>
      <c r="BR390" s="20"/>
    </row>
    <row r="391" s="7" customFormat="1" spans="64:70">
      <c r="BL391" s="20"/>
      <c r="BM391" s="20"/>
      <c r="BN391" s="20"/>
      <c r="BO391" s="20"/>
      <c r="BP391" s="20"/>
      <c r="BQ391" s="20"/>
      <c r="BR391" s="20"/>
    </row>
    <row r="392" s="7" customFormat="1" spans="64:70">
      <c r="BL392" s="20"/>
      <c r="BM392" s="20"/>
      <c r="BN392" s="20"/>
      <c r="BO392" s="20"/>
      <c r="BP392" s="20"/>
      <c r="BQ392" s="20"/>
      <c r="BR392" s="20"/>
    </row>
    <row r="393" s="7" customFormat="1" spans="64:70">
      <c r="BL393" s="20"/>
      <c r="BM393" s="20"/>
      <c r="BN393" s="20"/>
      <c r="BO393" s="20"/>
      <c r="BP393" s="20"/>
      <c r="BQ393" s="20"/>
      <c r="BR393" s="20"/>
    </row>
    <row r="394" s="7" customFormat="1" spans="64:70">
      <c r="BL394" s="20"/>
      <c r="BM394" s="20"/>
      <c r="BN394" s="20"/>
      <c r="BO394" s="20"/>
      <c r="BP394" s="20"/>
      <c r="BQ394" s="20"/>
      <c r="BR394" s="20"/>
    </row>
    <row r="395" s="7" customFormat="1" spans="64:70">
      <c r="BL395" s="20"/>
      <c r="BM395" s="20"/>
      <c r="BN395" s="20"/>
      <c r="BO395" s="20"/>
      <c r="BP395" s="20"/>
      <c r="BQ395" s="20"/>
      <c r="BR395" s="20"/>
    </row>
    <row r="396" s="7" customFormat="1" spans="64:70">
      <c r="BL396" s="20"/>
      <c r="BM396" s="20"/>
      <c r="BN396" s="20"/>
      <c r="BO396" s="20"/>
      <c r="BP396" s="20"/>
      <c r="BQ396" s="20"/>
      <c r="BR396" s="20"/>
    </row>
    <row r="397" s="7" customFormat="1" spans="64:70">
      <c r="BL397" s="20"/>
      <c r="BM397" s="20"/>
      <c r="BN397" s="20"/>
      <c r="BO397" s="20"/>
      <c r="BP397" s="20"/>
      <c r="BQ397" s="20"/>
      <c r="BR397" s="20"/>
    </row>
    <row r="398" s="7" customFormat="1" spans="64:70">
      <c r="BL398" s="20"/>
      <c r="BM398" s="20"/>
      <c r="BN398" s="20"/>
      <c r="BO398" s="20"/>
      <c r="BP398" s="20"/>
      <c r="BQ398" s="20"/>
      <c r="BR398" s="20"/>
    </row>
    <row r="399" s="7" customFormat="1" spans="64:70">
      <c r="BL399" s="20"/>
      <c r="BM399" s="20"/>
      <c r="BN399" s="20"/>
      <c r="BO399" s="20"/>
      <c r="BP399" s="20"/>
      <c r="BQ399" s="20"/>
      <c r="BR399" s="20"/>
    </row>
    <row r="400" s="7" customFormat="1" spans="64:70">
      <c r="BL400" s="20"/>
      <c r="BM400" s="20"/>
      <c r="BN400" s="20"/>
      <c r="BO400" s="20"/>
      <c r="BP400" s="20"/>
      <c r="BQ400" s="20"/>
      <c r="BR400" s="20"/>
    </row>
    <row r="401" s="7" customFormat="1" spans="64:70">
      <c r="BL401" s="20"/>
      <c r="BM401" s="20"/>
      <c r="BN401" s="20"/>
      <c r="BO401" s="20"/>
      <c r="BP401" s="20"/>
      <c r="BQ401" s="20"/>
      <c r="BR401" s="20"/>
    </row>
    <row r="402" s="7" customFormat="1" spans="64:70">
      <c r="BL402" s="20"/>
      <c r="BM402" s="20"/>
      <c r="BN402" s="20"/>
      <c r="BO402" s="20"/>
      <c r="BP402" s="20"/>
      <c r="BQ402" s="20"/>
      <c r="BR402" s="20"/>
    </row>
    <row r="403" s="7" customFormat="1" spans="64:70">
      <c r="BL403" s="20"/>
      <c r="BM403" s="20"/>
      <c r="BN403" s="20"/>
      <c r="BO403" s="20"/>
      <c r="BP403" s="20"/>
      <c r="BQ403" s="20"/>
      <c r="BR403" s="20"/>
    </row>
    <row r="404" s="7" customFormat="1" spans="64:70">
      <c r="BL404" s="20"/>
      <c r="BM404" s="20"/>
      <c r="BN404" s="20"/>
      <c r="BO404" s="20"/>
      <c r="BP404" s="20"/>
      <c r="BQ404" s="20"/>
      <c r="BR404" s="20"/>
    </row>
    <row r="405" s="7" customFormat="1" spans="64:70">
      <c r="BL405" s="20"/>
      <c r="BM405" s="20"/>
      <c r="BN405" s="20"/>
      <c r="BO405" s="20"/>
      <c r="BP405" s="20"/>
      <c r="BQ405" s="20"/>
      <c r="BR405" s="20"/>
    </row>
    <row r="406" s="7" customFormat="1" spans="64:70">
      <c r="BL406" s="20"/>
      <c r="BM406" s="20"/>
      <c r="BN406" s="20"/>
      <c r="BO406" s="20"/>
      <c r="BP406" s="20"/>
      <c r="BQ406" s="20"/>
      <c r="BR406" s="20"/>
    </row>
    <row r="407" s="7" customFormat="1" spans="64:70">
      <c r="BL407" s="20"/>
      <c r="BM407" s="20"/>
      <c r="BN407" s="20"/>
      <c r="BO407" s="20"/>
      <c r="BP407" s="20"/>
      <c r="BQ407" s="20"/>
      <c r="BR407" s="20"/>
    </row>
    <row r="408" s="7" customFormat="1" spans="64:70">
      <c r="BL408" s="20"/>
      <c r="BM408" s="20"/>
      <c r="BN408" s="20"/>
      <c r="BO408" s="20"/>
      <c r="BP408" s="20"/>
      <c r="BQ408" s="20"/>
      <c r="BR408" s="20"/>
    </row>
    <row r="409" s="7" customFormat="1" spans="64:70">
      <c r="BL409" s="20"/>
      <c r="BM409" s="20"/>
      <c r="BN409" s="20"/>
      <c r="BO409" s="20"/>
      <c r="BP409" s="20"/>
      <c r="BQ409" s="20"/>
      <c r="BR409" s="20"/>
    </row>
    <row r="410" s="7" customFormat="1" spans="64:70">
      <c r="BL410" s="20"/>
      <c r="BM410" s="20"/>
      <c r="BN410" s="20"/>
      <c r="BO410" s="20"/>
      <c r="BP410" s="20"/>
      <c r="BQ410" s="20"/>
      <c r="BR410" s="20"/>
    </row>
    <row r="411" s="7" customFormat="1" spans="64:70">
      <c r="BL411" s="20"/>
      <c r="BM411" s="20"/>
      <c r="BN411" s="20"/>
      <c r="BO411" s="20"/>
      <c r="BP411" s="20"/>
      <c r="BQ411" s="20"/>
      <c r="BR411" s="20"/>
    </row>
    <row r="412" s="7" customFormat="1" spans="64:70">
      <c r="BL412" s="20"/>
      <c r="BM412" s="20"/>
      <c r="BN412" s="20"/>
      <c r="BO412" s="20"/>
      <c r="BP412" s="20"/>
      <c r="BQ412" s="20"/>
      <c r="BR412" s="20"/>
    </row>
    <row r="413" s="7" customFormat="1" spans="64:70">
      <c r="BL413" s="20"/>
      <c r="BM413" s="20"/>
      <c r="BN413" s="20"/>
      <c r="BO413" s="20"/>
      <c r="BP413" s="20"/>
      <c r="BQ413" s="20"/>
      <c r="BR413" s="20"/>
    </row>
    <row r="414" s="7" customFormat="1" spans="64:70">
      <c r="BL414" s="20"/>
      <c r="BM414" s="20"/>
      <c r="BN414" s="20"/>
      <c r="BO414" s="20"/>
      <c r="BP414" s="20"/>
      <c r="BQ414" s="20"/>
      <c r="BR414" s="20"/>
    </row>
    <row r="415" s="7" customFormat="1" spans="64:70">
      <c r="BL415" s="20"/>
      <c r="BM415" s="20"/>
      <c r="BN415" s="20"/>
      <c r="BO415" s="20"/>
      <c r="BP415" s="20"/>
      <c r="BQ415" s="20"/>
      <c r="BR415" s="20"/>
    </row>
    <row r="416" s="7" customFormat="1" spans="64:70">
      <c r="BL416" s="20"/>
      <c r="BM416" s="20"/>
      <c r="BN416" s="20"/>
      <c r="BO416" s="20"/>
      <c r="BP416" s="20"/>
      <c r="BQ416" s="20"/>
      <c r="BR416" s="20"/>
    </row>
    <row r="417" s="7" customFormat="1" spans="64:70">
      <c r="BL417" s="20"/>
      <c r="BM417" s="20"/>
      <c r="BN417" s="20"/>
      <c r="BO417" s="20"/>
      <c r="BP417" s="20"/>
      <c r="BQ417" s="20"/>
      <c r="BR417" s="20"/>
    </row>
    <row r="418" s="7" customFormat="1" spans="64:70">
      <c r="BL418" s="20"/>
      <c r="BM418" s="20"/>
      <c r="BN418" s="20"/>
      <c r="BO418" s="20"/>
      <c r="BP418" s="20"/>
      <c r="BQ418" s="20"/>
      <c r="BR418" s="20"/>
    </row>
    <row r="419" s="7" customFormat="1" spans="64:70">
      <c r="BL419" s="20"/>
      <c r="BM419" s="20"/>
      <c r="BN419" s="20"/>
      <c r="BO419" s="20"/>
      <c r="BP419" s="20"/>
      <c r="BQ419" s="20"/>
      <c r="BR419" s="20"/>
    </row>
    <row r="420" s="7" customFormat="1" spans="64:70">
      <c r="BL420" s="20"/>
      <c r="BM420" s="20"/>
      <c r="BN420" s="20"/>
      <c r="BO420" s="20"/>
      <c r="BP420" s="20"/>
      <c r="BQ420" s="20"/>
      <c r="BR420" s="20"/>
    </row>
    <row r="421" s="7" customFormat="1" spans="64:70">
      <c r="BL421" s="20"/>
      <c r="BM421" s="20"/>
      <c r="BN421" s="20"/>
      <c r="BO421" s="20"/>
      <c r="BP421" s="20"/>
      <c r="BQ421" s="20"/>
      <c r="BR421" s="20"/>
    </row>
    <row r="422" s="7" customFormat="1" spans="64:70">
      <c r="BL422" s="20"/>
      <c r="BM422" s="20"/>
      <c r="BN422" s="20"/>
      <c r="BO422" s="20"/>
      <c r="BP422" s="20"/>
      <c r="BQ422" s="20"/>
      <c r="BR422" s="20"/>
    </row>
    <row r="423" s="7" customFormat="1" spans="64:70">
      <c r="BL423" s="20"/>
      <c r="BM423" s="20"/>
      <c r="BN423" s="20"/>
      <c r="BO423" s="20"/>
      <c r="BP423" s="20"/>
      <c r="BQ423" s="20"/>
      <c r="BR423" s="20"/>
    </row>
    <row r="424" s="7" customFormat="1" spans="64:70">
      <c r="BL424" s="20"/>
      <c r="BM424" s="20"/>
      <c r="BN424" s="20"/>
      <c r="BO424" s="20"/>
      <c r="BP424" s="20"/>
      <c r="BQ424" s="20"/>
      <c r="BR424" s="20"/>
    </row>
    <row r="425" s="7" customFormat="1" spans="64:70">
      <c r="BL425" s="20"/>
      <c r="BM425" s="20"/>
      <c r="BN425" s="20"/>
      <c r="BO425" s="20"/>
      <c r="BP425" s="20"/>
      <c r="BQ425" s="20"/>
      <c r="BR425" s="20"/>
    </row>
    <row r="426" s="7" customFormat="1" spans="64:70">
      <c r="BL426" s="20"/>
      <c r="BM426" s="20"/>
      <c r="BN426" s="20"/>
      <c r="BO426" s="20"/>
      <c r="BP426" s="20"/>
      <c r="BQ426" s="20"/>
      <c r="BR426" s="20"/>
    </row>
    <row r="427" s="7" customFormat="1" spans="64:70">
      <c r="BL427" s="20"/>
      <c r="BM427" s="20"/>
      <c r="BN427" s="20"/>
      <c r="BO427" s="20"/>
      <c r="BP427" s="20"/>
      <c r="BQ427" s="20"/>
      <c r="BR427" s="20"/>
    </row>
    <row r="428" s="7" customFormat="1" spans="64:70">
      <c r="BL428" s="20"/>
      <c r="BM428" s="20"/>
      <c r="BN428" s="20"/>
      <c r="BO428" s="20"/>
      <c r="BP428" s="20"/>
      <c r="BQ428" s="20"/>
      <c r="BR428" s="20"/>
    </row>
    <row r="429" s="7" customFormat="1" spans="64:70">
      <c r="BL429" s="20"/>
      <c r="BM429" s="20"/>
      <c r="BN429" s="20"/>
      <c r="BO429" s="20"/>
      <c r="BP429" s="20"/>
      <c r="BQ429" s="20"/>
      <c r="BR429" s="20"/>
    </row>
    <row r="430" s="7" customFormat="1" spans="64:70">
      <c r="BL430" s="20"/>
      <c r="BM430" s="20"/>
      <c r="BN430" s="20"/>
      <c r="BO430" s="20"/>
      <c r="BP430" s="20"/>
      <c r="BQ430" s="20"/>
      <c r="BR430" s="20"/>
    </row>
    <row r="431" s="7" customFormat="1" spans="64:70">
      <c r="BL431" s="20"/>
      <c r="BM431" s="20"/>
      <c r="BN431" s="20"/>
      <c r="BO431" s="20"/>
      <c r="BP431" s="20"/>
      <c r="BQ431" s="20"/>
      <c r="BR431" s="20"/>
    </row>
    <row r="432" s="7" customFormat="1" spans="64:70">
      <c r="BL432" s="20"/>
      <c r="BM432" s="20"/>
      <c r="BN432" s="20"/>
      <c r="BO432" s="20"/>
      <c r="BP432" s="20"/>
      <c r="BQ432" s="20"/>
      <c r="BR432" s="20"/>
    </row>
    <row r="433" s="7" customFormat="1" spans="64:70">
      <c r="BL433" s="20"/>
      <c r="BM433" s="20"/>
      <c r="BN433" s="20"/>
      <c r="BO433" s="20"/>
      <c r="BP433" s="20"/>
      <c r="BQ433" s="20"/>
      <c r="BR433" s="20"/>
    </row>
    <row r="434" s="7" customFormat="1" spans="64:70">
      <c r="BL434" s="20"/>
      <c r="BM434" s="20"/>
      <c r="BN434" s="20"/>
      <c r="BO434" s="20"/>
      <c r="BP434" s="20"/>
      <c r="BQ434" s="20"/>
      <c r="BR434" s="20"/>
    </row>
    <row r="435" s="7" customFormat="1" spans="64:70">
      <c r="BL435" s="20"/>
      <c r="BM435" s="20"/>
      <c r="BN435" s="20"/>
      <c r="BO435" s="20"/>
      <c r="BP435" s="20"/>
      <c r="BQ435" s="20"/>
      <c r="BR435" s="20"/>
    </row>
    <row r="436" s="7" customFormat="1" spans="64:70">
      <c r="BL436" s="20"/>
      <c r="BM436" s="20"/>
      <c r="BN436" s="20"/>
      <c r="BO436" s="20"/>
      <c r="BP436" s="20"/>
      <c r="BQ436" s="20"/>
      <c r="BR436" s="20"/>
    </row>
    <row r="437" s="7" customFormat="1" spans="64:70">
      <c r="BL437" s="20"/>
      <c r="BM437" s="20"/>
      <c r="BN437" s="20"/>
      <c r="BO437" s="20"/>
      <c r="BP437" s="20"/>
      <c r="BQ437" s="20"/>
      <c r="BR437" s="20"/>
    </row>
    <row r="438" s="7" customFormat="1" spans="64:70">
      <c r="BL438" s="20"/>
      <c r="BM438" s="20"/>
      <c r="BN438" s="20"/>
      <c r="BO438" s="20"/>
      <c r="BP438" s="20"/>
      <c r="BQ438" s="20"/>
      <c r="BR438" s="20"/>
    </row>
    <row r="439" s="7" customFormat="1" spans="64:70">
      <c r="BL439" s="20"/>
      <c r="BM439" s="20"/>
      <c r="BN439" s="20"/>
      <c r="BO439" s="20"/>
      <c r="BP439" s="20"/>
      <c r="BQ439" s="20"/>
      <c r="BR439" s="20"/>
    </row>
    <row r="440" s="7" customFormat="1" spans="64:70">
      <c r="BL440" s="20"/>
      <c r="BM440" s="20"/>
      <c r="BN440" s="20"/>
      <c r="BO440" s="20"/>
      <c r="BP440" s="20"/>
      <c r="BQ440" s="20"/>
      <c r="BR440" s="20"/>
    </row>
    <row r="441" s="7" customFormat="1" spans="64:70">
      <c r="BL441" s="20"/>
      <c r="BM441" s="20"/>
      <c r="BN441" s="20"/>
      <c r="BO441" s="20"/>
      <c r="BP441" s="20"/>
      <c r="BQ441" s="20"/>
      <c r="BR441" s="20"/>
    </row>
    <row r="442" s="7" customFormat="1" spans="64:70">
      <c r="BL442" s="20"/>
      <c r="BM442" s="20"/>
      <c r="BN442" s="20"/>
      <c r="BO442" s="20"/>
      <c r="BP442" s="20"/>
      <c r="BQ442" s="20"/>
      <c r="BR442" s="20"/>
    </row>
    <row r="443" s="7" customFormat="1" spans="64:70">
      <c r="BL443" s="20"/>
      <c r="BM443" s="20"/>
      <c r="BN443" s="20"/>
      <c r="BO443" s="20"/>
      <c r="BP443" s="20"/>
      <c r="BQ443" s="20"/>
      <c r="BR443" s="20"/>
    </row>
    <row r="444" s="7" customFormat="1" spans="64:70">
      <c r="BL444" s="20"/>
      <c r="BM444" s="20"/>
      <c r="BN444" s="20"/>
      <c r="BO444" s="20"/>
      <c r="BP444" s="20"/>
      <c r="BQ444" s="20"/>
      <c r="BR444" s="20"/>
    </row>
    <row r="445" s="7" customFormat="1" spans="64:70">
      <c r="BL445" s="20"/>
      <c r="BM445" s="20"/>
      <c r="BN445" s="20"/>
      <c r="BO445" s="20"/>
      <c r="BP445" s="20"/>
      <c r="BQ445" s="20"/>
      <c r="BR445" s="20"/>
    </row>
    <row r="446" s="7" customFormat="1" spans="64:70">
      <c r="BL446" s="20"/>
      <c r="BM446" s="20"/>
      <c r="BN446" s="20"/>
      <c r="BO446" s="20"/>
      <c r="BP446" s="20"/>
      <c r="BQ446" s="20"/>
      <c r="BR446" s="20"/>
    </row>
    <row r="447" s="7" customFormat="1" spans="64:70">
      <c r="BL447" s="20"/>
      <c r="BM447" s="20"/>
      <c r="BN447" s="20"/>
      <c r="BO447" s="20"/>
      <c r="BP447" s="20"/>
      <c r="BQ447" s="20"/>
      <c r="BR447" s="20"/>
    </row>
    <row r="448" s="7" customFormat="1" spans="64:70">
      <c r="BL448" s="20"/>
      <c r="BM448" s="20"/>
      <c r="BN448" s="20"/>
      <c r="BO448" s="20"/>
      <c r="BP448" s="20"/>
      <c r="BQ448" s="20"/>
      <c r="BR448" s="20"/>
    </row>
    <row r="449" s="7" customFormat="1" spans="64:70">
      <c r="BL449" s="20"/>
      <c r="BM449" s="20"/>
      <c r="BN449" s="20"/>
      <c r="BO449" s="20"/>
      <c r="BP449" s="20"/>
      <c r="BQ449" s="20"/>
      <c r="BR449" s="20"/>
    </row>
    <row r="450" s="7" customFormat="1" spans="64:70">
      <c r="BL450" s="20"/>
      <c r="BM450" s="20"/>
      <c r="BN450" s="20"/>
      <c r="BO450" s="20"/>
      <c r="BP450" s="20"/>
      <c r="BQ450" s="20"/>
      <c r="BR450" s="20"/>
    </row>
    <row r="451" s="7" customFormat="1" spans="64:70">
      <c r="BL451" s="20"/>
      <c r="BM451" s="20"/>
      <c r="BN451" s="20"/>
      <c r="BO451" s="20"/>
      <c r="BP451" s="20"/>
      <c r="BQ451" s="20"/>
      <c r="BR451" s="20"/>
    </row>
    <row r="452" s="7" customFormat="1" spans="64:70">
      <c r="BL452" s="20"/>
      <c r="BM452" s="20"/>
      <c r="BN452" s="20"/>
      <c r="BO452" s="20"/>
      <c r="BP452" s="20"/>
      <c r="BQ452" s="20"/>
      <c r="BR452" s="20"/>
    </row>
    <row r="453" s="7" customFormat="1" spans="64:70">
      <c r="BL453" s="20"/>
      <c r="BM453" s="20"/>
      <c r="BN453" s="20"/>
      <c r="BO453" s="20"/>
      <c r="BP453" s="20"/>
      <c r="BQ453" s="20"/>
      <c r="BR453" s="20"/>
    </row>
    <row r="454" s="7" customFormat="1" spans="64:70">
      <c r="BL454" s="20"/>
      <c r="BM454" s="20"/>
      <c r="BN454" s="20"/>
      <c r="BO454" s="20"/>
      <c r="BP454" s="20"/>
      <c r="BQ454" s="20"/>
      <c r="BR454" s="20"/>
    </row>
    <row r="455" s="7" customFormat="1" spans="64:70">
      <c r="BL455" s="20"/>
      <c r="BM455" s="20"/>
      <c r="BN455" s="20"/>
      <c r="BO455" s="20"/>
      <c r="BP455" s="20"/>
      <c r="BQ455" s="20"/>
      <c r="BR455" s="20"/>
    </row>
    <row r="456" s="7" customFormat="1" spans="64:70">
      <c r="BL456" s="20"/>
      <c r="BM456" s="20"/>
      <c r="BN456" s="20"/>
      <c r="BO456" s="20"/>
      <c r="BP456" s="20"/>
      <c r="BQ456" s="20"/>
      <c r="BR456" s="20"/>
    </row>
    <row r="457" s="7" customFormat="1" spans="64:70">
      <c r="BL457" s="20"/>
      <c r="BM457" s="20"/>
      <c r="BN457" s="20"/>
      <c r="BO457" s="20"/>
      <c r="BP457" s="20"/>
      <c r="BQ457" s="20"/>
      <c r="BR457" s="20"/>
    </row>
    <row r="458" s="7" customFormat="1" spans="64:70">
      <c r="BL458" s="20"/>
      <c r="BM458" s="20"/>
      <c r="BN458" s="20"/>
      <c r="BO458" s="20"/>
      <c r="BP458" s="20"/>
      <c r="BQ458" s="20"/>
      <c r="BR458" s="20"/>
    </row>
    <row r="459" s="7" customFormat="1" spans="64:70">
      <c r="BL459" s="20"/>
      <c r="BM459" s="20"/>
      <c r="BN459" s="20"/>
      <c r="BO459" s="20"/>
      <c r="BP459" s="20"/>
      <c r="BQ459" s="20"/>
      <c r="BR459" s="20"/>
    </row>
    <row r="460" s="7" customFormat="1" spans="64:70">
      <c r="BL460" s="20"/>
      <c r="BM460" s="20"/>
      <c r="BN460" s="20"/>
      <c r="BO460" s="20"/>
      <c r="BP460" s="20"/>
      <c r="BQ460" s="20"/>
      <c r="BR460" s="20"/>
    </row>
    <row r="461" s="7" customFormat="1" spans="64:70">
      <c r="BL461" s="20"/>
      <c r="BM461" s="20"/>
      <c r="BN461" s="20"/>
      <c r="BO461" s="20"/>
      <c r="BP461" s="20"/>
      <c r="BQ461" s="20"/>
      <c r="BR461" s="20"/>
    </row>
    <row r="462" s="7" customFormat="1" spans="64:70">
      <c r="BL462" s="20"/>
      <c r="BM462" s="20"/>
      <c r="BN462" s="20"/>
      <c r="BO462" s="20"/>
      <c r="BP462" s="20"/>
      <c r="BQ462" s="20"/>
      <c r="BR462" s="20"/>
    </row>
    <row r="463" s="7" customFormat="1" spans="64:70">
      <c r="BL463" s="20"/>
      <c r="BM463" s="20"/>
      <c r="BN463" s="20"/>
      <c r="BO463" s="20"/>
      <c r="BP463" s="20"/>
      <c r="BQ463" s="20"/>
      <c r="BR463" s="20"/>
    </row>
    <row r="464" s="7" customFormat="1" spans="64:70">
      <c r="BL464" s="20"/>
      <c r="BM464" s="20"/>
      <c r="BN464" s="20"/>
      <c r="BO464" s="20"/>
      <c r="BP464" s="20"/>
      <c r="BQ464" s="20"/>
      <c r="BR464" s="20"/>
    </row>
    <row r="465" s="7" customFormat="1" spans="64:70">
      <c r="BL465" s="20"/>
      <c r="BM465" s="20"/>
      <c r="BN465" s="20"/>
      <c r="BO465" s="20"/>
      <c r="BP465" s="20"/>
      <c r="BQ465" s="20"/>
      <c r="BR465" s="20"/>
    </row>
    <row r="466" s="7" customFormat="1" spans="64:70">
      <c r="BL466" s="20"/>
      <c r="BM466" s="20"/>
      <c r="BN466" s="20"/>
      <c r="BO466" s="20"/>
      <c r="BP466" s="20"/>
      <c r="BQ466" s="20"/>
      <c r="BR466" s="20"/>
    </row>
    <row r="467" s="7" customFormat="1" spans="64:70">
      <c r="BL467" s="20"/>
      <c r="BM467" s="20"/>
      <c r="BN467" s="20"/>
      <c r="BO467" s="20"/>
      <c r="BP467" s="20"/>
      <c r="BQ467" s="20"/>
      <c r="BR467" s="20"/>
    </row>
    <row r="468" s="7" customFormat="1" spans="64:70">
      <c r="BL468" s="20"/>
      <c r="BM468" s="20"/>
      <c r="BN468" s="20"/>
      <c r="BO468" s="20"/>
      <c r="BP468" s="20"/>
      <c r="BQ468" s="20"/>
      <c r="BR468" s="20"/>
    </row>
    <row r="469" s="7" customFormat="1" spans="64:70">
      <c r="BL469" s="20"/>
      <c r="BM469" s="20"/>
      <c r="BN469" s="20"/>
      <c r="BO469" s="20"/>
      <c r="BP469" s="20"/>
      <c r="BQ469" s="20"/>
      <c r="BR469" s="20"/>
    </row>
    <row r="470" s="7" customFormat="1" spans="64:70">
      <c r="BL470" s="20"/>
      <c r="BM470" s="20"/>
      <c r="BN470" s="20"/>
      <c r="BO470" s="20"/>
      <c r="BP470" s="20"/>
      <c r="BQ470" s="20"/>
      <c r="BR470" s="20"/>
    </row>
    <row r="471" s="7" customFormat="1" spans="64:70">
      <c r="BL471" s="20"/>
      <c r="BM471" s="20"/>
      <c r="BN471" s="20"/>
      <c r="BO471" s="20"/>
      <c r="BP471" s="20"/>
      <c r="BQ471" s="20"/>
      <c r="BR471" s="20"/>
    </row>
    <row r="472" s="7" customFormat="1" spans="64:70">
      <c r="BL472" s="20"/>
      <c r="BM472" s="20"/>
      <c r="BN472" s="20"/>
      <c r="BO472" s="20"/>
      <c r="BP472" s="20"/>
      <c r="BQ472" s="20"/>
      <c r="BR472" s="20"/>
    </row>
    <row r="473" s="7" customFormat="1" spans="64:70">
      <c r="BL473" s="20"/>
      <c r="BM473" s="20"/>
      <c r="BN473" s="20"/>
      <c r="BO473" s="20"/>
      <c r="BP473" s="20"/>
      <c r="BQ473" s="20"/>
      <c r="BR473" s="20"/>
    </row>
    <row r="474" s="7" customFormat="1" spans="64:70">
      <c r="BL474" s="20"/>
      <c r="BM474" s="20"/>
      <c r="BN474" s="20"/>
      <c r="BO474" s="20"/>
      <c r="BP474" s="20"/>
      <c r="BQ474" s="20"/>
      <c r="BR474" s="20"/>
    </row>
    <row r="475" s="7" customFormat="1" spans="64:70">
      <c r="BL475" s="20"/>
      <c r="BM475" s="20"/>
      <c r="BN475" s="20"/>
      <c r="BO475" s="20"/>
      <c r="BP475" s="20"/>
      <c r="BQ475" s="20"/>
      <c r="BR475" s="20"/>
    </row>
    <row r="476" s="7" customFormat="1" spans="64:70">
      <c r="BL476" s="20"/>
      <c r="BM476" s="20"/>
      <c r="BN476" s="20"/>
      <c r="BO476" s="20"/>
      <c r="BP476" s="20"/>
      <c r="BQ476" s="20"/>
      <c r="BR476" s="20"/>
    </row>
    <row r="477" s="7" customFormat="1" spans="64:70">
      <c r="BL477" s="20"/>
      <c r="BM477" s="20"/>
      <c r="BN477" s="20"/>
      <c r="BO477" s="20"/>
      <c r="BP477" s="20"/>
      <c r="BQ477" s="20"/>
      <c r="BR477" s="20"/>
    </row>
    <row r="478" s="7" customFormat="1" spans="64:70">
      <c r="BL478" s="20"/>
      <c r="BM478" s="20"/>
      <c r="BN478" s="20"/>
      <c r="BO478" s="20"/>
      <c r="BP478" s="20"/>
      <c r="BQ478" s="20"/>
      <c r="BR478" s="20"/>
    </row>
    <row r="479" s="7" customFormat="1" spans="64:70">
      <c r="BL479" s="20"/>
      <c r="BM479" s="20"/>
      <c r="BN479" s="20"/>
      <c r="BO479" s="20"/>
      <c r="BP479" s="20"/>
      <c r="BQ479" s="20"/>
      <c r="BR479" s="20"/>
    </row>
    <row r="480" s="7" customFormat="1" spans="64:70">
      <c r="BL480" s="20"/>
      <c r="BM480" s="20"/>
      <c r="BN480" s="20"/>
      <c r="BO480" s="20"/>
      <c r="BP480" s="20"/>
      <c r="BQ480" s="20"/>
      <c r="BR480" s="20"/>
    </row>
    <row r="481" s="7" customFormat="1" spans="64:70">
      <c r="BL481" s="20"/>
      <c r="BM481" s="20"/>
      <c r="BN481" s="20"/>
      <c r="BO481" s="20"/>
      <c r="BP481" s="20"/>
      <c r="BQ481" s="20"/>
      <c r="BR481" s="20"/>
    </row>
    <row r="482" s="7" customFormat="1" spans="64:70">
      <c r="BL482" s="20"/>
      <c r="BM482" s="20"/>
      <c r="BN482" s="20"/>
      <c r="BO482" s="20"/>
      <c r="BP482" s="20"/>
      <c r="BQ482" s="20"/>
      <c r="BR482" s="20"/>
    </row>
    <row r="483" s="7" customFormat="1" spans="64:70">
      <c r="BL483" s="20"/>
      <c r="BM483" s="20"/>
      <c r="BN483" s="20"/>
      <c r="BO483" s="20"/>
      <c r="BP483" s="20"/>
      <c r="BQ483" s="20"/>
      <c r="BR483" s="20"/>
    </row>
    <row r="484" s="7" customFormat="1" spans="64:70">
      <c r="BL484" s="20"/>
      <c r="BM484" s="20"/>
      <c r="BN484" s="20"/>
      <c r="BO484" s="20"/>
      <c r="BP484" s="20"/>
      <c r="BQ484" s="20"/>
      <c r="BR484" s="20"/>
    </row>
    <row r="485" s="7" customFormat="1" spans="64:70">
      <c r="BL485" s="20"/>
      <c r="BM485" s="20"/>
      <c r="BN485" s="20"/>
      <c r="BO485" s="20"/>
      <c r="BP485" s="20"/>
      <c r="BQ485" s="20"/>
      <c r="BR485" s="20"/>
    </row>
    <row r="486" s="7" customFormat="1" spans="64:70">
      <c r="BL486" s="20"/>
      <c r="BM486" s="20"/>
      <c r="BN486" s="20"/>
      <c r="BO486" s="20"/>
      <c r="BP486" s="20"/>
      <c r="BQ486" s="20"/>
      <c r="BR486" s="20"/>
    </row>
    <row r="487" s="7" customFormat="1" spans="64:70">
      <c r="BL487" s="20"/>
      <c r="BM487" s="20"/>
      <c r="BN487" s="20"/>
      <c r="BO487" s="20"/>
      <c r="BP487" s="20"/>
      <c r="BQ487" s="20"/>
      <c r="BR487" s="20"/>
    </row>
    <row r="488" s="7" customFormat="1" spans="64:70">
      <c r="BL488" s="20"/>
      <c r="BM488" s="20"/>
      <c r="BN488" s="20"/>
      <c r="BO488" s="20"/>
      <c r="BP488" s="20"/>
      <c r="BQ488" s="20"/>
      <c r="BR488" s="20"/>
    </row>
    <row r="489" s="7" customFormat="1" spans="64:70">
      <c r="BL489" s="20"/>
      <c r="BM489" s="20"/>
      <c r="BN489" s="20"/>
      <c r="BO489" s="20"/>
      <c r="BP489" s="20"/>
      <c r="BQ489" s="20"/>
      <c r="BR489" s="20"/>
    </row>
    <row r="490" s="7" customFormat="1" spans="64:70">
      <c r="BL490" s="20"/>
      <c r="BM490" s="20"/>
      <c r="BN490" s="20"/>
      <c r="BO490" s="20"/>
      <c r="BP490" s="20"/>
      <c r="BQ490" s="20"/>
      <c r="BR490" s="20"/>
    </row>
    <row r="491" s="7" customFormat="1" spans="64:70">
      <c r="BL491" s="20"/>
      <c r="BM491" s="20"/>
      <c r="BN491" s="20"/>
      <c r="BO491" s="20"/>
      <c r="BP491" s="20"/>
      <c r="BQ491" s="20"/>
      <c r="BR491" s="20"/>
    </row>
    <row r="492" s="7" customFormat="1" spans="64:70">
      <c r="BL492" s="20"/>
      <c r="BM492" s="20"/>
      <c r="BN492" s="20"/>
      <c r="BO492" s="20"/>
      <c r="BP492" s="20"/>
      <c r="BQ492" s="20"/>
      <c r="BR492" s="20"/>
    </row>
    <row r="493" s="7" customFormat="1" spans="64:70">
      <c r="BL493" s="20"/>
      <c r="BM493" s="20"/>
      <c r="BN493" s="20"/>
      <c r="BO493" s="20"/>
      <c r="BP493" s="20"/>
      <c r="BQ493" s="20"/>
      <c r="BR493" s="20"/>
    </row>
    <row r="494" s="7" customFormat="1" spans="64:70">
      <c r="BL494" s="20"/>
      <c r="BM494" s="20"/>
      <c r="BN494" s="20"/>
      <c r="BO494" s="20"/>
      <c r="BP494" s="20"/>
      <c r="BQ494" s="20"/>
      <c r="BR494" s="20"/>
    </row>
    <row r="495" s="7" customFormat="1" spans="64:70">
      <c r="BL495" s="20"/>
      <c r="BM495" s="20"/>
      <c r="BN495" s="20"/>
      <c r="BO495" s="20"/>
      <c r="BP495" s="20"/>
      <c r="BQ495" s="20"/>
      <c r="BR495" s="20"/>
    </row>
    <row r="496" s="7" customFormat="1" spans="64:70">
      <c r="BL496" s="20"/>
      <c r="BM496" s="20"/>
      <c r="BN496" s="20"/>
      <c r="BO496" s="20"/>
      <c r="BP496" s="20"/>
      <c r="BQ496" s="20"/>
      <c r="BR496" s="20"/>
    </row>
    <row r="497" s="7" customFormat="1" spans="64:70">
      <c r="BL497" s="20"/>
      <c r="BM497" s="20"/>
      <c r="BN497" s="20"/>
      <c r="BO497" s="20"/>
      <c r="BP497" s="20"/>
      <c r="BQ497" s="20"/>
      <c r="BR497" s="20"/>
    </row>
    <row r="498" s="7" customFormat="1" spans="64:70">
      <c r="BL498" s="20"/>
      <c r="BM498" s="20"/>
      <c r="BN498" s="20"/>
      <c r="BO498" s="20"/>
      <c r="BP498" s="20"/>
      <c r="BQ498" s="20"/>
      <c r="BR498" s="20"/>
    </row>
    <row r="499" s="7" customFormat="1" spans="64:70">
      <c r="BL499" s="20"/>
      <c r="BM499" s="20"/>
      <c r="BN499" s="20"/>
      <c r="BO499" s="20"/>
      <c r="BP499" s="20"/>
      <c r="BQ499" s="20"/>
      <c r="BR499" s="20"/>
    </row>
    <row r="500" s="7" customFormat="1" spans="64:70">
      <c r="BL500" s="20"/>
      <c r="BM500" s="20"/>
      <c r="BN500" s="20"/>
      <c r="BO500" s="20"/>
      <c r="BP500" s="20"/>
      <c r="BQ500" s="20"/>
      <c r="BR500" s="20"/>
    </row>
    <row r="501" s="7" customFormat="1" spans="64:70">
      <c r="BL501" s="20"/>
      <c r="BM501" s="20"/>
      <c r="BN501" s="20"/>
      <c r="BO501" s="20"/>
      <c r="BP501" s="20"/>
      <c r="BQ501" s="20"/>
      <c r="BR501" s="20"/>
    </row>
    <row r="502" s="7" customFormat="1" spans="64:70">
      <c r="BL502" s="20"/>
      <c r="BM502" s="20"/>
      <c r="BN502" s="20"/>
      <c r="BO502" s="20"/>
      <c r="BP502" s="20"/>
      <c r="BQ502" s="20"/>
      <c r="BR502" s="20"/>
    </row>
    <row r="503" s="7" customFormat="1" spans="64:70">
      <c r="BL503" s="20"/>
      <c r="BM503" s="20"/>
      <c r="BN503" s="20"/>
      <c r="BO503" s="20"/>
      <c r="BP503" s="20"/>
      <c r="BQ503" s="20"/>
      <c r="BR503" s="20"/>
    </row>
    <row r="504" s="7" customFormat="1" spans="64:70">
      <c r="BL504" s="20"/>
      <c r="BM504" s="20"/>
      <c r="BN504" s="20"/>
      <c r="BO504" s="20"/>
      <c r="BP504" s="20"/>
      <c r="BQ504" s="20"/>
      <c r="BR504" s="20"/>
    </row>
    <row r="505" s="7" customFormat="1" spans="64:70">
      <c r="BL505" s="20"/>
      <c r="BM505" s="20"/>
      <c r="BN505" s="20"/>
      <c r="BO505" s="20"/>
      <c r="BP505" s="20"/>
      <c r="BQ505" s="20"/>
      <c r="BR505" s="20"/>
    </row>
    <row r="506" s="7" customFormat="1" spans="64:70">
      <c r="BL506" s="20"/>
      <c r="BM506" s="20"/>
      <c r="BN506" s="20"/>
      <c r="BO506" s="20"/>
      <c r="BP506" s="20"/>
      <c r="BQ506" s="20"/>
      <c r="BR506" s="20"/>
    </row>
    <row r="507" s="7" customFormat="1" spans="64:70">
      <c r="BL507" s="20"/>
      <c r="BM507" s="20"/>
      <c r="BN507" s="20"/>
      <c r="BO507" s="20"/>
      <c r="BP507" s="20"/>
      <c r="BQ507" s="20"/>
      <c r="BR507" s="20"/>
    </row>
    <row r="508" s="7" customFormat="1" spans="64:70">
      <c r="BL508" s="20"/>
      <c r="BM508" s="20"/>
      <c r="BN508" s="20"/>
      <c r="BO508" s="20"/>
      <c r="BP508" s="20"/>
      <c r="BQ508" s="20"/>
      <c r="BR508" s="20"/>
    </row>
    <row r="509" s="7" customFormat="1" spans="64:70">
      <c r="BL509" s="20"/>
      <c r="BM509" s="20"/>
      <c r="BN509" s="20"/>
      <c r="BO509" s="20"/>
      <c r="BP509" s="20"/>
      <c r="BQ509" s="20"/>
      <c r="BR509" s="20"/>
    </row>
    <row r="510" s="7" customFormat="1" spans="64:70">
      <c r="BL510" s="20"/>
      <c r="BM510" s="20"/>
      <c r="BN510" s="20"/>
      <c r="BO510" s="20"/>
      <c r="BP510" s="20"/>
      <c r="BQ510" s="20"/>
      <c r="BR510" s="20"/>
    </row>
    <row r="511" s="7" customFormat="1" spans="64:70">
      <c r="BL511" s="20"/>
      <c r="BM511" s="20"/>
      <c r="BN511" s="20"/>
      <c r="BO511" s="20"/>
      <c r="BP511" s="20"/>
      <c r="BQ511" s="20"/>
      <c r="BR511" s="20"/>
    </row>
    <row r="512" s="7" customFormat="1" spans="64:70">
      <c r="BL512" s="20"/>
      <c r="BM512" s="20"/>
      <c r="BN512" s="20"/>
      <c r="BO512" s="20"/>
      <c r="BP512" s="20"/>
      <c r="BQ512" s="20"/>
      <c r="BR512" s="20"/>
    </row>
    <row r="513" s="7" customFormat="1" spans="64:70">
      <c r="BL513" s="20"/>
      <c r="BM513" s="20"/>
      <c r="BN513" s="20"/>
      <c r="BO513" s="20"/>
      <c r="BP513" s="20"/>
      <c r="BQ513" s="20"/>
      <c r="BR513" s="20"/>
    </row>
    <row r="514" s="7" customFormat="1" spans="64:70">
      <c r="BL514" s="20"/>
      <c r="BM514" s="20"/>
      <c r="BN514" s="20"/>
      <c r="BO514" s="20"/>
      <c r="BP514" s="20"/>
      <c r="BQ514" s="20"/>
      <c r="BR514" s="20"/>
    </row>
    <row r="515" s="7" customFormat="1" spans="64:70">
      <c r="BL515" s="20"/>
      <c r="BM515" s="20"/>
      <c r="BN515" s="20"/>
      <c r="BO515" s="20"/>
      <c r="BP515" s="20"/>
      <c r="BQ515" s="20"/>
      <c r="BR515" s="20"/>
    </row>
    <row r="516" s="7" customFormat="1" spans="64:70">
      <c r="BL516" s="20"/>
      <c r="BM516" s="20"/>
      <c r="BN516" s="20"/>
      <c r="BO516" s="20"/>
      <c r="BP516" s="20"/>
      <c r="BQ516" s="20"/>
      <c r="BR516" s="20"/>
    </row>
    <row r="517" s="7" customFormat="1" spans="64:70">
      <c r="BL517" s="20"/>
      <c r="BM517" s="20"/>
      <c r="BN517" s="20"/>
      <c r="BO517" s="20"/>
      <c r="BP517" s="20"/>
      <c r="BQ517" s="20"/>
      <c r="BR517" s="20"/>
    </row>
    <row r="518" s="7" customFormat="1" spans="64:70">
      <c r="BL518" s="20"/>
      <c r="BM518" s="20"/>
      <c r="BN518" s="20"/>
      <c r="BO518" s="20"/>
      <c r="BP518" s="20"/>
      <c r="BQ518" s="20"/>
      <c r="BR518" s="20"/>
    </row>
    <row r="519" s="7" customFormat="1" spans="64:70">
      <c r="BL519" s="20"/>
      <c r="BM519" s="20"/>
      <c r="BN519" s="20"/>
      <c r="BO519" s="20"/>
      <c r="BP519" s="20"/>
      <c r="BQ519" s="20"/>
      <c r="BR519" s="20"/>
    </row>
    <row r="520" s="7" customFormat="1" spans="64:70">
      <c r="BL520" s="20"/>
      <c r="BM520" s="20"/>
      <c r="BN520" s="20"/>
      <c r="BO520" s="20"/>
      <c r="BP520" s="20"/>
      <c r="BQ520" s="20"/>
      <c r="BR520" s="20"/>
    </row>
    <row r="521" s="7" customFormat="1" spans="64:70">
      <c r="BL521" s="20"/>
      <c r="BM521" s="20"/>
      <c r="BN521" s="20"/>
      <c r="BO521" s="20"/>
      <c r="BP521" s="20"/>
      <c r="BQ521" s="20"/>
      <c r="BR521" s="20"/>
    </row>
    <row r="522" s="7" customFormat="1" spans="64:70">
      <c r="BL522" s="20"/>
      <c r="BM522" s="20"/>
      <c r="BN522" s="20"/>
      <c r="BO522" s="20"/>
      <c r="BP522" s="20"/>
      <c r="BQ522" s="20"/>
      <c r="BR522" s="20"/>
    </row>
    <row r="523" s="7" customFormat="1" spans="64:70">
      <c r="BL523" s="20"/>
      <c r="BM523" s="20"/>
      <c r="BN523" s="20"/>
      <c r="BO523" s="20"/>
      <c r="BP523" s="20"/>
      <c r="BQ523" s="20"/>
      <c r="BR523" s="20"/>
    </row>
    <row r="524" s="7" customFormat="1" spans="64:70">
      <c r="BL524" s="20"/>
      <c r="BM524" s="20"/>
      <c r="BN524" s="20"/>
      <c r="BO524" s="20"/>
      <c r="BP524" s="20"/>
      <c r="BQ524" s="20"/>
      <c r="BR524" s="20"/>
    </row>
    <row r="525" s="7" customFormat="1" spans="64:70">
      <c r="BL525" s="20"/>
      <c r="BM525" s="20"/>
      <c r="BN525" s="20"/>
      <c r="BO525" s="20"/>
      <c r="BP525" s="20"/>
      <c r="BQ525" s="20"/>
      <c r="BR525" s="20"/>
    </row>
    <row r="526" s="7" customFormat="1" spans="64:70">
      <c r="BL526" s="20"/>
      <c r="BM526" s="20"/>
      <c r="BN526" s="20"/>
      <c r="BO526" s="20"/>
      <c r="BP526" s="20"/>
      <c r="BQ526" s="20"/>
      <c r="BR526" s="20"/>
    </row>
    <row r="527" s="7" customFormat="1" spans="64:70">
      <c r="BL527" s="20"/>
      <c r="BM527" s="20"/>
      <c r="BN527" s="20"/>
      <c r="BO527" s="20"/>
      <c r="BP527" s="20"/>
      <c r="BQ527" s="20"/>
      <c r="BR527" s="20"/>
    </row>
    <row r="528" s="7" customFormat="1" spans="64:70">
      <c r="BL528" s="20"/>
      <c r="BM528" s="20"/>
      <c r="BN528" s="20"/>
      <c r="BO528" s="20"/>
      <c r="BP528" s="20"/>
      <c r="BQ528" s="20"/>
      <c r="BR528" s="20"/>
    </row>
    <row r="529" s="7" customFormat="1" spans="64:70">
      <c r="BL529" s="20"/>
      <c r="BM529" s="20"/>
      <c r="BN529" s="20"/>
      <c r="BO529" s="20"/>
      <c r="BP529" s="20"/>
      <c r="BQ529" s="20"/>
      <c r="BR529" s="20"/>
    </row>
    <row r="530" s="7" customFormat="1" spans="64:70">
      <c r="BL530" s="20"/>
      <c r="BM530" s="20"/>
      <c r="BN530" s="20"/>
      <c r="BO530" s="20"/>
      <c r="BP530" s="20"/>
      <c r="BQ530" s="20"/>
      <c r="BR530" s="20"/>
    </row>
    <row r="531" s="7" customFormat="1" spans="64:70">
      <c r="BL531" s="20"/>
      <c r="BM531" s="20"/>
      <c r="BN531" s="20"/>
      <c r="BO531" s="20"/>
      <c r="BP531" s="20"/>
      <c r="BQ531" s="20"/>
      <c r="BR531" s="20"/>
    </row>
    <row r="532" s="7" customFormat="1" spans="64:70">
      <c r="BL532" s="20"/>
      <c r="BM532" s="20"/>
      <c r="BN532" s="20"/>
      <c r="BO532" s="20"/>
      <c r="BP532" s="20"/>
      <c r="BQ532" s="20"/>
      <c r="BR532" s="20"/>
    </row>
    <row r="533" s="7" customFormat="1" spans="64:70">
      <c r="BL533" s="20"/>
      <c r="BM533" s="20"/>
      <c r="BN533" s="20"/>
      <c r="BO533" s="20"/>
      <c r="BP533" s="20"/>
      <c r="BQ533" s="20"/>
      <c r="BR533" s="20"/>
    </row>
    <row r="534" s="7" customFormat="1" spans="64:70">
      <c r="BL534" s="20"/>
      <c r="BM534" s="20"/>
      <c r="BN534" s="20"/>
      <c r="BO534" s="20"/>
      <c r="BP534" s="20"/>
      <c r="BQ534" s="20"/>
      <c r="BR534" s="20"/>
    </row>
    <row r="535" s="7" customFormat="1" spans="64:70">
      <c r="BL535" s="20"/>
      <c r="BM535" s="20"/>
      <c r="BN535" s="20"/>
      <c r="BO535" s="20"/>
      <c r="BP535" s="20"/>
      <c r="BQ535" s="20"/>
      <c r="BR535" s="20"/>
    </row>
    <row r="536" s="7" customFormat="1" spans="64:70">
      <c r="BL536" s="20"/>
      <c r="BM536" s="20"/>
      <c r="BN536" s="20"/>
      <c r="BO536" s="20"/>
      <c r="BP536" s="20"/>
      <c r="BQ536" s="20"/>
      <c r="BR536" s="20"/>
    </row>
    <row r="537" s="7" customFormat="1" spans="64:70">
      <c r="BL537" s="20"/>
      <c r="BM537" s="20"/>
      <c r="BN537" s="20"/>
      <c r="BO537" s="20"/>
      <c r="BP537" s="20"/>
      <c r="BQ537" s="20"/>
      <c r="BR537" s="20"/>
    </row>
    <row r="538" s="7" customFormat="1" spans="64:70">
      <c r="BL538" s="20"/>
      <c r="BM538" s="20"/>
      <c r="BN538" s="20"/>
      <c r="BO538" s="20"/>
      <c r="BP538" s="20"/>
      <c r="BQ538" s="20"/>
      <c r="BR538" s="20"/>
    </row>
    <row r="539" s="7" customFormat="1" spans="64:70">
      <c r="BL539" s="20"/>
      <c r="BM539" s="20"/>
      <c r="BN539" s="20"/>
      <c r="BO539" s="20"/>
      <c r="BP539" s="20"/>
      <c r="BQ539" s="20"/>
      <c r="BR539" s="20"/>
    </row>
    <row r="540" s="7" customFormat="1" spans="64:70">
      <c r="BL540" s="20"/>
      <c r="BM540" s="20"/>
      <c r="BN540" s="20"/>
      <c r="BO540" s="20"/>
      <c r="BP540" s="20"/>
      <c r="BQ540" s="20"/>
      <c r="BR540" s="20"/>
    </row>
    <row r="541" s="7" customFormat="1" spans="64:70">
      <c r="BL541" s="20"/>
      <c r="BM541" s="20"/>
      <c r="BN541" s="20"/>
      <c r="BO541" s="20"/>
      <c r="BP541" s="20"/>
      <c r="BQ541" s="20"/>
      <c r="BR541" s="20"/>
    </row>
    <row r="542" s="7" customFormat="1" spans="64:70">
      <c r="BL542" s="20"/>
      <c r="BM542" s="20"/>
      <c r="BN542" s="20"/>
      <c r="BO542" s="20"/>
      <c r="BP542" s="20"/>
      <c r="BQ542" s="20"/>
      <c r="BR542" s="20"/>
    </row>
    <row r="543" s="7" customFormat="1" spans="64:70">
      <c r="BL543" s="20"/>
      <c r="BM543" s="20"/>
      <c r="BN543" s="20"/>
      <c r="BO543" s="20"/>
      <c r="BP543" s="20"/>
      <c r="BQ543" s="20"/>
      <c r="BR543" s="20"/>
    </row>
    <row r="544" s="7" customFormat="1" spans="64:70">
      <c r="BL544" s="20"/>
      <c r="BM544" s="20"/>
      <c r="BN544" s="20"/>
      <c r="BO544" s="20"/>
      <c r="BP544" s="20"/>
      <c r="BQ544" s="20"/>
      <c r="BR544" s="20"/>
    </row>
    <row r="545" s="7" customFormat="1" spans="64:70">
      <c r="BL545" s="20"/>
      <c r="BM545" s="20"/>
      <c r="BN545" s="20"/>
      <c r="BO545" s="20"/>
      <c r="BP545" s="20"/>
      <c r="BQ545" s="20"/>
      <c r="BR545" s="20"/>
    </row>
    <row r="546" s="7" customFormat="1" spans="64:70">
      <c r="BL546" s="20"/>
      <c r="BM546" s="20"/>
      <c r="BN546" s="20"/>
      <c r="BO546" s="20"/>
      <c r="BP546" s="20"/>
      <c r="BQ546" s="20"/>
      <c r="BR546" s="20"/>
    </row>
    <row r="547" s="7" customFormat="1" spans="64:70">
      <c r="BL547" s="20"/>
      <c r="BM547" s="20"/>
      <c r="BN547" s="20"/>
      <c r="BO547" s="20"/>
      <c r="BP547" s="20"/>
      <c r="BQ547" s="20"/>
      <c r="BR547" s="20"/>
    </row>
    <row r="548" s="7" customFormat="1" spans="64:70">
      <c r="BL548" s="20"/>
      <c r="BM548" s="20"/>
      <c r="BN548" s="20"/>
      <c r="BO548" s="20"/>
      <c r="BP548" s="20"/>
      <c r="BQ548" s="20"/>
      <c r="BR548" s="20"/>
    </row>
    <row r="549" s="7" customFormat="1" spans="64:70">
      <c r="BL549" s="20"/>
      <c r="BM549" s="20"/>
      <c r="BN549" s="20"/>
      <c r="BO549" s="20"/>
      <c r="BP549" s="20"/>
      <c r="BQ549" s="20"/>
      <c r="BR549" s="20"/>
    </row>
    <row r="550" s="7" customFormat="1" spans="64:70">
      <c r="BL550" s="20"/>
      <c r="BM550" s="20"/>
      <c r="BN550" s="20"/>
      <c r="BO550" s="20"/>
      <c r="BP550" s="20"/>
      <c r="BQ550" s="20"/>
      <c r="BR550" s="20"/>
    </row>
    <row r="551" s="7" customFormat="1" spans="64:70">
      <c r="BL551" s="20"/>
      <c r="BM551" s="20"/>
      <c r="BN551" s="20"/>
      <c r="BO551" s="20"/>
      <c r="BP551" s="20"/>
      <c r="BQ551" s="20"/>
      <c r="BR551" s="20"/>
    </row>
    <row r="552" s="7" customFormat="1" spans="64:70">
      <c r="BL552" s="20"/>
      <c r="BM552" s="20"/>
      <c r="BN552" s="20"/>
      <c r="BO552" s="20"/>
      <c r="BP552" s="20"/>
      <c r="BQ552" s="20"/>
      <c r="BR552" s="20"/>
    </row>
    <row r="553" s="7" customFormat="1" spans="64:70">
      <c r="BL553" s="20"/>
      <c r="BM553" s="20"/>
      <c r="BN553" s="20"/>
      <c r="BO553" s="20"/>
      <c r="BP553" s="20"/>
      <c r="BQ553" s="20"/>
      <c r="BR553" s="20"/>
    </row>
    <row r="554" s="7" customFormat="1" spans="64:70">
      <c r="BL554" s="20"/>
      <c r="BM554" s="20"/>
      <c r="BN554" s="20"/>
      <c r="BO554" s="20"/>
      <c r="BP554" s="20"/>
      <c r="BQ554" s="20"/>
      <c r="BR554" s="20"/>
    </row>
    <row r="555" s="7" customFormat="1" spans="64:70">
      <c r="BL555" s="20"/>
      <c r="BM555" s="20"/>
      <c r="BN555" s="20"/>
      <c r="BO555" s="20"/>
      <c r="BP555" s="20"/>
      <c r="BQ555" s="20"/>
      <c r="BR555" s="20"/>
    </row>
    <row r="556" s="7" customFormat="1" spans="64:70">
      <c r="BL556" s="20"/>
      <c r="BM556" s="20"/>
      <c r="BN556" s="20"/>
      <c r="BO556" s="20"/>
      <c r="BP556" s="20"/>
      <c r="BQ556" s="20"/>
      <c r="BR556" s="20"/>
    </row>
    <row r="557" s="7" customFormat="1" spans="64:70">
      <c r="BL557" s="20"/>
      <c r="BM557" s="20"/>
      <c r="BN557" s="20"/>
      <c r="BO557" s="20"/>
      <c r="BP557" s="20"/>
      <c r="BQ557" s="20"/>
      <c r="BR557" s="20"/>
    </row>
    <row r="558" s="7" customFormat="1" spans="64:70">
      <c r="BL558" s="20"/>
      <c r="BM558" s="20"/>
      <c r="BN558" s="20"/>
      <c r="BO558" s="20"/>
      <c r="BP558" s="20"/>
      <c r="BQ558" s="20"/>
      <c r="BR558" s="20"/>
    </row>
    <row r="559" s="7" customFormat="1" spans="64:70">
      <c r="BL559" s="20"/>
      <c r="BM559" s="20"/>
      <c r="BN559" s="20"/>
      <c r="BO559" s="20"/>
      <c r="BP559" s="20"/>
      <c r="BQ559" s="20"/>
      <c r="BR559" s="20"/>
    </row>
    <row r="560" s="7" customFormat="1" spans="64:70">
      <c r="BL560" s="20"/>
      <c r="BM560" s="20"/>
      <c r="BN560" s="20"/>
      <c r="BO560" s="20"/>
      <c r="BP560" s="20"/>
      <c r="BQ560" s="20"/>
      <c r="BR560" s="20"/>
    </row>
    <row r="561" s="7" customFormat="1" spans="64:70">
      <c r="BL561" s="20"/>
      <c r="BM561" s="20"/>
      <c r="BN561" s="20"/>
      <c r="BO561" s="20"/>
      <c r="BP561" s="20"/>
      <c r="BQ561" s="20"/>
      <c r="BR561" s="20"/>
    </row>
    <row r="562" s="7" customFormat="1" spans="64:70">
      <c r="BL562" s="20"/>
      <c r="BM562" s="20"/>
      <c r="BN562" s="20"/>
      <c r="BO562" s="20"/>
      <c r="BP562" s="20"/>
      <c r="BQ562" s="20"/>
      <c r="BR562" s="20"/>
    </row>
    <row r="563" s="7" customFormat="1" spans="64:70">
      <c r="BL563" s="20"/>
      <c r="BM563" s="20"/>
      <c r="BN563" s="20"/>
      <c r="BO563" s="20"/>
      <c r="BP563" s="20"/>
      <c r="BQ563" s="20"/>
      <c r="BR563" s="20"/>
    </row>
    <row r="564" s="7" customFormat="1" spans="64:70">
      <c r="BL564" s="20"/>
      <c r="BM564" s="20"/>
      <c r="BN564" s="20"/>
      <c r="BO564" s="20"/>
      <c r="BP564" s="20"/>
      <c r="BQ564" s="20"/>
      <c r="BR564" s="20"/>
    </row>
    <row r="565" s="7" customFormat="1" spans="64:70">
      <c r="BL565" s="20"/>
      <c r="BM565" s="20"/>
      <c r="BN565" s="20"/>
      <c r="BO565" s="20"/>
      <c r="BP565" s="20"/>
      <c r="BQ565" s="20"/>
      <c r="BR565" s="20"/>
    </row>
    <row r="566" s="7" customFormat="1" spans="64:70">
      <c r="BL566" s="20"/>
      <c r="BM566" s="20"/>
      <c r="BN566" s="20"/>
      <c r="BO566" s="20"/>
      <c r="BP566" s="20"/>
      <c r="BQ566" s="20"/>
      <c r="BR566" s="20"/>
    </row>
    <row r="567" s="7" customFormat="1" spans="64:70">
      <c r="BL567" s="20"/>
      <c r="BM567" s="20"/>
      <c r="BN567" s="20"/>
      <c r="BO567" s="20"/>
      <c r="BP567" s="20"/>
      <c r="BQ567" s="20"/>
      <c r="BR567" s="20"/>
    </row>
    <row r="568" s="7" customFormat="1" spans="64:70">
      <c r="BL568" s="20"/>
      <c r="BM568" s="20"/>
      <c r="BN568" s="20"/>
      <c r="BO568" s="20"/>
      <c r="BP568" s="20"/>
      <c r="BQ568" s="20"/>
      <c r="BR568" s="20"/>
    </row>
    <row r="569" s="7" customFormat="1" spans="64:70">
      <c r="BL569" s="20"/>
      <c r="BM569" s="20"/>
      <c r="BN569" s="20"/>
      <c r="BO569" s="20"/>
      <c r="BP569" s="20"/>
      <c r="BQ569" s="20"/>
      <c r="BR569" s="20"/>
    </row>
    <row r="570" s="7" customFormat="1" spans="64:70">
      <c r="BL570" s="20"/>
      <c r="BM570" s="20"/>
      <c r="BN570" s="20"/>
      <c r="BO570" s="20"/>
      <c r="BP570" s="20"/>
      <c r="BQ570" s="20"/>
      <c r="BR570" s="20"/>
    </row>
    <row r="571" s="7" customFormat="1" spans="64:70">
      <c r="BL571" s="20"/>
      <c r="BM571" s="20"/>
      <c r="BN571" s="20"/>
      <c r="BO571" s="20"/>
      <c r="BP571" s="20"/>
      <c r="BQ571" s="20"/>
      <c r="BR571" s="20"/>
    </row>
    <row r="572" s="7" customFormat="1" spans="64:70">
      <c r="BL572" s="20"/>
      <c r="BM572" s="20"/>
      <c r="BN572" s="20"/>
      <c r="BO572" s="20"/>
      <c r="BP572" s="20"/>
      <c r="BQ572" s="20"/>
      <c r="BR572" s="20"/>
    </row>
    <row r="573" s="7" customFormat="1" spans="64:70">
      <c r="BL573" s="20"/>
      <c r="BM573" s="20"/>
      <c r="BN573" s="20"/>
      <c r="BO573" s="20"/>
      <c r="BP573" s="20"/>
      <c r="BQ573" s="20"/>
      <c r="BR573" s="20"/>
    </row>
    <row r="574" s="7" customFormat="1" spans="64:70">
      <c r="BL574" s="20"/>
      <c r="BM574" s="20"/>
      <c r="BN574" s="20"/>
      <c r="BO574" s="20"/>
      <c r="BP574" s="20"/>
      <c r="BQ574" s="20"/>
      <c r="BR574" s="20"/>
    </row>
    <row r="575" s="7" customFormat="1" spans="64:70">
      <c r="BL575" s="20"/>
      <c r="BM575" s="20"/>
      <c r="BN575" s="20"/>
      <c r="BO575" s="20"/>
      <c r="BP575" s="20"/>
      <c r="BQ575" s="20"/>
      <c r="BR575" s="20"/>
    </row>
    <row r="576" s="7" customFormat="1" spans="64:70">
      <c r="BL576" s="20"/>
      <c r="BM576" s="20"/>
      <c r="BN576" s="20"/>
      <c r="BO576" s="20"/>
      <c r="BP576" s="20"/>
      <c r="BQ576" s="20"/>
      <c r="BR576" s="20"/>
    </row>
    <row r="577" s="7" customFormat="1" spans="64:70">
      <c r="BL577" s="20"/>
      <c r="BM577" s="20"/>
      <c r="BN577" s="20"/>
      <c r="BO577" s="20"/>
      <c r="BP577" s="20"/>
      <c r="BQ577" s="20"/>
      <c r="BR577" s="20"/>
    </row>
    <row r="578" s="7" customFormat="1" spans="64:70">
      <c r="BL578" s="20"/>
      <c r="BM578" s="20"/>
      <c r="BN578" s="20"/>
      <c r="BO578" s="20"/>
      <c r="BP578" s="20"/>
      <c r="BQ578" s="20"/>
      <c r="BR578" s="20"/>
    </row>
    <row r="579" s="7" customFormat="1" spans="64:70">
      <c r="BL579" s="20"/>
      <c r="BM579" s="20"/>
      <c r="BN579" s="20"/>
      <c r="BO579" s="20"/>
      <c r="BP579" s="20"/>
      <c r="BQ579" s="20"/>
      <c r="BR579" s="20"/>
    </row>
    <row r="580" s="7" customFormat="1" spans="64:70">
      <c r="BL580" s="20"/>
      <c r="BM580" s="20"/>
      <c r="BN580" s="20"/>
      <c r="BO580" s="20"/>
      <c r="BP580" s="20"/>
      <c r="BQ580" s="20"/>
      <c r="BR580" s="20"/>
    </row>
    <row r="581" s="7" customFormat="1" spans="64:70">
      <c r="BL581" s="20"/>
      <c r="BM581" s="20"/>
      <c r="BN581" s="20"/>
      <c r="BO581" s="20"/>
      <c r="BP581" s="20"/>
      <c r="BQ581" s="20"/>
      <c r="BR581" s="20"/>
    </row>
    <row r="582" s="7" customFormat="1" spans="64:70">
      <c r="BL582" s="20"/>
      <c r="BM582" s="20"/>
      <c r="BN582" s="20"/>
      <c r="BO582" s="20"/>
      <c r="BP582" s="20"/>
      <c r="BQ582" s="20"/>
      <c r="BR582" s="20"/>
    </row>
    <row r="583" s="7" customFormat="1" spans="64:70">
      <c r="BL583" s="20"/>
      <c r="BM583" s="20"/>
      <c r="BN583" s="20"/>
      <c r="BO583" s="20"/>
      <c r="BP583" s="20"/>
      <c r="BQ583" s="20"/>
      <c r="BR583" s="20"/>
    </row>
    <row r="584" s="7" customFormat="1" spans="64:70">
      <c r="BL584" s="20"/>
      <c r="BM584" s="20"/>
      <c r="BN584" s="20"/>
      <c r="BO584" s="20"/>
      <c r="BP584" s="20"/>
      <c r="BQ584" s="20"/>
      <c r="BR584" s="20"/>
    </row>
    <row r="585" s="7" customFormat="1" spans="64:70">
      <c r="BL585" s="20"/>
      <c r="BM585" s="20"/>
      <c r="BN585" s="20"/>
      <c r="BO585" s="20"/>
      <c r="BP585" s="20"/>
      <c r="BQ585" s="20"/>
      <c r="BR585" s="20"/>
    </row>
    <row r="586" s="7" customFormat="1" spans="64:70">
      <c r="BL586" s="20"/>
      <c r="BM586" s="20"/>
      <c r="BN586" s="20"/>
      <c r="BO586" s="20"/>
      <c r="BP586" s="20"/>
      <c r="BQ586" s="20"/>
      <c r="BR586" s="20"/>
    </row>
    <row r="587" s="7" customFormat="1" spans="64:70">
      <c r="BL587" s="20"/>
      <c r="BM587" s="20"/>
      <c r="BN587" s="20"/>
      <c r="BO587" s="20"/>
      <c r="BP587" s="20"/>
      <c r="BQ587" s="20"/>
      <c r="BR587" s="20"/>
    </row>
    <row r="588" s="7" customFormat="1" spans="64:70">
      <c r="BL588" s="20"/>
      <c r="BM588" s="20"/>
      <c r="BN588" s="20"/>
      <c r="BO588" s="20"/>
      <c r="BP588" s="20"/>
      <c r="BQ588" s="20"/>
      <c r="BR588" s="20"/>
    </row>
    <row r="589" s="7" customFormat="1" spans="64:70">
      <c r="BL589" s="20"/>
      <c r="BM589" s="20"/>
      <c r="BN589" s="20"/>
      <c r="BO589" s="20"/>
      <c r="BP589" s="20"/>
      <c r="BQ589" s="20"/>
      <c r="BR589" s="20"/>
    </row>
    <row r="590" s="7" customFormat="1" spans="64:70">
      <c r="BL590" s="20"/>
      <c r="BM590" s="20"/>
      <c r="BN590" s="20"/>
      <c r="BO590" s="20"/>
      <c r="BP590" s="20"/>
      <c r="BQ590" s="20"/>
      <c r="BR590" s="20"/>
    </row>
    <row r="591" s="7" customFormat="1" spans="64:70">
      <c r="BL591" s="20"/>
      <c r="BM591" s="20"/>
      <c r="BN591" s="20"/>
      <c r="BO591" s="20"/>
      <c r="BP591" s="20"/>
      <c r="BQ591" s="20"/>
      <c r="BR591" s="20"/>
    </row>
    <row r="592" s="7" customFormat="1" spans="64:70">
      <c r="BL592" s="20"/>
      <c r="BM592" s="20"/>
      <c r="BN592" s="20"/>
      <c r="BO592" s="20"/>
      <c r="BP592" s="20"/>
      <c r="BQ592" s="20"/>
      <c r="BR592" s="20"/>
    </row>
    <row r="593" s="7" customFormat="1" spans="64:70">
      <c r="BL593" s="20"/>
      <c r="BM593" s="20"/>
      <c r="BN593" s="20"/>
      <c r="BO593" s="20"/>
      <c r="BP593" s="20"/>
      <c r="BQ593" s="20"/>
      <c r="BR593" s="20"/>
    </row>
    <row r="594" s="7" customFormat="1" spans="64:70">
      <c r="BL594" s="20"/>
      <c r="BM594" s="20"/>
      <c r="BN594" s="20"/>
      <c r="BO594" s="20"/>
      <c r="BP594" s="20"/>
      <c r="BQ594" s="20"/>
      <c r="BR594" s="20"/>
    </row>
    <row r="595" s="7" customFormat="1" spans="64:70">
      <c r="BL595" s="20"/>
      <c r="BM595" s="20"/>
      <c r="BN595" s="20"/>
      <c r="BO595" s="20"/>
      <c r="BP595" s="20"/>
      <c r="BQ595" s="20"/>
      <c r="BR595" s="20"/>
    </row>
    <row r="596" s="7" customFormat="1" spans="64:70">
      <c r="BL596" s="20"/>
      <c r="BM596" s="20"/>
      <c r="BN596" s="20"/>
      <c r="BO596" s="20"/>
      <c r="BP596" s="20"/>
      <c r="BQ596" s="20"/>
      <c r="BR596" s="20"/>
    </row>
    <row r="597" s="7" customFormat="1" spans="64:70">
      <c r="BL597" s="20"/>
      <c r="BM597" s="20"/>
      <c r="BN597" s="20"/>
      <c r="BO597" s="20"/>
      <c r="BP597" s="20"/>
      <c r="BQ597" s="20"/>
      <c r="BR597" s="20"/>
    </row>
    <row r="598" s="7" customFormat="1" spans="64:70">
      <c r="BL598" s="20"/>
      <c r="BM598" s="20"/>
      <c r="BN598" s="20"/>
      <c r="BO598" s="20"/>
      <c r="BP598" s="20"/>
      <c r="BQ598" s="20"/>
      <c r="BR598" s="20"/>
    </row>
  </sheetData>
  <autoFilter xmlns:etc="http://www.wps.cn/officeDocument/2017/etCustomData" ref="A2:BR331" etc:filterBottomFollowUsedRange="0">
    <extLst/>
  </autoFilter>
  <conditionalFormatting sqref="R3">
    <cfRule type="duplicateValues" dxfId="0" priority="6"/>
    <cfRule type="duplicateValues" dxfId="1" priority="5"/>
    <cfRule type="expression" dxfId="2" priority="4">
      <formula>AND(R5&lt;&gt;"",COUNTIF($A:$A,R5)&gt;1)</formula>
    </cfRule>
  </conditionalFormatting>
  <conditionalFormatting sqref="S4">
    <cfRule type="duplicateValues" dxfId="0" priority="12"/>
    <cfRule type="duplicateValues" dxfId="1" priority="11"/>
    <cfRule type="expression" dxfId="2" priority="10">
      <formula>AND(S5&lt;&gt;"",COUNTIF($A:$A,S5)&gt;1)</formula>
    </cfRule>
  </conditionalFormatting>
  <conditionalFormatting sqref="S5">
    <cfRule type="duplicateValues" dxfId="0" priority="9"/>
    <cfRule type="duplicateValues" dxfId="1" priority="8"/>
    <cfRule type="expression" dxfId="2" priority="7">
      <formula>AND(S6&lt;&gt;"",COUNTIF($A:$A,S6)&gt;1)</formula>
    </cfRule>
  </conditionalFormatting>
  <conditionalFormatting sqref="R11">
    <cfRule type="expression" dxfId="2" priority="57">
      <formula>AND(R13&lt;&gt;"",COUNTIF($A:$A,R13)&gt;1)</formula>
    </cfRule>
    <cfRule type="duplicateValues" dxfId="1" priority="58"/>
    <cfRule type="duplicateValues" dxfId="0" priority="59"/>
  </conditionalFormatting>
  <conditionalFormatting sqref="S12">
    <cfRule type="expression" dxfId="2" priority="79">
      <formula>AND(S13&lt;&gt;"",COUNTIF($A:$A,S13)&gt;1)</formula>
    </cfRule>
    <cfRule type="duplicateValues" dxfId="1" priority="80"/>
    <cfRule type="duplicateValues" dxfId="0" priority="81"/>
  </conditionalFormatting>
  <conditionalFormatting sqref="S13">
    <cfRule type="expression" dxfId="2" priority="74">
      <formula>AND(S14&lt;&gt;"",COUNTIF($A:$A,S14)&gt;1)</formula>
    </cfRule>
    <cfRule type="duplicateValues" dxfId="1" priority="75"/>
    <cfRule type="duplicateValues" dxfId="0" priority="76"/>
  </conditionalFormatting>
  <conditionalFormatting sqref="S16">
    <cfRule type="expression" dxfId="2" priority="69">
      <formula>AND(S17&lt;&gt;"",COUNTIF($A:$A,S17)&gt;1)</formula>
    </cfRule>
    <cfRule type="duplicateValues" dxfId="1" priority="70"/>
    <cfRule type="duplicateValues" dxfId="0" priority="71"/>
  </conditionalFormatting>
  <conditionalFormatting sqref="S17">
    <cfRule type="expression" dxfId="2" priority="64">
      <formula>AND(S18&lt;&gt;"",COUNTIF($A:$A,S18)&gt;1)</formula>
    </cfRule>
    <cfRule type="duplicateValues" dxfId="1" priority="65"/>
    <cfRule type="duplicateValues" dxfId="0" priority="66"/>
  </conditionalFormatting>
  <conditionalFormatting sqref="S24">
    <cfRule type="duplicateValues" dxfId="0" priority="60"/>
    <cfRule type="duplicateValues" dxfId="1" priority="61"/>
    <cfRule type="expression" dxfId="2" priority="62">
      <formula>AND(#REF!&lt;&gt;"",COUNTIF($A:$A,#REF!)&gt;1)</formula>
    </cfRule>
  </conditionalFormatting>
  <conditionalFormatting sqref="A53">
    <cfRule type="duplicateValues" dxfId="0" priority="109"/>
  </conditionalFormatting>
  <conditionalFormatting sqref="A54">
    <cfRule type="duplicateValues" dxfId="0" priority="108"/>
  </conditionalFormatting>
  <conditionalFormatting sqref="A55">
    <cfRule type="duplicateValues" dxfId="0" priority="107"/>
  </conditionalFormatting>
  <conditionalFormatting sqref="A70">
    <cfRule type="duplicateValues" dxfId="0" priority="97"/>
  </conditionalFormatting>
  <conditionalFormatting sqref="A71">
    <cfRule type="duplicateValues" dxfId="0" priority="96"/>
  </conditionalFormatting>
  <conditionalFormatting sqref="A72">
    <cfRule type="duplicateValues" dxfId="0" priority="95"/>
  </conditionalFormatting>
  <conditionalFormatting sqref="A167">
    <cfRule type="duplicateValues" dxfId="0" priority="119"/>
  </conditionalFormatting>
  <conditionalFormatting sqref="A168">
    <cfRule type="duplicateValues" dxfId="0" priority="118"/>
  </conditionalFormatting>
  <conditionalFormatting sqref="A169">
    <cfRule type="duplicateValues" dxfId="0" priority="117"/>
  </conditionalFormatting>
  <conditionalFormatting sqref="A170">
    <cfRule type="duplicateValues" dxfId="0" priority="116"/>
  </conditionalFormatting>
  <conditionalFormatting sqref="A3:A6">
    <cfRule type="duplicateValues" dxfId="0" priority="13"/>
  </conditionalFormatting>
  <conditionalFormatting sqref="A223:A225">
    <cfRule type="duplicateValues" dxfId="0" priority="112"/>
  </conditionalFormatting>
  <conditionalFormatting sqref="B3:B6">
    <cfRule type="duplicateValues" dxfId="0" priority="14"/>
  </conditionalFormatting>
  <conditionalFormatting sqref="B53:B55">
    <cfRule type="duplicateValues" dxfId="0" priority="106"/>
  </conditionalFormatting>
  <conditionalFormatting sqref="B70:B72">
    <cfRule type="duplicateValues" dxfId="0" priority="85"/>
  </conditionalFormatting>
  <conditionalFormatting sqref="B167:B170">
    <cfRule type="duplicateValues" dxfId="0" priority="123"/>
  </conditionalFormatting>
  <conditionalFormatting sqref="B223:B225">
    <cfRule type="duplicateValues" dxfId="0" priority="110"/>
  </conditionalFormatting>
  <conditionalFormatting sqref="R4:R6">
    <cfRule type="duplicateValues" dxfId="0" priority="3"/>
    <cfRule type="duplicateValues" dxfId="1" priority="2"/>
    <cfRule type="expression" dxfId="2" priority="1">
      <formula>AND(R6&lt;&gt;"",COUNTIF($A:$A,R6)&gt;1)</formula>
    </cfRule>
  </conditionalFormatting>
  <conditionalFormatting sqref="R12:R66">
    <cfRule type="expression" dxfId="2" priority="52">
      <formula>AND(R14&lt;&gt;"",COUNTIF($A:$A,R14)&gt;1)</formula>
    </cfRule>
    <cfRule type="duplicateValues" dxfId="1" priority="53"/>
    <cfRule type="duplicateValues" dxfId="0" priority="54"/>
  </conditionalFormatting>
  <conditionalFormatting sqref="R67:R130">
    <cfRule type="expression" dxfId="2" priority="45">
      <formula>AND(R68&lt;&gt;"",COUNTIF($A:$A,R68)&gt;1)</formula>
    </cfRule>
    <cfRule type="duplicateValues" dxfId="0" priority="48"/>
    <cfRule type="duplicateValues" dxfId="1" priority="49"/>
  </conditionalFormatting>
  <conditionalFormatting sqref="R131:R161">
    <cfRule type="expression" dxfId="2" priority="40">
      <formula>AND(R132&lt;&gt;"",COUNTIF($A:$A,R132)&gt;1)</formula>
    </cfRule>
    <cfRule type="duplicateValues" dxfId="0" priority="43"/>
    <cfRule type="duplicateValues" dxfId="1" priority="44"/>
  </conditionalFormatting>
  <conditionalFormatting sqref="R162:R194">
    <cfRule type="expression" dxfId="2" priority="35">
      <formula>AND(R163&lt;&gt;"",COUNTIF($A:$A,R163)&gt;1)</formula>
    </cfRule>
    <cfRule type="duplicateValues" dxfId="0" priority="38"/>
    <cfRule type="duplicateValues" dxfId="1" priority="39"/>
  </conditionalFormatting>
  <conditionalFormatting sqref="R195:R230">
    <cfRule type="expression" dxfId="2" priority="30">
      <formula>AND(R196&lt;&gt;"",COUNTIF($A:$A,R196)&gt;1)</formula>
    </cfRule>
    <cfRule type="duplicateValues" dxfId="0" priority="33"/>
    <cfRule type="duplicateValues" dxfId="1" priority="34"/>
  </conditionalFormatting>
  <conditionalFormatting sqref="R231:R253">
    <cfRule type="expression" dxfId="2" priority="25">
      <formula>AND(R232&lt;&gt;"",COUNTIF($A:$A,R232)&gt;1)</formula>
    </cfRule>
    <cfRule type="duplicateValues" dxfId="0" priority="28"/>
    <cfRule type="duplicateValues" dxfId="1" priority="29"/>
  </conditionalFormatting>
  <conditionalFormatting sqref="R254:R285">
    <cfRule type="expression" dxfId="2" priority="20">
      <formula>AND(R255&lt;&gt;"",COUNTIF($A:$A,R255)&gt;1)</formula>
    </cfRule>
    <cfRule type="duplicateValues" dxfId="0" priority="23"/>
    <cfRule type="duplicateValues" dxfId="1" priority="24"/>
  </conditionalFormatting>
  <conditionalFormatting sqref="R286:R331">
    <cfRule type="expression" dxfId="2" priority="15">
      <formula>AND(R287&lt;&gt;"",COUNTIF($A:$A,R287)&gt;1)</formula>
    </cfRule>
    <cfRule type="duplicateValues" dxfId="0" priority="18"/>
    <cfRule type="duplicateValues" dxfId="1" priority="19"/>
  </conditionalFormatting>
  <conditionalFormatting sqref="A1:A2 A7:A52 A56:A69 A73:A166 A171:A222 A226:A1048576">
    <cfRule type="duplicateValues" dxfId="0" priority="132"/>
  </conditionalFormatting>
  <conditionalFormatting sqref="B1:B2 B7:B52 B56:B69 B73:B166 B171:B222 B226:B1048576">
    <cfRule type="duplicateValues" dxfId="0" priority="133"/>
  </conditionalFormatting>
  <dataValidations count="1">
    <dataValidation type="whole" operator="between" allowBlank="1" showInputMessage="1" showErrorMessage="1" sqref="S24 R3:R6 R11:R331 S4:S5 S12:S13 S16:S17">
      <formula1>40000001</formula1>
      <formula2>49999999</formula2>
    </dataValidation>
  </dataValidations>
  <pageMargins left="0.699306" right="0.69930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workbookViewId="0">
      <selection activeCell="F43" sqref="F43"/>
    </sheetView>
  </sheetViews>
  <sheetFormatPr defaultColWidth="9" defaultRowHeight="14.25"/>
  <cols>
    <col min="1" max="1" width="12.3666666666667" style="7" customWidth="1"/>
    <col min="2" max="4" width="8.18333333333333" style="7" customWidth="1"/>
    <col min="5" max="5" width="12.3666666666667" style="7" customWidth="1"/>
    <col min="6" max="7" width="15.5083333333333" style="7" customWidth="1"/>
    <col min="8" max="8" width="60.0916666666667" style="7" customWidth="1"/>
    <col min="9" max="16384" width="15.5083333333333" style="7" customWidth="1"/>
  </cols>
  <sheetData>
    <row r="1" spans="1:10">
      <c r="A1" s="7" t="s">
        <v>907</v>
      </c>
      <c r="B1" s="7" t="s">
        <v>908</v>
      </c>
      <c r="C1" s="7" t="s">
        <v>909</v>
      </c>
      <c r="D1" s="7" t="s">
        <v>908</v>
      </c>
      <c r="E1" s="7" t="s">
        <v>910</v>
      </c>
      <c r="J1" s="7" t="s">
        <v>911</v>
      </c>
    </row>
    <row r="2" spans="1:10">
      <c r="A2" s="7" t="s">
        <v>136</v>
      </c>
      <c r="B2" s="7">
        <v>1</v>
      </c>
      <c r="C2" s="7" t="s">
        <v>137</v>
      </c>
      <c r="D2" s="7">
        <v>1</v>
      </c>
      <c r="E2" s="7" t="s">
        <v>906</v>
      </c>
      <c r="J2" s="7" t="s">
        <v>912</v>
      </c>
    </row>
    <row r="3" spans="1:10">
      <c r="A3" s="7" t="s">
        <v>238</v>
      </c>
      <c r="B3" s="7">
        <v>2</v>
      </c>
      <c r="C3" s="7" t="s">
        <v>221</v>
      </c>
      <c r="D3" s="7">
        <v>2</v>
      </c>
      <c r="E3" s="7" t="s">
        <v>913</v>
      </c>
      <c r="G3" s="10" t="s">
        <v>914</v>
      </c>
      <c r="H3" s="10"/>
      <c r="I3" s="10"/>
      <c r="J3" s="7" t="s">
        <v>915</v>
      </c>
    </row>
    <row r="4" spans="1:10">
      <c r="A4" s="7" t="s">
        <v>258</v>
      </c>
      <c r="B4" s="7">
        <v>3</v>
      </c>
      <c r="C4" s="7" t="s">
        <v>916</v>
      </c>
      <c r="D4" s="7">
        <v>3</v>
      </c>
      <c r="E4" s="7" t="s">
        <v>917</v>
      </c>
      <c r="G4" s="10" t="s">
        <v>918</v>
      </c>
      <c r="H4" s="11" t="s">
        <v>919</v>
      </c>
      <c r="I4" s="10"/>
      <c r="J4" s="7" t="s">
        <v>920</v>
      </c>
    </row>
    <row r="5" spans="1:10">
      <c r="A5" s="7" t="s">
        <v>280</v>
      </c>
      <c r="B5" s="7">
        <v>4</v>
      </c>
      <c r="C5" s="7" t="s">
        <v>233</v>
      </c>
      <c r="D5" s="7">
        <v>4</v>
      </c>
      <c r="E5" s="7" t="s">
        <v>921</v>
      </c>
      <c r="G5" s="10" t="s">
        <v>922</v>
      </c>
      <c r="H5" s="12" t="s">
        <v>923</v>
      </c>
      <c r="I5" s="10"/>
      <c r="J5" s="7" t="s">
        <v>924</v>
      </c>
    </row>
    <row r="6" spans="1:10">
      <c r="A6" s="7" t="s">
        <v>292</v>
      </c>
      <c r="B6" s="7">
        <v>5</v>
      </c>
      <c r="C6" s="7" t="s">
        <v>925</v>
      </c>
      <c r="D6" s="7">
        <v>5</v>
      </c>
      <c r="E6" s="7" t="s">
        <v>926</v>
      </c>
      <c r="G6" s="10" t="s">
        <v>927</v>
      </c>
      <c r="H6" s="13"/>
      <c r="I6" s="10"/>
      <c r="J6" s="7" t="s">
        <v>928</v>
      </c>
    </row>
    <row r="7" spans="1:10">
      <c r="A7" s="7" t="s">
        <v>318</v>
      </c>
      <c r="B7" s="7">
        <v>6</v>
      </c>
      <c r="C7" s="7" t="s">
        <v>929</v>
      </c>
      <c r="D7" s="7">
        <v>6</v>
      </c>
      <c r="E7" s="7" t="s">
        <v>921</v>
      </c>
      <c r="G7" s="10" t="s">
        <v>930</v>
      </c>
      <c r="H7" s="13"/>
      <c r="I7" s="10"/>
      <c r="J7" s="7" t="s">
        <v>931</v>
      </c>
    </row>
    <row r="8" spans="1:10">
      <c r="A8" s="7" t="s">
        <v>331</v>
      </c>
      <c r="B8" s="7">
        <v>7</v>
      </c>
      <c r="C8" s="7" t="s">
        <v>932</v>
      </c>
      <c r="D8" s="7">
        <v>7</v>
      </c>
      <c r="E8" s="7" t="s">
        <v>921</v>
      </c>
      <c r="G8" s="10" t="s">
        <v>933</v>
      </c>
      <c r="H8" s="10" t="s">
        <v>934</v>
      </c>
      <c r="I8" s="10"/>
      <c r="J8" s="7" t="s">
        <v>935</v>
      </c>
    </row>
    <row r="9" spans="1:10">
      <c r="A9" s="7" t="s">
        <v>348</v>
      </c>
      <c r="B9" s="7">
        <v>8</v>
      </c>
      <c r="D9" s="7">
        <v>8</v>
      </c>
      <c r="G9" s="10" t="s">
        <v>936</v>
      </c>
      <c r="H9" s="13" t="s">
        <v>937</v>
      </c>
      <c r="I9" s="10"/>
      <c r="J9" s="7" t="s">
        <v>938</v>
      </c>
    </row>
    <row r="10" spans="1:10">
      <c r="A10" s="7" t="s">
        <v>364</v>
      </c>
      <c r="B10" s="7">
        <v>9</v>
      </c>
      <c r="D10" s="7">
        <v>9</v>
      </c>
      <c r="G10" s="10" t="s">
        <v>939</v>
      </c>
      <c r="H10" s="13"/>
      <c r="I10" s="10"/>
      <c r="J10" s="7" t="s">
        <v>940</v>
      </c>
    </row>
    <row r="11" spans="1:10">
      <c r="A11" s="7" t="s">
        <v>383</v>
      </c>
      <c r="B11" s="7">
        <v>10</v>
      </c>
      <c r="D11" s="7">
        <v>10</v>
      </c>
      <c r="G11" s="10" t="s">
        <v>941</v>
      </c>
      <c r="H11" s="13"/>
      <c r="I11" s="10"/>
      <c r="J11" s="7" t="s">
        <v>942</v>
      </c>
    </row>
    <row r="12" spans="1:10">
      <c r="A12" s="7" t="s">
        <v>415</v>
      </c>
      <c r="B12" s="7">
        <v>11</v>
      </c>
      <c r="D12" s="7">
        <v>11</v>
      </c>
      <c r="J12" s="7" t="s">
        <v>943</v>
      </c>
    </row>
    <row r="13" spans="1:10">
      <c r="A13" s="7" t="s">
        <v>433</v>
      </c>
      <c r="B13" s="7">
        <v>12</v>
      </c>
    </row>
    <row r="14" spans="1:10">
      <c r="A14" s="7" t="s">
        <v>448</v>
      </c>
      <c r="B14" s="7">
        <v>13</v>
      </c>
    </row>
    <row r="15" spans="1:10">
      <c r="A15" s="7" t="s">
        <v>462</v>
      </c>
      <c r="B15" s="7">
        <v>14</v>
      </c>
    </row>
    <row r="16" spans="1:10">
      <c r="A16" s="7" t="s">
        <v>477</v>
      </c>
      <c r="B16" s="7">
        <v>15</v>
      </c>
    </row>
    <row r="17" spans="1:7">
      <c r="A17" s="7" t="s">
        <v>497</v>
      </c>
      <c r="B17" s="7">
        <v>16</v>
      </c>
      <c r="F17" s="7" t="s">
        <v>944</v>
      </c>
      <c r="G17" s="7" t="s">
        <v>945</v>
      </c>
    </row>
    <row r="18" spans="1:7">
      <c r="A18" s="7" t="s">
        <v>518</v>
      </c>
      <c r="B18" s="7">
        <v>17</v>
      </c>
      <c r="G18" s="7" t="s">
        <v>946</v>
      </c>
    </row>
    <row r="19" spans="1:7">
      <c r="A19" s="7" t="s">
        <v>531</v>
      </c>
      <c r="B19" s="7">
        <v>18</v>
      </c>
    </row>
    <row r="20" spans="1:7">
      <c r="A20" s="7" t="s">
        <v>544</v>
      </c>
      <c r="B20" s="7">
        <v>19</v>
      </c>
      <c r="F20" s="7" t="s">
        <v>947</v>
      </c>
    </row>
    <row r="21" spans="1:7">
      <c r="A21" s="7" t="s">
        <v>552</v>
      </c>
      <c r="B21" s="7">
        <v>20</v>
      </c>
      <c r="F21" s="7" t="s">
        <v>948</v>
      </c>
    </row>
    <row r="22" spans="1:7">
      <c r="A22" s="7" t="s">
        <v>568</v>
      </c>
      <c r="B22" s="7">
        <v>21</v>
      </c>
      <c r="F22" s="7" t="s">
        <v>949</v>
      </c>
    </row>
    <row r="23" spans="1:7">
      <c r="A23" s="7" t="s">
        <v>581</v>
      </c>
      <c r="B23" s="7">
        <v>22</v>
      </c>
      <c r="F23" s="7" t="s">
        <v>950</v>
      </c>
    </row>
    <row r="24" spans="1:7">
      <c r="A24" s="7" t="s">
        <v>595</v>
      </c>
      <c r="B24" s="7">
        <v>23</v>
      </c>
    </row>
    <row r="25" spans="1:7">
      <c r="A25" s="7" t="s">
        <v>609</v>
      </c>
      <c r="B25" s="7">
        <v>24</v>
      </c>
      <c r="F25" s="14" t="s">
        <v>951</v>
      </c>
    </row>
    <row r="26" spans="1:7">
      <c r="A26" s="7" t="s">
        <v>620</v>
      </c>
      <c r="B26" s="7">
        <v>25</v>
      </c>
    </row>
    <row r="27" spans="1:7">
      <c r="A27" s="7" t="s">
        <v>642</v>
      </c>
      <c r="B27" s="7">
        <v>26</v>
      </c>
    </row>
    <row r="28" spans="1:7">
      <c r="A28" s="7" t="s">
        <v>669</v>
      </c>
      <c r="B28" s="7">
        <v>27</v>
      </c>
    </row>
    <row r="29" spans="1:7">
      <c r="A29" s="7" t="s">
        <v>679</v>
      </c>
      <c r="B29" s="7">
        <v>28</v>
      </c>
    </row>
    <row r="30" spans="1:7">
      <c r="A30" s="7" t="s">
        <v>687</v>
      </c>
      <c r="B30" s="7">
        <v>29</v>
      </c>
    </row>
    <row r="31" spans="1:7">
      <c r="A31" s="7" t="s">
        <v>704</v>
      </c>
      <c r="B31" s="7">
        <v>30</v>
      </c>
    </row>
    <row r="32" spans="1:7">
      <c r="A32" s="7" t="s">
        <v>718</v>
      </c>
      <c r="B32" s="7">
        <v>31</v>
      </c>
    </row>
    <row r="33" spans="1:2">
      <c r="A33" s="7" t="s">
        <v>738</v>
      </c>
      <c r="B33" s="7">
        <v>32</v>
      </c>
    </row>
    <row r="34" spans="1:2">
      <c r="A34" s="7" t="s">
        <v>759</v>
      </c>
      <c r="B34" s="7">
        <v>33</v>
      </c>
    </row>
    <row r="35" spans="1:2">
      <c r="A35" s="7" t="s">
        <v>779</v>
      </c>
      <c r="B35" s="7">
        <v>34</v>
      </c>
    </row>
    <row r="36" spans="1:2">
      <c r="A36" s="7" t="s">
        <v>798</v>
      </c>
      <c r="B36" s="7">
        <v>35</v>
      </c>
    </row>
    <row r="37" spans="1:2">
      <c r="A37" s="7" t="s">
        <v>813</v>
      </c>
      <c r="B37" s="7">
        <v>36</v>
      </c>
    </row>
    <row r="38" spans="1:2">
      <c r="A38" s="7" t="s">
        <v>827</v>
      </c>
      <c r="B38" s="7">
        <v>37</v>
      </c>
    </row>
    <row r="39" spans="1:2">
      <c r="A39" s="7" t="s">
        <v>841</v>
      </c>
      <c r="B39" s="7">
        <v>38</v>
      </c>
    </row>
    <row r="40" spans="1:2">
      <c r="A40" s="7" t="s">
        <v>862</v>
      </c>
      <c r="B40" s="7">
        <v>39</v>
      </c>
    </row>
    <row r="41" spans="1:2">
      <c r="A41" s="7" t="s">
        <v>880</v>
      </c>
      <c r="B41" s="7">
        <v>40</v>
      </c>
    </row>
    <row r="42" spans="1:2">
      <c r="B42" s="7">
        <v>41</v>
      </c>
    </row>
    <row r="43" spans="1:2">
      <c r="B43" s="7">
        <v>42</v>
      </c>
    </row>
    <row r="44" spans="1:2">
      <c r="B44" s="7">
        <v>43</v>
      </c>
    </row>
    <row r="45" spans="1:2">
      <c r="B45" s="7">
        <v>44</v>
      </c>
    </row>
    <row r="46" spans="1:2">
      <c r="B46" s="7">
        <v>45</v>
      </c>
    </row>
    <row r="47" spans="1:2">
      <c r="B47" s="7">
        <v>46</v>
      </c>
    </row>
    <row r="48" spans="1:2">
      <c r="B48" s="7">
        <v>47</v>
      </c>
    </row>
    <row r="49" spans="2:2">
      <c r="B49" s="7">
        <v>48</v>
      </c>
    </row>
    <row r="50" spans="2:2">
      <c r="B50" s="7">
        <v>49</v>
      </c>
    </row>
    <row r="51" spans="2:2">
      <c r="B51" s="7">
        <v>50</v>
      </c>
    </row>
    <row r="52" spans="2:2">
      <c r="B52" s="7">
        <v>51</v>
      </c>
    </row>
    <row r="53" spans="2:2">
      <c r="B53" s="7">
        <v>52</v>
      </c>
    </row>
    <row r="54" spans="2:2">
      <c r="B54" s="7">
        <v>53</v>
      </c>
    </row>
    <row r="55" spans="2:2">
      <c r="B55" s="7">
        <v>54</v>
      </c>
    </row>
    <row r="56" spans="2:2">
      <c r="B56" s="7">
        <v>55</v>
      </c>
    </row>
    <row r="57" spans="2:2">
      <c r="B57" s="7">
        <v>56</v>
      </c>
    </row>
    <row r="58" spans="2:2">
      <c r="B58" s="7">
        <v>57</v>
      </c>
    </row>
    <row r="73" spans="3:3">
      <c r="C73" s="7" t="s">
        <v>952</v>
      </c>
    </row>
    <row r="74" spans="3:3">
      <c r="C74" s="7" t="s">
        <v>953</v>
      </c>
    </row>
    <row r="75" spans="3:3">
      <c r="C75" s="7" t="s">
        <v>954</v>
      </c>
    </row>
    <row r="76" spans="3:3">
      <c r="C76" s="7" t="s">
        <v>955</v>
      </c>
    </row>
    <row r="77" spans="3:3">
      <c r="C77" s="7" t="s">
        <v>956</v>
      </c>
    </row>
    <row r="78" spans="3:3">
      <c r="C78" s="7" t="s">
        <v>957</v>
      </c>
    </row>
    <row r="79" spans="3:3">
      <c r="C79" s="7" t="s">
        <v>958</v>
      </c>
    </row>
    <row r="80" spans="3:3">
      <c r="C80" s="7" t="s">
        <v>959</v>
      </c>
    </row>
    <row r="81" spans="3:3">
      <c r="C81" s="7" t="s">
        <v>960</v>
      </c>
    </row>
    <row r="82" spans="3:3">
      <c r="C82" s="7" t="s">
        <v>961</v>
      </c>
    </row>
    <row r="83" spans="3:3">
      <c r="C83" s="7" t="s">
        <v>962</v>
      </c>
    </row>
    <row r="84" spans="3:3">
      <c r="C84" s="7" t="s">
        <v>963</v>
      </c>
    </row>
    <row r="85" spans="3:3">
      <c r="C85" s="7" t="s">
        <v>964</v>
      </c>
    </row>
    <row r="98" spans="3:3">
      <c r="C98" s="7" t="s">
        <v>965</v>
      </c>
    </row>
    <row r="102" spans="3:3">
      <c r="C102" s="7" t="s">
        <v>966</v>
      </c>
    </row>
    <row r="103" spans="3:3">
      <c r="C103" s="7" t="s">
        <v>967</v>
      </c>
    </row>
    <row r="113" spans="3:4">
      <c r="C113" s="7" t="s">
        <v>968</v>
      </c>
      <c r="D113" s="7" t="s">
        <v>969</v>
      </c>
    </row>
    <row r="114" spans="3:4">
      <c r="C114" s="7" t="s">
        <v>970</v>
      </c>
      <c r="D114" s="7" t="s">
        <v>971</v>
      </c>
    </row>
    <row r="115" spans="3:4">
      <c r="C115" s="7" t="s">
        <v>972</v>
      </c>
      <c r="D115" s="7" t="s">
        <v>973</v>
      </c>
    </row>
    <row r="116" spans="3:4">
      <c r="C116" s="7" t="s">
        <v>974</v>
      </c>
      <c r="D116" s="7" t="s">
        <v>975</v>
      </c>
    </row>
    <row r="117" spans="3:4">
      <c r="C117" s="7" t="s">
        <v>976</v>
      </c>
      <c r="D117" s="7" t="s">
        <v>977</v>
      </c>
    </row>
    <row r="118" spans="3:4">
      <c r="C118" s="7" t="s">
        <v>978</v>
      </c>
      <c r="D118" s="7" t="s">
        <v>979</v>
      </c>
    </row>
    <row r="119" spans="3:4">
      <c r="C119" s="7" t="s">
        <v>980</v>
      </c>
      <c r="D119" s="7" t="s">
        <v>981</v>
      </c>
    </row>
    <row r="120" spans="3:4">
      <c r="C120" s="7" t="s">
        <v>982</v>
      </c>
    </row>
  </sheetData>
  <mergeCells count="2">
    <mergeCell ref="H5:H7"/>
    <mergeCell ref="H9:H11"/>
  </mergeCells>
  <pageMargins left="0.699306" right="0.69930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1"/>
  <sheetViews>
    <sheetView workbookViewId="0">
      <selection activeCell="G550" sqref="G550"/>
    </sheetView>
  </sheetViews>
  <sheetFormatPr defaultColWidth="9" defaultRowHeight="14.25"/>
  <cols>
    <col min="1" max="1" width="18.5083333333333" customWidth="1"/>
    <col min="3" max="3" width="3" customWidth="1"/>
    <col min="5" max="5" width="14.625" style="4" customWidth="1"/>
    <col min="6" max="6" width="19.5083333333333" customWidth="1"/>
    <col min="8" max="8" width="11.375" customWidth="1"/>
    <col min="11" max="11" width="13.625" customWidth="1"/>
  </cols>
  <sheetData>
    <row r="1" spans="1:18">
      <c r="A1" s="5" t="s">
        <v>74</v>
      </c>
      <c r="C1" s="5"/>
      <c r="E1" s="6" t="s">
        <v>983</v>
      </c>
      <c r="F1" s="7" t="s">
        <v>984</v>
      </c>
      <c r="H1" s="7" t="s">
        <v>985</v>
      </c>
      <c r="K1" t="s">
        <v>986</v>
      </c>
      <c r="N1" t="s">
        <v>987</v>
      </c>
      <c r="O1" t="s">
        <v>988</v>
      </c>
      <c r="Q1" t="s">
        <v>989</v>
      </c>
      <c r="R1" t="s">
        <v>990</v>
      </c>
    </row>
    <row r="2" spans="1:18">
      <c r="A2" s="5" t="s">
        <v>909</v>
      </c>
      <c r="C2" s="5"/>
      <c r="E2" s="6" t="s">
        <v>991</v>
      </c>
      <c r="F2" s="7" t="s">
        <v>992</v>
      </c>
      <c r="H2" s="7" t="s">
        <v>993</v>
      </c>
      <c r="K2" t="s">
        <v>994</v>
      </c>
      <c r="N2">
        <v>1</v>
      </c>
      <c r="O2" t="s">
        <v>913</v>
      </c>
      <c r="Q2" s="8" t="s">
        <v>995</v>
      </c>
      <c r="R2" s="8" t="s">
        <v>996</v>
      </c>
    </row>
    <row r="3" spans="1:18">
      <c r="A3" s="7" t="s">
        <v>997</v>
      </c>
      <c r="C3" s="7" t="s">
        <v>998</v>
      </c>
      <c r="E3" s="6" t="s">
        <v>999</v>
      </c>
      <c r="F3" s="7" t="s">
        <v>1000</v>
      </c>
      <c r="H3" s="7" t="s">
        <v>1001</v>
      </c>
      <c r="K3" t="s">
        <v>1002</v>
      </c>
      <c r="N3">
        <v>2</v>
      </c>
      <c r="O3" t="s">
        <v>913</v>
      </c>
      <c r="Q3" s="9" t="s">
        <v>1003</v>
      </c>
      <c r="R3" s="9" t="s">
        <v>1004</v>
      </c>
    </row>
    <row r="4" spans="1:18">
      <c r="A4" s="7" t="s">
        <v>1005</v>
      </c>
      <c r="C4" s="7" t="s">
        <v>138</v>
      </c>
      <c r="E4" s="6" t="s">
        <v>1006</v>
      </c>
      <c r="F4" s="7" t="s">
        <v>1007</v>
      </c>
      <c r="H4" s="7" t="s">
        <v>1008</v>
      </c>
      <c r="K4" t="s">
        <v>1009</v>
      </c>
      <c r="N4">
        <v>3</v>
      </c>
      <c r="O4" t="s">
        <v>913</v>
      </c>
      <c r="Q4" s="8" t="s">
        <v>1010</v>
      </c>
      <c r="R4" s="8" t="s">
        <v>1011</v>
      </c>
    </row>
    <row r="5" spans="1:18">
      <c r="A5" s="7" t="s">
        <v>1012</v>
      </c>
      <c r="E5" s="6" t="s">
        <v>1013</v>
      </c>
      <c r="F5" s="7" t="s">
        <v>1014</v>
      </c>
      <c r="H5" s="7" t="s">
        <v>1015</v>
      </c>
      <c r="N5">
        <v>4</v>
      </c>
      <c r="O5" t="s">
        <v>913</v>
      </c>
      <c r="Q5" s="8" t="s">
        <v>1016</v>
      </c>
      <c r="R5" s="8" t="s">
        <v>1017</v>
      </c>
    </row>
    <row r="6" spans="1:18">
      <c r="A6" s="7" t="s">
        <v>1018</v>
      </c>
      <c r="E6" s="6" t="s">
        <v>1019</v>
      </c>
      <c r="F6" s="7" t="s">
        <v>1020</v>
      </c>
      <c r="H6" s="7" t="s">
        <v>1021</v>
      </c>
      <c r="N6">
        <v>5</v>
      </c>
      <c r="O6" t="s">
        <v>913</v>
      </c>
    </row>
    <row r="7" spans="1:18">
      <c r="A7" s="7" t="s">
        <v>1022</v>
      </c>
      <c r="E7" s="6" t="s">
        <v>1023</v>
      </c>
      <c r="H7" s="7" t="s">
        <v>1024</v>
      </c>
      <c r="N7">
        <v>6</v>
      </c>
      <c r="O7" t="s">
        <v>913</v>
      </c>
    </row>
    <row r="8" spans="1:18">
      <c r="E8" s="6" t="s">
        <v>1025</v>
      </c>
      <c r="H8" s="7" t="s">
        <v>1026</v>
      </c>
      <c r="N8">
        <v>7</v>
      </c>
      <c r="O8" t="s">
        <v>913</v>
      </c>
    </row>
    <row r="9" spans="1:18">
      <c r="E9" s="6" t="s">
        <v>1027</v>
      </c>
      <c r="H9" s="7" t="s">
        <v>1028</v>
      </c>
      <c r="N9">
        <v>8</v>
      </c>
      <c r="O9" t="s">
        <v>913</v>
      </c>
    </row>
    <row r="10" spans="1:18">
      <c r="E10" s="6" t="s">
        <v>1029</v>
      </c>
      <c r="N10">
        <v>9</v>
      </c>
      <c r="O10" t="s">
        <v>913</v>
      </c>
    </row>
    <row r="11" spans="1:18">
      <c r="N11">
        <v>10</v>
      </c>
      <c r="O11" t="s">
        <v>913</v>
      </c>
    </row>
    <row r="12" spans="1:18">
      <c r="N12">
        <v>11</v>
      </c>
      <c r="O12" t="s">
        <v>913</v>
      </c>
    </row>
    <row r="13" spans="1:18">
      <c r="N13">
        <v>12</v>
      </c>
      <c r="O13" t="s">
        <v>913</v>
      </c>
    </row>
    <row r="14" spans="1:18">
      <c r="N14">
        <v>13</v>
      </c>
      <c r="O14" t="s">
        <v>913</v>
      </c>
    </row>
    <row r="15" spans="1:18">
      <c r="N15">
        <v>14</v>
      </c>
      <c r="O15" t="s">
        <v>913</v>
      </c>
    </row>
    <row r="16" spans="1:18">
      <c r="N16">
        <v>15</v>
      </c>
      <c r="O16" t="s">
        <v>1030</v>
      </c>
    </row>
    <row r="17" spans="1:15">
      <c r="N17">
        <v>16</v>
      </c>
      <c r="O17" t="s">
        <v>1030</v>
      </c>
    </row>
    <row r="18" spans="1:15">
      <c r="N18">
        <v>17</v>
      </c>
      <c r="O18" t="s">
        <v>1030</v>
      </c>
    </row>
    <row r="19" spans="1:15">
      <c r="N19">
        <v>18</v>
      </c>
      <c r="O19" t="s">
        <v>1030</v>
      </c>
    </row>
    <row r="20" spans="1:15">
      <c r="N20">
        <v>19</v>
      </c>
      <c r="O20" t="s">
        <v>1030</v>
      </c>
    </row>
    <row r="21" spans="1:15">
      <c r="A21" s="7" t="s">
        <v>1031</v>
      </c>
      <c r="N21">
        <v>20</v>
      </c>
      <c r="O21" t="s">
        <v>1030</v>
      </c>
    </row>
    <row r="22" spans="1:15">
      <c r="A22" s="7" t="s">
        <v>1032</v>
      </c>
      <c r="N22">
        <v>21</v>
      </c>
      <c r="O22" t="s">
        <v>1030</v>
      </c>
    </row>
    <row r="23" spans="1:15">
      <c r="A23" s="7" t="s">
        <v>1033</v>
      </c>
      <c r="N23">
        <v>22</v>
      </c>
      <c r="O23" t="s">
        <v>1030</v>
      </c>
    </row>
    <row r="24" spans="1:15">
      <c r="A24" s="7" t="s">
        <v>1034</v>
      </c>
      <c r="N24">
        <v>23</v>
      </c>
      <c r="O24" t="s">
        <v>1030</v>
      </c>
    </row>
    <row r="25" spans="1:15">
      <c r="A25" s="7" t="s">
        <v>1035</v>
      </c>
      <c r="N25">
        <v>24</v>
      </c>
      <c r="O25" t="s">
        <v>1030</v>
      </c>
    </row>
    <row r="26" spans="1:15">
      <c r="A26" s="7" t="s">
        <v>1036</v>
      </c>
      <c r="N26">
        <v>25</v>
      </c>
      <c r="O26" t="s">
        <v>1030</v>
      </c>
    </row>
    <row r="27" spans="1:15">
      <c r="A27" s="7" t="s">
        <v>1037</v>
      </c>
      <c r="N27">
        <v>26</v>
      </c>
      <c r="O27" t="s">
        <v>1030</v>
      </c>
    </row>
    <row r="28" spans="1:15">
      <c r="A28" s="7" t="s">
        <v>1038</v>
      </c>
      <c r="N28">
        <v>27</v>
      </c>
      <c r="O28" t="s">
        <v>1030</v>
      </c>
    </row>
    <row r="29" spans="1:15">
      <c r="A29" s="7" t="s">
        <v>1039</v>
      </c>
      <c r="N29">
        <v>28</v>
      </c>
      <c r="O29" t="s">
        <v>917</v>
      </c>
    </row>
    <row r="30" spans="1:15">
      <c r="N30">
        <v>29</v>
      </c>
      <c r="O30" t="s">
        <v>917</v>
      </c>
    </row>
    <row r="31" spans="1:15">
      <c r="N31">
        <v>30</v>
      </c>
      <c r="O31" t="s">
        <v>917</v>
      </c>
    </row>
    <row r="32" spans="1:15">
      <c r="N32">
        <v>31</v>
      </c>
      <c r="O32" t="s">
        <v>917</v>
      </c>
    </row>
    <row r="33" spans="14:15">
      <c r="N33">
        <v>32</v>
      </c>
      <c r="O33" t="s">
        <v>917</v>
      </c>
    </row>
    <row r="34" spans="14:15">
      <c r="N34">
        <v>33</v>
      </c>
      <c r="O34" t="s">
        <v>917</v>
      </c>
    </row>
    <row r="35" spans="14:15">
      <c r="N35">
        <v>34</v>
      </c>
      <c r="O35" t="s">
        <v>917</v>
      </c>
    </row>
    <row r="36" spans="14:15">
      <c r="N36">
        <v>35</v>
      </c>
      <c r="O36" t="s">
        <v>917</v>
      </c>
    </row>
    <row r="37" spans="14:15">
      <c r="N37">
        <v>36</v>
      </c>
      <c r="O37" t="s">
        <v>917</v>
      </c>
    </row>
    <row r="38" spans="14:15">
      <c r="N38">
        <v>37</v>
      </c>
      <c r="O38" t="s">
        <v>917</v>
      </c>
    </row>
    <row r="39" spans="14:15">
      <c r="N39">
        <v>38</v>
      </c>
      <c r="O39" t="s">
        <v>917</v>
      </c>
    </row>
    <row r="40" spans="14:15">
      <c r="N40">
        <v>39</v>
      </c>
      <c r="O40" t="s">
        <v>917</v>
      </c>
    </row>
    <row r="41" spans="14:15">
      <c r="N41">
        <v>40</v>
      </c>
      <c r="O41" t="s">
        <v>917</v>
      </c>
    </row>
    <row r="42" spans="14:15">
      <c r="N42">
        <v>41</v>
      </c>
      <c r="O42" t="s">
        <v>917</v>
      </c>
    </row>
    <row r="43" spans="14:15">
      <c r="N43">
        <v>42</v>
      </c>
      <c r="O43" t="s">
        <v>917</v>
      </c>
    </row>
    <row r="44" spans="14:15">
      <c r="N44">
        <v>43</v>
      </c>
      <c r="O44" t="s">
        <v>917</v>
      </c>
    </row>
    <row r="45" spans="14:15">
      <c r="N45">
        <v>44</v>
      </c>
      <c r="O45" t="s">
        <v>917</v>
      </c>
    </row>
    <row r="46" spans="14:15">
      <c r="N46">
        <v>45</v>
      </c>
      <c r="O46" t="s">
        <v>917</v>
      </c>
    </row>
    <row r="47" spans="14:15">
      <c r="N47">
        <v>46</v>
      </c>
      <c r="O47" t="s">
        <v>917</v>
      </c>
    </row>
    <row r="48" spans="14:15">
      <c r="N48">
        <v>47</v>
      </c>
      <c r="O48" t="s">
        <v>917</v>
      </c>
    </row>
    <row r="49" spans="14:15">
      <c r="N49">
        <v>48</v>
      </c>
      <c r="O49" t="s">
        <v>917</v>
      </c>
    </row>
    <row r="50" spans="14:15">
      <c r="N50">
        <v>49</v>
      </c>
      <c r="O50" t="s">
        <v>917</v>
      </c>
    </row>
    <row r="51" spans="14:15">
      <c r="N51">
        <v>50</v>
      </c>
      <c r="O51" t="s">
        <v>917</v>
      </c>
    </row>
    <row r="52" spans="14:15">
      <c r="N52">
        <v>51</v>
      </c>
      <c r="O52" t="s">
        <v>917</v>
      </c>
    </row>
    <row r="53" spans="14:15">
      <c r="N53">
        <v>52</v>
      </c>
      <c r="O53" t="s">
        <v>917</v>
      </c>
    </row>
    <row r="54" spans="14:15">
      <c r="N54">
        <v>53</v>
      </c>
      <c r="O54" t="s">
        <v>917</v>
      </c>
    </row>
    <row r="55" spans="14:15">
      <c r="N55">
        <v>54</v>
      </c>
      <c r="O55" t="s">
        <v>917</v>
      </c>
    </row>
    <row r="56" spans="14:15">
      <c r="N56">
        <v>55</v>
      </c>
      <c r="O56" t="s">
        <v>917</v>
      </c>
    </row>
    <row r="57" spans="14:15">
      <c r="N57">
        <v>56</v>
      </c>
      <c r="O57" t="s">
        <v>917</v>
      </c>
    </row>
    <row r="58" spans="14:15">
      <c r="N58">
        <v>57</v>
      </c>
      <c r="O58" t="s">
        <v>917</v>
      </c>
    </row>
    <row r="59" spans="14:15">
      <c r="N59">
        <v>58</v>
      </c>
      <c r="O59" t="s">
        <v>917</v>
      </c>
    </row>
    <row r="60" spans="14:15">
      <c r="N60">
        <v>59</v>
      </c>
      <c r="O60" t="s">
        <v>917</v>
      </c>
    </row>
    <row r="61" spans="14:15">
      <c r="N61">
        <v>60</v>
      </c>
      <c r="O61" t="s">
        <v>917</v>
      </c>
    </row>
    <row r="62" spans="14:15">
      <c r="N62">
        <v>61</v>
      </c>
      <c r="O62" t="s">
        <v>917</v>
      </c>
    </row>
    <row r="63" spans="14:15">
      <c r="N63">
        <v>62</v>
      </c>
      <c r="O63" t="s">
        <v>917</v>
      </c>
    </row>
    <row r="64" spans="14:15">
      <c r="N64">
        <v>63</v>
      </c>
      <c r="O64" t="s">
        <v>917</v>
      </c>
    </row>
    <row r="65" spans="14:15">
      <c r="N65">
        <v>64</v>
      </c>
      <c r="O65" t="s">
        <v>917</v>
      </c>
    </row>
    <row r="66" spans="14:15">
      <c r="N66">
        <v>65</v>
      </c>
      <c r="O66" t="s">
        <v>917</v>
      </c>
    </row>
    <row r="67" spans="14:15">
      <c r="N67">
        <v>66</v>
      </c>
      <c r="O67" t="s">
        <v>917</v>
      </c>
    </row>
    <row r="68" spans="14:15">
      <c r="N68">
        <v>67</v>
      </c>
      <c r="O68" t="s">
        <v>917</v>
      </c>
    </row>
    <row r="69" spans="14:15">
      <c r="N69">
        <v>68</v>
      </c>
      <c r="O69" t="s">
        <v>917</v>
      </c>
    </row>
    <row r="70" spans="14:15">
      <c r="N70">
        <v>69</v>
      </c>
      <c r="O70" t="s">
        <v>917</v>
      </c>
    </row>
    <row r="71" spans="14:15">
      <c r="N71">
        <v>70</v>
      </c>
      <c r="O71" t="s">
        <v>917</v>
      </c>
    </row>
    <row r="72" spans="14:15">
      <c r="N72">
        <v>71</v>
      </c>
      <c r="O72" t="s">
        <v>917</v>
      </c>
    </row>
    <row r="73" spans="14:15">
      <c r="N73">
        <v>72</v>
      </c>
      <c r="O73" t="s">
        <v>917</v>
      </c>
    </row>
    <row r="74" spans="14:15">
      <c r="N74">
        <v>73</v>
      </c>
      <c r="O74" t="s">
        <v>917</v>
      </c>
    </row>
    <row r="75" spans="14:15">
      <c r="N75">
        <v>74</v>
      </c>
      <c r="O75" t="s">
        <v>917</v>
      </c>
    </row>
    <row r="76" spans="14:15">
      <c r="N76">
        <v>75</v>
      </c>
      <c r="O76" t="s">
        <v>917</v>
      </c>
    </row>
    <row r="77" spans="14:15">
      <c r="N77">
        <v>76</v>
      </c>
      <c r="O77" t="s">
        <v>917</v>
      </c>
    </row>
    <row r="78" spans="14:15">
      <c r="N78">
        <v>77</v>
      </c>
      <c r="O78" t="s">
        <v>917</v>
      </c>
    </row>
    <row r="79" spans="14:15">
      <c r="N79">
        <v>78</v>
      </c>
      <c r="O79" t="s">
        <v>917</v>
      </c>
    </row>
    <row r="80" spans="14:15">
      <c r="N80">
        <v>79</v>
      </c>
      <c r="O80" t="s">
        <v>917</v>
      </c>
    </row>
    <row r="81" spans="14:15">
      <c r="N81">
        <v>80</v>
      </c>
      <c r="O81" t="s">
        <v>917</v>
      </c>
    </row>
    <row r="82" spans="14:15">
      <c r="N82">
        <v>81</v>
      </c>
      <c r="O82" t="s">
        <v>917</v>
      </c>
    </row>
    <row r="83" spans="14:15">
      <c r="N83">
        <v>82</v>
      </c>
      <c r="O83" t="s">
        <v>917</v>
      </c>
    </row>
    <row r="84" spans="14:15">
      <c r="N84">
        <v>83</v>
      </c>
      <c r="O84" t="s">
        <v>917</v>
      </c>
    </row>
    <row r="85" spans="14:15">
      <c r="N85">
        <v>84</v>
      </c>
      <c r="O85" t="s">
        <v>917</v>
      </c>
    </row>
    <row r="86" spans="14:15">
      <c r="N86">
        <v>85</v>
      </c>
      <c r="O86" t="s">
        <v>917</v>
      </c>
    </row>
    <row r="87" spans="14:15">
      <c r="N87">
        <v>86</v>
      </c>
      <c r="O87" t="s">
        <v>917</v>
      </c>
    </row>
    <row r="88" spans="14:15">
      <c r="N88">
        <v>87</v>
      </c>
      <c r="O88" t="s">
        <v>917</v>
      </c>
    </row>
    <row r="89" spans="14:15">
      <c r="N89">
        <v>88</v>
      </c>
      <c r="O89" t="s">
        <v>917</v>
      </c>
    </row>
    <row r="90" spans="14:15">
      <c r="N90">
        <v>89</v>
      </c>
      <c r="O90" t="s">
        <v>917</v>
      </c>
    </row>
    <row r="91" spans="14:15">
      <c r="N91">
        <v>90</v>
      </c>
      <c r="O91" t="s">
        <v>917</v>
      </c>
    </row>
    <row r="92" spans="14:15">
      <c r="N92">
        <v>91</v>
      </c>
      <c r="O92" t="s">
        <v>917</v>
      </c>
    </row>
    <row r="93" spans="14:15">
      <c r="N93">
        <v>92</v>
      </c>
      <c r="O93" t="s">
        <v>917</v>
      </c>
    </row>
    <row r="94" spans="14:15">
      <c r="N94">
        <v>93</v>
      </c>
      <c r="O94" t="s">
        <v>917</v>
      </c>
    </row>
    <row r="95" spans="14:15">
      <c r="N95">
        <v>94</v>
      </c>
      <c r="O95" t="s">
        <v>917</v>
      </c>
    </row>
    <row r="96" spans="14:15">
      <c r="N96">
        <v>95</v>
      </c>
      <c r="O96" t="s">
        <v>917</v>
      </c>
    </row>
    <row r="97" spans="14:15">
      <c r="N97">
        <v>96</v>
      </c>
      <c r="O97" t="s">
        <v>917</v>
      </c>
    </row>
    <row r="98" spans="14:15">
      <c r="N98">
        <v>97</v>
      </c>
      <c r="O98" t="s">
        <v>917</v>
      </c>
    </row>
    <row r="99" spans="14:15">
      <c r="N99">
        <v>98</v>
      </c>
      <c r="O99" t="s">
        <v>917</v>
      </c>
    </row>
    <row r="100" spans="14:15">
      <c r="N100">
        <v>99</v>
      </c>
      <c r="O100" t="s">
        <v>917</v>
      </c>
    </row>
    <row r="101" spans="14:15">
      <c r="N101">
        <v>100</v>
      </c>
      <c r="O101" t="s">
        <v>917</v>
      </c>
    </row>
    <row r="102" spans="14:15">
      <c r="N102">
        <v>101</v>
      </c>
      <c r="O102" t="s">
        <v>921</v>
      </c>
    </row>
    <row r="103" spans="14:15">
      <c r="N103">
        <v>102</v>
      </c>
      <c r="O103" t="s">
        <v>921</v>
      </c>
    </row>
    <row r="104" spans="14:15">
      <c r="N104">
        <v>103</v>
      </c>
      <c r="O104" t="s">
        <v>921</v>
      </c>
    </row>
    <row r="105" spans="14:15">
      <c r="N105">
        <v>104</v>
      </c>
      <c r="O105" t="s">
        <v>921</v>
      </c>
    </row>
    <row r="106" spans="14:15">
      <c r="N106">
        <v>105</v>
      </c>
      <c r="O106" t="s">
        <v>921</v>
      </c>
    </row>
    <row r="107" spans="14:15">
      <c r="N107">
        <v>106</v>
      </c>
      <c r="O107" t="s">
        <v>921</v>
      </c>
    </row>
    <row r="108" spans="14:15">
      <c r="N108">
        <v>107</v>
      </c>
      <c r="O108" t="s">
        <v>921</v>
      </c>
    </row>
    <row r="109" spans="14:15">
      <c r="N109">
        <v>108</v>
      </c>
      <c r="O109" t="s">
        <v>921</v>
      </c>
    </row>
    <row r="110" spans="14:15">
      <c r="N110">
        <v>109</v>
      </c>
      <c r="O110" t="s">
        <v>921</v>
      </c>
    </row>
    <row r="111" spans="14:15">
      <c r="N111">
        <v>110</v>
      </c>
      <c r="O111" t="s">
        <v>921</v>
      </c>
    </row>
    <row r="112" spans="14:15">
      <c r="N112">
        <v>111</v>
      </c>
      <c r="O112" t="s">
        <v>921</v>
      </c>
    </row>
    <row r="113" spans="14:15">
      <c r="N113">
        <v>112</v>
      </c>
      <c r="O113" t="s">
        <v>921</v>
      </c>
    </row>
    <row r="114" spans="14:15">
      <c r="N114">
        <v>113</v>
      </c>
      <c r="O114" t="s">
        <v>921</v>
      </c>
    </row>
    <row r="115" spans="14:15">
      <c r="N115">
        <v>114</v>
      </c>
      <c r="O115" t="s">
        <v>921</v>
      </c>
    </row>
    <row r="116" spans="14:15">
      <c r="N116">
        <v>115</v>
      </c>
      <c r="O116" t="s">
        <v>921</v>
      </c>
    </row>
    <row r="117" spans="14:15">
      <c r="N117">
        <v>116</v>
      </c>
      <c r="O117" t="s">
        <v>921</v>
      </c>
    </row>
    <row r="118" spans="14:15">
      <c r="N118">
        <v>117</v>
      </c>
      <c r="O118" t="s">
        <v>921</v>
      </c>
    </row>
    <row r="119" spans="14:15">
      <c r="N119">
        <v>118</v>
      </c>
      <c r="O119" t="s">
        <v>921</v>
      </c>
    </row>
    <row r="120" spans="14:15">
      <c r="N120">
        <v>119</v>
      </c>
      <c r="O120" t="s">
        <v>921</v>
      </c>
    </row>
    <row r="121" spans="14:15">
      <c r="N121">
        <v>120</v>
      </c>
      <c r="O121" t="s">
        <v>921</v>
      </c>
    </row>
    <row r="122" spans="14:15">
      <c r="N122">
        <v>121</v>
      </c>
      <c r="O122" t="s">
        <v>921</v>
      </c>
    </row>
    <row r="123" spans="14:15">
      <c r="N123">
        <v>122</v>
      </c>
      <c r="O123" t="s">
        <v>921</v>
      </c>
    </row>
    <row r="124" spans="14:15">
      <c r="N124">
        <v>123</v>
      </c>
      <c r="O124" t="s">
        <v>921</v>
      </c>
    </row>
    <row r="125" spans="14:15">
      <c r="N125">
        <v>124</v>
      </c>
      <c r="O125" t="s">
        <v>921</v>
      </c>
    </row>
    <row r="126" spans="14:15">
      <c r="N126">
        <v>125</v>
      </c>
      <c r="O126" t="s">
        <v>921</v>
      </c>
    </row>
    <row r="127" spans="14:15">
      <c r="N127">
        <v>126</v>
      </c>
      <c r="O127" t="s">
        <v>921</v>
      </c>
    </row>
    <row r="128" spans="14:15">
      <c r="N128">
        <v>127</v>
      </c>
      <c r="O128" t="s">
        <v>921</v>
      </c>
    </row>
    <row r="129" spans="14:15">
      <c r="N129">
        <v>128</v>
      </c>
      <c r="O129" t="s">
        <v>921</v>
      </c>
    </row>
    <row r="130" spans="14:15">
      <c r="N130">
        <v>129</v>
      </c>
      <c r="O130" t="s">
        <v>921</v>
      </c>
    </row>
    <row r="131" spans="14:15">
      <c r="N131">
        <v>130</v>
      </c>
      <c r="O131" t="s">
        <v>921</v>
      </c>
    </row>
    <row r="132" spans="14:15">
      <c r="N132">
        <v>131</v>
      </c>
      <c r="O132" t="s">
        <v>926</v>
      </c>
    </row>
    <row r="133" spans="14:15">
      <c r="N133">
        <v>132</v>
      </c>
      <c r="O133" t="s">
        <v>926</v>
      </c>
    </row>
    <row r="134" spans="14:15">
      <c r="N134">
        <v>133</v>
      </c>
      <c r="O134" t="s">
        <v>926</v>
      </c>
    </row>
    <row r="135" spans="14:15">
      <c r="N135">
        <v>134</v>
      </c>
      <c r="O135" t="s">
        <v>926</v>
      </c>
    </row>
    <row r="136" spans="14:15">
      <c r="N136">
        <v>135</v>
      </c>
      <c r="O136" t="s">
        <v>926</v>
      </c>
    </row>
    <row r="137" spans="14:15">
      <c r="N137">
        <v>136</v>
      </c>
      <c r="O137" t="s">
        <v>926</v>
      </c>
    </row>
    <row r="138" spans="14:15">
      <c r="N138">
        <v>137</v>
      </c>
      <c r="O138" t="s">
        <v>926</v>
      </c>
    </row>
    <row r="139" spans="14:15">
      <c r="N139">
        <v>138</v>
      </c>
      <c r="O139" t="s">
        <v>926</v>
      </c>
    </row>
    <row r="140" spans="14:15">
      <c r="N140">
        <v>139</v>
      </c>
      <c r="O140" t="s">
        <v>926</v>
      </c>
    </row>
    <row r="141" spans="14:15">
      <c r="N141">
        <v>140</v>
      </c>
      <c r="O141" t="s">
        <v>926</v>
      </c>
    </row>
    <row r="142" spans="14:15">
      <c r="N142">
        <v>141</v>
      </c>
      <c r="O142" t="s">
        <v>926</v>
      </c>
    </row>
    <row r="143" spans="14:15">
      <c r="N143">
        <v>142</v>
      </c>
      <c r="O143" t="s">
        <v>926</v>
      </c>
    </row>
    <row r="144" spans="14:15">
      <c r="N144">
        <v>143</v>
      </c>
      <c r="O144" t="s">
        <v>926</v>
      </c>
    </row>
    <row r="145" spans="14:15">
      <c r="N145">
        <v>144</v>
      </c>
      <c r="O145" t="s">
        <v>926</v>
      </c>
    </row>
    <row r="146" spans="14:15">
      <c r="N146">
        <v>145</v>
      </c>
      <c r="O146" t="s">
        <v>926</v>
      </c>
    </row>
    <row r="147" spans="14:15">
      <c r="N147">
        <v>146</v>
      </c>
      <c r="O147" t="s">
        <v>926</v>
      </c>
    </row>
    <row r="148" spans="14:15">
      <c r="N148">
        <v>147</v>
      </c>
      <c r="O148" t="s">
        <v>926</v>
      </c>
    </row>
    <row r="149" spans="14:15">
      <c r="N149">
        <v>148</v>
      </c>
      <c r="O149" t="s">
        <v>926</v>
      </c>
    </row>
    <row r="150" spans="14:15">
      <c r="N150">
        <v>149</v>
      </c>
      <c r="O150" t="s">
        <v>926</v>
      </c>
    </row>
    <row r="151" spans="14:15">
      <c r="N151">
        <v>150</v>
      </c>
      <c r="O151" t="s">
        <v>926</v>
      </c>
    </row>
    <row r="152" spans="14:15">
      <c r="N152">
        <v>151</v>
      </c>
      <c r="O152" t="s">
        <v>926</v>
      </c>
    </row>
    <row r="153" spans="14:15">
      <c r="N153">
        <v>152</v>
      </c>
      <c r="O153" t="s">
        <v>926</v>
      </c>
    </row>
    <row r="154" spans="14:15">
      <c r="N154">
        <v>153</v>
      </c>
      <c r="O154" t="s">
        <v>926</v>
      </c>
    </row>
    <row r="155" spans="14:15">
      <c r="N155">
        <v>154</v>
      </c>
      <c r="O155" t="s">
        <v>926</v>
      </c>
    </row>
    <row r="156" spans="14:15">
      <c r="N156">
        <v>155</v>
      </c>
      <c r="O156" t="s">
        <v>926</v>
      </c>
    </row>
    <row r="157" spans="14:15">
      <c r="N157">
        <v>156</v>
      </c>
      <c r="O157" t="s">
        <v>926</v>
      </c>
    </row>
    <row r="158" spans="14:15">
      <c r="N158">
        <v>157</v>
      </c>
      <c r="O158" t="s">
        <v>926</v>
      </c>
    </row>
    <row r="159" spans="14:15">
      <c r="N159">
        <v>158</v>
      </c>
      <c r="O159" t="s">
        <v>926</v>
      </c>
    </row>
    <row r="160" spans="14:15">
      <c r="N160">
        <v>159</v>
      </c>
      <c r="O160" t="s">
        <v>926</v>
      </c>
    </row>
    <row r="161" spans="14:15">
      <c r="N161">
        <v>160</v>
      </c>
      <c r="O161" t="s">
        <v>926</v>
      </c>
    </row>
  </sheetData>
  <conditionalFormatting sqref="Q2:R5">
    <cfRule type="expression" dxfId="3" priority="1">
      <formula>$F1=1</formula>
    </cfRule>
  </conditionalFormatting>
  <pageMargins left="0.699306" right="0.69930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版本变更"/>
  <dimension ref="A1:B42"/>
  <sheetViews>
    <sheetView topLeftCell="A3" workbookViewId="0">
      <selection activeCell="B34" sqref="B34"/>
    </sheetView>
  </sheetViews>
  <sheetFormatPr defaultColWidth="14" defaultRowHeight="18" customHeight="1" outlineLevelCol="1"/>
  <cols>
    <col min="1" max="1" width="14" style="1"/>
    <col min="2" max="2" width="142.725" style="1" customWidth="1"/>
    <col min="3" max="16384" width="14" style="1"/>
  </cols>
  <sheetData>
    <row r="1" customHeight="1" spans="1:2">
      <c r="A1" s="1" t="s">
        <v>1040</v>
      </c>
      <c r="B1" s="1" t="s">
        <v>1041</v>
      </c>
    </row>
    <row r="2" ht="36" customHeight="1" spans="1:2">
      <c r="A2" s="2" t="s">
        <v>1042</v>
      </c>
      <c r="B2" s="3" t="s">
        <v>1043</v>
      </c>
    </row>
    <row r="3" ht="38" customHeight="1" spans="1:2">
      <c r="A3" s="2" t="s">
        <v>1044</v>
      </c>
      <c r="B3" s="2" t="s">
        <v>1045</v>
      </c>
    </row>
    <row r="4" ht="37" customHeight="1" spans="1:2">
      <c r="A4" s="2" t="s">
        <v>1046</v>
      </c>
      <c r="B4" s="2" t="s">
        <v>1047</v>
      </c>
    </row>
    <row r="5" customHeight="1" spans="1:2">
      <c r="A5" s="2" t="s">
        <v>1048</v>
      </c>
      <c r="B5" s="1" t="s">
        <v>1049</v>
      </c>
    </row>
    <row r="6" customHeight="1" spans="1:2">
      <c r="A6" s="2" t="s">
        <v>1050</v>
      </c>
      <c r="B6" s="1" t="s">
        <v>1051</v>
      </c>
    </row>
    <row r="7" customHeight="1" spans="1:2">
      <c r="A7" s="2" t="s">
        <v>1052</v>
      </c>
      <c r="B7" s="1" t="s">
        <v>1053</v>
      </c>
    </row>
    <row r="8" customHeight="1" spans="1:2">
      <c r="A8" s="2" t="s">
        <v>1054</v>
      </c>
      <c r="B8" s="1" t="s">
        <v>1055</v>
      </c>
    </row>
    <row r="9" customHeight="1" spans="1:2">
      <c r="A9" s="2" t="s">
        <v>1056</v>
      </c>
      <c r="B9" s="1" t="s">
        <v>1057</v>
      </c>
    </row>
    <row r="10" customHeight="1" spans="1:2">
      <c r="A10" s="2" t="s">
        <v>1058</v>
      </c>
      <c r="B10" s="1" t="s">
        <v>1059</v>
      </c>
    </row>
    <row r="11" customHeight="1" spans="1:2">
      <c r="A11" s="2" t="s">
        <v>1060</v>
      </c>
      <c r="B11" s="1" t="s">
        <v>1061</v>
      </c>
    </row>
    <row r="12" customHeight="1" spans="1:2">
      <c r="A12" s="2" t="s">
        <v>1062</v>
      </c>
      <c r="B12" s="1" t="s">
        <v>1063</v>
      </c>
    </row>
    <row r="13" customHeight="1" spans="1:2">
      <c r="A13" s="2" t="s">
        <v>1064</v>
      </c>
      <c r="B13" s="1" t="s">
        <v>1065</v>
      </c>
    </row>
    <row r="14" customHeight="1" spans="1:2">
      <c r="A14" s="2" t="s">
        <v>1066</v>
      </c>
      <c r="B14" s="1" t="s">
        <v>1067</v>
      </c>
    </row>
    <row r="15" customHeight="1" spans="1:2">
      <c r="A15" s="2" t="s">
        <v>1068</v>
      </c>
      <c r="B15" s="1" t="s">
        <v>1069</v>
      </c>
    </row>
    <row r="16" customHeight="1" spans="1:2">
      <c r="A16" s="2" t="s">
        <v>1070</v>
      </c>
      <c r="B16" s="1" t="s">
        <v>1071</v>
      </c>
    </row>
    <row r="17" customHeight="1" spans="1:2">
      <c r="A17" s="2" t="s">
        <v>1072</v>
      </c>
      <c r="B17" s="1" t="s">
        <v>1073</v>
      </c>
    </row>
    <row r="18" customHeight="1" spans="1:2">
      <c r="A18" s="2" t="s">
        <v>1074</v>
      </c>
      <c r="B18" s="1" t="s">
        <v>1075</v>
      </c>
    </row>
    <row r="19" customHeight="1" spans="1:2">
      <c r="A19" s="2" t="s">
        <v>1076</v>
      </c>
    </row>
    <row r="20" customHeight="1" spans="1:2">
      <c r="A20" s="2" t="s">
        <v>1077</v>
      </c>
    </row>
    <row r="21" customHeight="1" spans="1:2">
      <c r="A21" s="2" t="s">
        <v>1078</v>
      </c>
    </row>
    <row r="22" customHeight="1" spans="1:2">
      <c r="A22" s="2" t="s">
        <v>1079</v>
      </c>
    </row>
    <row r="23" customHeight="1" spans="1:2">
      <c r="A23" s="2" t="s">
        <v>1080</v>
      </c>
    </row>
    <row r="24" customHeight="1" spans="1:2">
      <c r="A24" s="2" t="s">
        <v>1081</v>
      </c>
    </row>
    <row r="25" customHeight="1" spans="1:2">
      <c r="A25" s="2" t="s">
        <v>1082</v>
      </c>
      <c r="B25" s="1" t="s">
        <v>1083</v>
      </c>
    </row>
    <row r="26" customHeight="1" spans="1:2">
      <c r="A26" s="2" t="s">
        <v>1084</v>
      </c>
      <c r="B26" s="1" t="s">
        <v>1085</v>
      </c>
    </row>
    <row r="27" customHeight="1" spans="1:2">
      <c r="A27" s="2" t="s">
        <v>1086</v>
      </c>
      <c r="B27" s="1" t="s">
        <v>1087</v>
      </c>
    </row>
    <row r="28" ht="59" customHeight="1" spans="1:2">
      <c r="A28" s="2" t="s">
        <v>1088</v>
      </c>
      <c r="B28" s="2" t="s">
        <v>1089</v>
      </c>
    </row>
    <row r="29" customHeight="1" spans="1:2">
      <c r="A29" s="2" t="s">
        <v>1090</v>
      </c>
      <c r="B29" s="1" t="s">
        <v>1091</v>
      </c>
    </row>
    <row r="30" customHeight="1" spans="1:2">
      <c r="A30" s="2" t="s">
        <v>1092</v>
      </c>
      <c r="B30" s="1" t="s">
        <v>1093</v>
      </c>
    </row>
    <row r="31" customHeight="1" spans="1:2">
      <c r="A31" s="2" t="s">
        <v>1094</v>
      </c>
      <c r="B31" s="2" t="s">
        <v>1095</v>
      </c>
    </row>
    <row r="32" customHeight="1" spans="1:2">
      <c r="A32" s="2" t="s">
        <v>1096</v>
      </c>
      <c r="B32" s="1" t="s">
        <v>1097</v>
      </c>
    </row>
    <row r="33" customHeight="1" spans="1:2">
      <c r="A33" s="2" t="s">
        <v>1098</v>
      </c>
      <c r="B33" s="1" t="s">
        <v>1099</v>
      </c>
    </row>
    <row r="34" customHeight="1" spans="1:2">
      <c r="A34" s="2" t="s">
        <v>1100</v>
      </c>
    </row>
    <row r="35" customHeight="1" spans="1:2">
      <c r="A35" s="2" t="s">
        <v>1101</v>
      </c>
    </row>
    <row r="36" customHeight="1" spans="1:2">
      <c r="A36" s="2" t="s">
        <v>1102</v>
      </c>
    </row>
    <row r="37" customHeight="1" spans="1:2">
      <c r="A37" s="2" t="s">
        <v>1103</v>
      </c>
    </row>
    <row r="38" customHeight="1" spans="1:2">
      <c r="A38" s="2" t="s">
        <v>1104</v>
      </c>
    </row>
    <row r="39" customHeight="1" spans="1:2">
      <c r="A39" s="2" t="s">
        <v>1105</v>
      </c>
    </row>
    <row r="40" customHeight="1" spans="1:2">
      <c r="A40" s="2" t="s">
        <v>1106</v>
      </c>
    </row>
    <row r="41" customHeight="1" spans="1:2">
      <c r="A41" s="2"/>
    </row>
    <row r="42" customHeight="1" spans="1:2">
      <c r="A42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S540"/>
  <sheetViews>
    <sheetView workbookViewId="0">
      <selection activeCell="J29" sqref="J29"/>
    </sheetView>
  </sheetViews>
  <sheetFormatPr defaultColWidth="9" defaultRowHeight="13.5"/>
  <sheetData>
    <row r="1" spans="6:19">
      <c r="F1" t="s">
        <v>133</v>
      </c>
      <c r="G1" t="s">
        <v>136</v>
      </c>
      <c r="R1" t="s">
        <v>1107</v>
      </c>
      <c r="S1" t="s">
        <v>136</v>
      </c>
    </row>
    <row r="2" spans="6:19">
      <c r="F2" t="s">
        <v>157</v>
      </c>
      <c r="G2" t="s">
        <v>1108</v>
      </c>
      <c r="R2" t="s">
        <v>1109</v>
      </c>
      <c r="S2" t="s">
        <v>136</v>
      </c>
    </row>
    <row r="3" spans="6:19">
      <c r="F3" t="s">
        <v>161</v>
      </c>
      <c r="G3" t="s">
        <v>1108</v>
      </c>
      <c r="R3" t="s">
        <v>1110</v>
      </c>
      <c r="S3" t="s">
        <v>136</v>
      </c>
    </row>
    <row r="4" spans="6:19">
      <c r="F4" t="s">
        <v>164</v>
      </c>
      <c r="G4" t="s">
        <v>1108</v>
      </c>
      <c r="R4" t="s">
        <v>1111</v>
      </c>
      <c r="S4" t="s">
        <v>136</v>
      </c>
    </row>
    <row r="5" spans="6:19">
      <c r="F5" t="s">
        <v>167</v>
      </c>
      <c r="G5" t="s">
        <v>1108</v>
      </c>
      <c r="R5" t="s">
        <v>1112</v>
      </c>
      <c r="S5" t="s">
        <v>136</v>
      </c>
    </row>
    <row r="6" spans="6:19">
      <c r="F6" t="s">
        <v>220</v>
      </c>
      <c r="G6" t="s">
        <v>1108</v>
      </c>
      <c r="R6" t="s">
        <v>1113</v>
      </c>
      <c r="S6" t="s">
        <v>136</v>
      </c>
    </row>
    <row r="7" spans="6:19">
      <c r="F7" t="s">
        <v>170</v>
      </c>
      <c r="G7" t="s">
        <v>1108</v>
      </c>
      <c r="R7" t="s">
        <v>1114</v>
      </c>
      <c r="S7" t="s">
        <v>136</v>
      </c>
    </row>
    <row r="8" spans="6:19">
      <c r="F8" t="s">
        <v>174</v>
      </c>
      <c r="G8" t="s">
        <v>1108</v>
      </c>
      <c r="R8" t="s">
        <v>1115</v>
      </c>
      <c r="S8" t="s">
        <v>136</v>
      </c>
    </row>
    <row r="9" spans="6:19">
      <c r="F9" t="s">
        <v>177</v>
      </c>
      <c r="G9" t="s">
        <v>1108</v>
      </c>
      <c r="R9" t="s">
        <v>1116</v>
      </c>
      <c r="S9" t="s">
        <v>136</v>
      </c>
    </row>
    <row r="10" spans="6:19">
      <c r="F10" t="s">
        <v>180</v>
      </c>
      <c r="G10" t="s">
        <v>1108</v>
      </c>
      <c r="R10" t="s">
        <v>1117</v>
      </c>
      <c r="S10" t="s">
        <v>136</v>
      </c>
    </row>
    <row r="11" spans="6:19">
      <c r="F11" t="s">
        <v>223</v>
      </c>
      <c r="G11" t="s">
        <v>1108</v>
      </c>
      <c r="R11" t="s">
        <v>1118</v>
      </c>
      <c r="S11" t="s">
        <v>136</v>
      </c>
    </row>
    <row r="12" spans="6:19">
      <c r="F12" t="s">
        <v>183</v>
      </c>
      <c r="G12" t="s">
        <v>1108</v>
      </c>
      <c r="R12" t="s">
        <v>1119</v>
      </c>
      <c r="S12" t="s">
        <v>136</v>
      </c>
    </row>
    <row r="13" spans="6:19">
      <c r="F13" t="s">
        <v>187</v>
      </c>
      <c r="G13" t="s">
        <v>136</v>
      </c>
      <c r="R13" t="s">
        <v>1120</v>
      </c>
      <c r="S13" t="s">
        <v>136</v>
      </c>
    </row>
    <row r="14" spans="6:19">
      <c r="F14" t="s">
        <v>190</v>
      </c>
      <c r="G14" t="s">
        <v>1108</v>
      </c>
      <c r="R14" t="s">
        <v>1121</v>
      </c>
      <c r="S14" t="s">
        <v>136</v>
      </c>
    </row>
    <row r="15" spans="6:19">
      <c r="F15" t="s">
        <v>193</v>
      </c>
      <c r="G15" t="s">
        <v>136</v>
      </c>
      <c r="R15" t="s">
        <v>1122</v>
      </c>
      <c r="S15" t="s">
        <v>136</v>
      </c>
    </row>
    <row r="16" spans="6:19">
      <c r="F16" t="s">
        <v>196</v>
      </c>
      <c r="G16" t="s">
        <v>1108</v>
      </c>
      <c r="R16" t="s">
        <v>1123</v>
      </c>
      <c r="S16" t="s">
        <v>136</v>
      </c>
    </row>
    <row r="17" spans="6:19">
      <c r="F17" t="s">
        <v>225</v>
      </c>
      <c r="G17" t="s">
        <v>136</v>
      </c>
      <c r="R17" t="s">
        <v>1124</v>
      </c>
      <c r="S17" t="s">
        <v>136</v>
      </c>
    </row>
    <row r="18" spans="6:19">
      <c r="F18" t="s">
        <v>199</v>
      </c>
      <c r="G18" t="s">
        <v>1108</v>
      </c>
      <c r="R18" t="s">
        <v>1125</v>
      </c>
      <c r="S18" t="s">
        <v>136</v>
      </c>
    </row>
    <row r="19" spans="6:19">
      <c r="F19" t="s">
        <v>203</v>
      </c>
      <c r="G19" t="s">
        <v>1108</v>
      </c>
      <c r="R19" t="s">
        <v>1126</v>
      </c>
      <c r="S19" t="s">
        <v>136</v>
      </c>
    </row>
    <row r="20" spans="6:19">
      <c r="F20" t="s">
        <v>208</v>
      </c>
      <c r="G20" t="s">
        <v>136</v>
      </c>
      <c r="R20" t="s">
        <v>1127</v>
      </c>
      <c r="S20" t="s">
        <v>136</v>
      </c>
    </row>
    <row r="21" spans="6:19">
      <c r="F21" t="s">
        <v>211</v>
      </c>
      <c r="G21" t="s">
        <v>1108</v>
      </c>
    </row>
    <row r="22" spans="6:19">
      <c r="F22" t="s">
        <v>214</v>
      </c>
      <c r="G22" t="s">
        <v>1108</v>
      </c>
    </row>
    <row r="23" spans="6:19">
      <c r="F23" t="s">
        <v>217</v>
      </c>
      <c r="G23" t="s">
        <v>136</v>
      </c>
    </row>
    <row r="24" spans="6:19">
      <c r="F24" t="s">
        <v>227</v>
      </c>
      <c r="G24" t="s">
        <v>1108</v>
      </c>
    </row>
    <row r="25" spans="6:19">
      <c r="F25" t="s">
        <v>230</v>
      </c>
      <c r="G25" t="s">
        <v>1108</v>
      </c>
    </row>
    <row r="26" spans="6:19">
      <c r="F26" t="s">
        <v>235</v>
      </c>
      <c r="G26" t="s">
        <v>1108</v>
      </c>
    </row>
    <row r="27" spans="6:19">
      <c r="F27" t="s">
        <v>240</v>
      </c>
      <c r="G27" t="s">
        <v>136</v>
      </c>
    </row>
    <row r="28" spans="6:19">
      <c r="F28" t="s">
        <v>243</v>
      </c>
      <c r="G28" t="s">
        <v>1108</v>
      </c>
    </row>
    <row r="29" spans="6:19">
      <c r="F29" t="s">
        <v>246</v>
      </c>
      <c r="G29" t="s">
        <v>136</v>
      </c>
    </row>
    <row r="30" spans="6:19">
      <c r="F30" t="s">
        <v>249</v>
      </c>
      <c r="G30" t="s">
        <v>1108</v>
      </c>
    </row>
    <row r="31" spans="6:19">
      <c r="F31" t="s">
        <v>252</v>
      </c>
      <c r="G31" t="s">
        <v>1108</v>
      </c>
    </row>
    <row r="32" spans="6:19">
      <c r="F32" t="s">
        <v>255</v>
      </c>
      <c r="G32" t="s">
        <v>1108</v>
      </c>
    </row>
    <row r="33" spans="6:7">
      <c r="F33" t="s">
        <v>259</v>
      </c>
      <c r="G33" t="s">
        <v>136</v>
      </c>
    </row>
    <row r="34" spans="6:7">
      <c r="F34" t="s">
        <v>261</v>
      </c>
      <c r="G34" t="s">
        <v>136</v>
      </c>
    </row>
    <row r="35" spans="6:7">
      <c r="F35" t="s">
        <v>263</v>
      </c>
      <c r="G35" t="s">
        <v>1108</v>
      </c>
    </row>
    <row r="36" spans="6:7">
      <c r="F36" t="s">
        <v>265</v>
      </c>
      <c r="G36" t="s">
        <v>136</v>
      </c>
    </row>
    <row r="37" spans="6:7">
      <c r="F37" t="s">
        <v>269</v>
      </c>
      <c r="G37" t="s">
        <v>1108</v>
      </c>
    </row>
    <row r="38" spans="6:7">
      <c r="F38" t="s">
        <v>272</v>
      </c>
      <c r="G38" t="s">
        <v>136</v>
      </c>
    </row>
    <row r="39" spans="6:7">
      <c r="F39" t="s">
        <v>274</v>
      </c>
      <c r="G39" t="s">
        <v>1108</v>
      </c>
    </row>
    <row r="40" spans="6:7">
      <c r="F40" t="s">
        <v>285</v>
      </c>
      <c r="G40" t="s">
        <v>1108</v>
      </c>
    </row>
    <row r="41" spans="6:7">
      <c r="F41" t="s">
        <v>289</v>
      </c>
      <c r="G41" t="s">
        <v>1108</v>
      </c>
    </row>
    <row r="42" spans="6:7">
      <c r="F42" t="s">
        <v>294</v>
      </c>
      <c r="G42" t="s">
        <v>1108</v>
      </c>
    </row>
    <row r="43" spans="6:7">
      <c r="F43" t="s">
        <v>297</v>
      </c>
      <c r="G43" t="s">
        <v>1108</v>
      </c>
    </row>
    <row r="44" spans="6:7">
      <c r="F44" t="s">
        <v>300</v>
      </c>
      <c r="G44" t="s">
        <v>1108</v>
      </c>
    </row>
    <row r="45" spans="6:7">
      <c r="F45" t="s">
        <v>303</v>
      </c>
      <c r="G45" t="s">
        <v>1108</v>
      </c>
    </row>
    <row r="46" spans="6:7">
      <c r="F46" t="s">
        <v>306</v>
      </c>
      <c r="G46" t="s">
        <v>1108</v>
      </c>
    </row>
    <row r="47" spans="6:7">
      <c r="F47" t="s">
        <v>308</v>
      </c>
      <c r="G47" t="s">
        <v>1108</v>
      </c>
    </row>
    <row r="48" spans="6:7">
      <c r="F48" t="s">
        <v>311</v>
      </c>
      <c r="G48" t="s">
        <v>1108</v>
      </c>
    </row>
    <row r="49" spans="6:7">
      <c r="F49" t="s">
        <v>323</v>
      </c>
      <c r="G49" t="s">
        <v>1108</v>
      </c>
    </row>
    <row r="50" spans="6:7">
      <c r="F50" t="s">
        <v>329</v>
      </c>
      <c r="G50" t="s">
        <v>1108</v>
      </c>
    </row>
    <row r="51" spans="6:7">
      <c r="F51" t="s">
        <v>333</v>
      </c>
      <c r="G51" t="s">
        <v>1108</v>
      </c>
    </row>
    <row r="52" spans="6:7">
      <c r="F52" t="s">
        <v>336</v>
      </c>
      <c r="G52" t="s">
        <v>1108</v>
      </c>
    </row>
    <row r="53" spans="6:7">
      <c r="F53" t="s">
        <v>339</v>
      </c>
      <c r="G53" t="s">
        <v>1108</v>
      </c>
    </row>
    <row r="54" spans="6:7">
      <c r="F54" t="s">
        <v>342</v>
      </c>
      <c r="G54" t="s">
        <v>1108</v>
      </c>
    </row>
    <row r="55" spans="6:7">
      <c r="F55" t="s">
        <v>346</v>
      </c>
      <c r="G55" t="s">
        <v>1108</v>
      </c>
    </row>
    <row r="56" spans="6:7">
      <c r="F56" t="s">
        <v>349</v>
      </c>
      <c r="G56" t="s">
        <v>1108</v>
      </c>
    </row>
    <row r="57" spans="6:7">
      <c r="F57" t="s">
        <v>351</v>
      </c>
      <c r="G57" t="s">
        <v>1108</v>
      </c>
    </row>
    <row r="58" spans="6:7">
      <c r="F58" t="s">
        <v>353</v>
      </c>
      <c r="G58" t="s">
        <v>1108</v>
      </c>
    </row>
    <row r="59" spans="6:7">
      <c r="F59" t="s">
        <v>355</v>
      </c>
      <c r="G59" t="s">
        <v>1108</v>
      </c>
    </row>
    <row r="60" spans="6:7">
      <c r="F60" t="s">
        <v>358</v>
      </c>
      <c r="G60" t="s">
        <v>1108</v>
      </c>
    </row>
    <row r="61" spans="6:7">
      <c r="F61" t="s">
        <v>362</v>
      </c>
      <c r="G61" t="s">
        <v>1108</v>
      </c>
    </row>
    <row r="62" spans="6:7">
      <c r="F62" t="s">
        <v>365</v>
      </c>
      <c r="G62" t="s">
        <v>1108</v>
      </c>
    </row>
    <row r="63" spans="6:7">
      <c r="F63" t="s">
        <v>367</v>
      </c>
      <c r="G63" t="s">
        <v>1108</v>
      </c>
    </row>
    <row r="64" spans="6:7">
      <c r="F64" t="s">
        <v>369</v>
      </c>
      <c r="G64" t="s">
        <v>1108</v>
      </c>
    </row>
    <row r="65" spans="6:7">
      <c r="F65" t="s">
        <v>371</v>
      </c>
      <c r="G65" t="s">
        <v>1108</v>
      </c>
    </row>
    <row r="66" spans="6:7">
      <c r="F66" t="s">
        <v>373</v>
      </c>
      <c r="G66" t="s">
        <v>1108</v>
      </c>
    </row>
    <row r="67" spans="6:7">
      <c r="F67" t="s">
        <v>375</v>
      </c>
      <c r="G67" t="s">
        <v>1108</v>
      </c>
    </row>
    <row r="68" spans="6:7">
      <c r="F68" t="s">
        <v>377</v>
      </c>
      <c r="G68" t="s">
        <v>1108</v>
      </c>
    </row>
    <row r="69" spans="6:7">
      <c r="F69" t="s">
        <v>380</v>
      </c>
      <c r="G69" t="s">
        <v>1108</v>
      </c>
    </row>
    <row r="70" spans="6:7">
      <c r="F70" t="s">
        <v>385</v>
      </c>
      <c r="G70" t="s">
        <v>1108</v>
      </c>
    </row>
    <row r="71" spans="6:7">
      <c r="F71" t="s">
        <v>388</v>
      </c>
      <c r="G71" t="s">
        <v>1108</v>
      </c>
    </row>
    <row r="72" spans="6:7">
      <c r="F72" t="s">
        <v>392</v>
      </c>
      <c r="G72" t="s">
        <v>1108</v>
      </c>
    </row>
    <row r="73" spans="6:7">
      <c r="F73" t="s">
        <v>395</v>
      </c>
      <c r="G73" t="s">
        <v>1108</v>
      </c>
    </row>
    <row r="74" spans="6:7">
      <c r="F74" t="s">
        <v>399</v>
      </c>
      <c r="G74" t="s">
        <v>1108</v>
      </c>
    </row>
    <row r="75" spans="6:7">
      <c r="F75" t="s">
        <v>401</v>
      </c>
      <c r="G75" t="s">
        <v>1108</v>
      </c>
    </row>
    <row r="76" spans="6:7">
      <c r="F76" t="s">
        <v>404</v>
      </c>
      <c r="G76" t="s">
        <v>1108</v>
      </c>
    </row>
    <row r="77" spans="6:7">
      <c r="F77" t="s">
        <v>406</v>
      </c>
      <c r="G77" t="s">
        <v>1108</v>
      </c>
    </row>
    <row r="78" spans="6:7">
      <c r="F78" t="s">
        <v>409</v>
      </c>
      <c r="G78" t="s">
        <v>1108</v>
      </c>
    </row>
    <row r="79" spans="6:7">
      <c r="F79" t="s">
        <v>411</v>
      </c>
      <c r="G79" t="s">
        <v>1108</v>
      </c>
    </row>
    <row r="80" spans="6:7">
      <c r="F80" t="s">
        <v>413</v>
      </c>
      <c r="G80" t="s">
        <v>1108</v>
      </c>
    </row>
    <row r="81" spans="6:7">
      <c r="F81" t="s">
        <v>417</v>
      </c>
      <c r="G81" t="s">
        <v>1108</v>
      </c>
    </row>
    <row r="82" spans="6:7">
      <c r="F82" t="s">
        <v>418</v>
      </c>
      <c r="G82" t="s">
        <v>136</v>
      </c>
    </row>
    <row r="83" spans="6:7">
      <c r="F83" t="s">
        <v>421</v>
      </c>
      <c r="G83" t="s">
        <v>1108</v>
      </c>
    </row>
    <row r="84" spans="6:7">
      <c r="F84" t="s">
        <v>424</v>
      </c>
      <c r="G84" t="s">
        <v>1108</v>
      </c>
    </row>
    <row r="85" spans="6:7">
      <c r="F85" t="s">
        <v>428</v>
      </c>
      <c r="G85" t="s">
        <v>1108</v>
      </c>
    </row>
    <row r="86" spans="6:7">
      <c r="F86" t="s">
        <v>431</v>
      </c>
      <c r="G86" t="s">
        <v>1108</v>
      </c>
    </row>
    <row r="87" spans="6:7">
      <c r="F87" t="s">
        <v>434</v>
      </c>
      <c r="G87" t="s">
        <v>1108</v>
      </c>
    </row>
    <row r="88" spans="6:7">
      <c r="F88" t="s">
        <v>436</v>
      </c>
      <c r="G88" t="s">
        <v>1108</v>
      </c>
    </row>
    <row r="89" spans="6:7">
      <c r="F89" t="s">
        <v>438</v>
      </c>
      <c r="G89" t="s">
        <v>1108</v>
      </c>
    </row>
    <row r="90" spans="6:7">
      <c r="F90" t="s">
        <v>440</v>
      </c>
      <c r="G90" t="s">
        <v>1108</v>
      </c>
    </row>
    <row r="91" spans="6:7">
      <c r="F91" t="s">
        <v>443</v>
      </c>
      <c r="G91" t="s">
        <v>136</v>
      </c>
    </row>
    <row r="92" spans="6:7">
      <c r="F92" t="s">
        <v>446</v>
      </c>
      <c r="G92" t="s">
        <v>1108</v>
      </c>
    </row>
    <row r="93" spans="6:7">
      <c r="F93" t="s">
        <v>449</v>
      </c>
      <c r="G93" t="s">
        <v>1108</v>
      </c>
    </row>
    <row r="94" spans="6:7">
      <c r="F94" t="s">
        <v>451</v>
      </c>
      <c r="G94" t="s">
        <v>1108</v>
      </c>
    </row>
    <row r="95" spans="6:7">
      <c r="F95" t="s">
        <v>453</v>
      </c>
      <c r="G95" t="s">
        <v>1108</v>
      </c>
    </row>
    <row r="96" spans="6:7">
      <c r="F96" t="s">
        <v>455</v>
      </c>
      <c r="G96" t="s">
        <v>1108</v>
      </c>
    </row>
    <row r="97" spans="6:7">
      <c r="F97" t="s">
        <v>457</v>
      </c>
      <c r="G97" t="s">
        <v>1108</v>
      </c>
    </row>
    <row r="98" spans="6:7">
      <c r="F98" t="s">
        <v>459</v>
      </c>
      <c r="G98" t="s">
        <v>1108</v>
      </c>
    </row>
    <row r="99" spans="6:7">
      <c r="F99" t="s">
        <v>460</v>
      </c>
      <c r="G99" t="s">
        <v>1108</v>
      </c>
    </row>
    <row r="100" spans="6:7">
      <c r="F100" t="s">
        <v>463</v>
      </c>
      <c r="G100" t="s">
        <v>1108</v>
      </c>
    </row>
    <row r="101" spans="6:7">
      <c r="F101" t="s">
        <v>466</v>
      </c>
      <c r="G101" t="s">
        <v>1108</v>
      </c>
    </row>
    <row r="102" spans="6:7">
      <c r="F102" t="s">
        <v>469</v>
      </c>
      <c r="G102" t="s">
        <v>1108</v>
      </c>
    </row>
    <row r="103" spans="6:7">
      <c r="F103" t="s">
        <v>472</v>
      </c>
      <c r="G103" t="s">
        <v>1108</v>
      </c>
    </row>
    <row r="104" spans="6:7">
      <c r="F104" t="s">
        <v>475</v>
      </c>
      <c r="G104" t="s">
        <v>1108</v>
      </c>
    </row>
    <row r="105" spans="6:7">
      <c r="F105" t="s">
        <v>478</v>
      </c>
      <c r="G105" t="s">
        <v>1108</v>
      </c>
    </row>
    <row r="106" spans="6:7">
      <c r="F106" t="s">
        <v>480</v>
      </c>
      <c r="G106" t="s">
        <v>136</v>
      </c>
    </row>
    <row r="107" spans="6:7">
      <c r="F107" t="s">
        <v>482</v>
      </c>
      <c r="G107" t="s">
        <v>136</v>
      </c>
    </row>
    <row r="108" spans="6:7">
      <c r="F108" t="s">
        <v>484</v>
      </c>
      <c r="G108" t="s">
        <v>1108</v>
      </c>
    </row>
    <row r="109" spans="6:7">
      <c r="F109" t="s">
        <v>487</v>
      </c>
      <c r="G109" t="s">
        <v>1108</v>
      </c>
    </row>
    <row r="110" spans="6:7">
      <c r="F110" t="s">
        <v>490</v>
      </c>
      <c r="G110" t="s">
        <v>1108</v>
      </c>
    </row>
    <row r="111" spans="6:7">
      <c r="F111" t="s">
        <v>492</v>
      </c>
      <c r="G111" t="s">
        <v>1108</v>
      </c>
    </row>
    <row r="112" spans="6:7">
      <c r="F112" t="s">
        <v>495</v>
      </c>
      <c r="G112" t="s">
        <v>1108</v>
      </c>
    </row>
    <row r="113" spans="6:7">
      <c r="F113" t="s">
        <v>498</v>
      </c>
      <c r="G113" t="s">
        <v>1108</v>
      </c>
    </row>
    <row r="114" spans="6:7">
      <c r="F114" t="s">
        <v>500</v>
      </c>
      <c r="G114" t="s">
        <v>1108</v>
      </c>
    </row>
    <row r="115" spans="6:7">
      <c r="F115" t="s">
        <v>502</v>
      </c>
      <c r="G115" t="s">
        <v>1108</v>
      </c>
    </row>
    <row r="116" spans="6:7">
      <c r="F116" t="s">
        <v>504</v>
      </c>
      <c r="G116" t="s">
        <v>1108</v>
      </c>
    </row>
    <row r="117" spans="6:7">
      <c r="F117" t="s">
        <v>506</v>
      </c>
      <c r="G117" t="s">
        <v>1108</v>
      </c>
    </row>
    <row r="118" spans="6:7">
      <c r="F118" t="s">
        <v>508</v>
      </c>
      <c r="G118" t="s">
        <v>1108</v>
      </c>
    </row>
    <row r="119" spans="6:7">
      <c r="F119" t="s">
        <v>511</v>
      </c>
      <c r="G119" t="s">
        <v>1108</v>
      </c>
    </row>
    <row r="120" spans="6:7">
      <c r="F120" t="s">
        <v>513</v>
      </c>
      <c r="G120" t="s">
        <v>136</v>
      </c>
    </row>
    <row r="121" spans="6:7">
      <c r="F121" t="s">
        <v>516</v>
      </c>
      <c r="G121" t="s">
        <v>1108</v>
      </c>
    </row>
    <row r="122" spans="6:7">
      <c r="F122" t="s">
        <v>519</v>
      </c>
      <c r="G122" t="s">
        <v>136</v>
      </c>
    </row>
    <row r="123" spans="6:7">
      <c r="F123" t="s">
        <v>520</v>
      </c>
      <c r="G123" t="s">
        <v>1108</v>
      </c>
    </row>
    <row r="124" spans="6:7">
      <c r="F124" t="s">
        <v>522</v>
      </c>
      <c r="G124" t="s">
        <v>1108</v>
      </c>
    </row>
    <row r="125" spans="6:7">
      <c r="F125" t="s">
        <v>524</v>
      </c>
      <c r="G125" t="s">
        <v>1108</v>
      </c>
    </row>
    <row r="126" spans="6:7">
      <c r="F126" t="s">
        <v>526</v>
      </c>
      <c r="G126" t="s">
        <v>1108</v>
      </c>
    </row>
    <row r="127" spans="6:7">
      <c r="F127" t="s">
        <v>529</v>
      </c>
      <c r="G127" t="s">
        <v>1108</v>
      </c>
    </row>
    <row r="128" spans="6:7">
      <c r="F128" t="s">
        <v>533</v>
      </c>
      <c r="G128" t="s">
        <v>136</v>
      </c>
    </row>
    <row r="129" spans="6:7">
      <c r="F129" t="s">
        <v>536</v>
      </c>
      <c r="G129" t="s">
        <v>1108</v>
      </c>
    </row>
    <row r="130" spans="6:7">
      <c r="F130" t="s">
        <v>539</v>
      </c>
      <c r="G130" t="s">
        <v>1108</v>
      </c>
    </row>
    <row r="131" spans="6:7">
      <c r="F131" t="s">
        <v>549</v>
      </c>
      <c r="G131" t="s">
        <v>1108</v>
      </c>
    </row>
    <row r="132" spans="6:7">
      <c r="F132" t="s">
        <v>550</v>
      </c>
      <c r="G132" t="s">
        <v>1108</v>
      </c>
    </row>
    <row r="133" spans="6:7">
      <c r="F133" t="s">
        <v>554</v>
      </c>
      <c r="G133" t="s">
        <v>136</v>
      </c>
    </row>
    <row r="134" spans="6:7">
      <c r="F134" t="s">
        <v>556</v>
      </c>
      <c r="G134" t="s">
        <v>1108</v>
      </c>
    </row>
    <row r="135" spans="6:7">
      <c r="F135" t="s">
        <v>559</v>
      </c>
      <c r="G135" t="s">
        <v>1108</v>
      </c>
    </row>
    <row r="136" spans="6:7">
      <c r="F136" t="s">
        <v>563</v>
      </c>
      <c r="G136" t="s">
        <v>1108</v>
      </c>
    </row>
    <row r="137" spans="6:7">
      <c r="F137" t="s">
        <v>566</v>
      </c>
      <c r="G137" t="s">
        <v>1108</v>
      </c>
    </row>
    <row r="138" spans="6:7">
      <c r="F138" t="s">
        <v>569</v>
      </c>
      <c r="G138" t="s">
        <v>1108</v>
      </c>
    </row>
    <row r="139" spans="6:7">
      <c r="F139" t="s">
        <v>571</v>
      </c>
      <c r="G139" t="s">
        <v>1108</v>
      </c>
    </row>
    <row r="140" spans="6:7">
      <c r="F140" t="s">
        <v>573</v>
      </c>
      <c r="G140" t="s">
        <v>1108</v>
      </c>
    </row>
    <row r="141" spans="6:7">
      <c r="F141" t="s">
        <v>576</v>
      </c>
      <c r="G141" t="s">
        <v>1108</v>
      </c>
    </row>
    <row r="142" spans="6:7">
      <c r="F142" t="s">
        <v>579</v>
      </c>
      <c r="G142" t="s">
        <v>1108</v>
      </c>
    </row>
    <row r="143" spans="6:7">
      <c r="F143" t="s">
        <v>582</v>
      </c>
      <c r="G143" t="s">
        <v>1108</v>
      </c>
    </row>
    <row r="144" spans="6:7">
      <c r="F144" t="s">
        <v>584</v>
      </c>
      <c r="G144" t="s">
        <v>1108</v>
      </c>
    </row>
    <row r="145" spans="6:7">
      <c r="F145" t="s">
        <v>586</v>
      </c>
      <c r="G145" t="s">
        <v>1108</v>
      </c>
    </row>
    <row r="146" spans="6:7">
      <c r="F146" t="s">
        <v>588</v>
      </c>
      <c r="G146" t="s">
        <v>1108</v>
      </c>
    </row>
    <row r="147" spans="6:7">
      <c r="F147" t="s">
        <v>590</v>
      </c>
      <c r="G147" t="s">
        <v>1108</v>
      </c>
    </row>
    <row r="148" spans="6:7">
      <c r="F148" t="s">
        <v>593</v>
      </c>
      <c r="G148" t="s">
        <v>1108</v>
      </c>
    </row>
    <row r="149" spans="6:7">
      <c r="F149" t="s">
        <v>596</v>
      </c>
      <c r="G149" t="s">
        <v>1108</v>
      </c>
    </row>
    <row r="150" spans="6:7">
      <c r="F150" t="s">
        <v>598</v>
      </c>
      <c r="G150" t="s">
        <v>1108</v>
      </c>
    </row>
    <row r="151" spans="6:7">
      <c r="F151" t="s">
        <v>600</v>
      </c>
      <c r="G151" t="s">
        <v>1108</v>
      </c>
    </row>
    <row r="152" spans="6:7">
      <c r="F152" t="s">
        <v>602</v>
      </c>
      <c r="G152" t="s">
        <v>1108</v>
      </c>
    </row>
    <row r="153" spans="6:7">
      <c r="F153" t="s">
        <v>604</v>
      </c>
      <c r="G153" t="s">
        <v>1108</v>
      </c>
    </row>
    <row r="154" spans="6:7">
      <c r="F154" t="s">
        <v>607</v>
      </c>
      <c r="G154" t="s">
        <v>1108</v>
      </c>
    </row>
    <row r="155" spans="6:7">
      <c r="F155" t="s">
        <v>610</v>
      </c>
      <c r="G155" t="s">
        <v>1108</v>
      </c>
    </row>
    <row r="156" spans="6:7">
      <c r="F156" t="s">
        <v>611</v>
      </c>
      <c r="G156" t="s">
        <v>1108</v>
      </c>
    </row>
    <row r="157" spans="6:7">
      <c r="F157" t="s">
        <v>612</v>
      </c>
      <c r="G157" t="s">
        <v>1108</v>
      </c>
    </row>
    <row r="158" spans="6:7">
      <c r="F158" t="s">
        <v>613</v>
      </c>
      <c r="G158" t="s">
        <v>1108</v>
      </c>
    </row>
    <row r="159" spans="6:7">
      <c r="F159" t="s">
        <v>614</v>
      </c>
      <c r="G159" t="s">
        <v>1108</v>
      </c>
    </row>
    <row r="160" spans="6:7">
      <c r="F160" t="s">
        <v>615</v>
      </c>
      <c r="G160" t="s">
        <v>1108</v>
      </c>
    </row>
    <row r="161" spans="6:7">
      <c r="F161" t="s">
        <v>618</v>
      </c>
      <c r="G161" t="s">
        <v>1108</v>
      </c>
    </row>
    <row r="162" spans="6:7">
      <c r="F162" t="s">
        <v>621</v>
      </c>
      <c r="G162" t="s">
        <v>1108</v>
      </c>
    </row>
    <row r="163" spans="6:7">
      <c r="F163" t="s">
        <v>623</v>
      </c>
      <c r="G163" t="s">
        <v>1108</v>
      </c>
    </row>
    <row r="164" spans="6:7">
      <c r="F164" t="s">
        <v>625</v>
      </c>
      <c r="G164" t="s">
        <v>1108</v>
      </c>
    </row>
    <row r="165" spans="6:7">
      <c r="F165" t="s">
        <v>627</v>
      </c>
      <c r="G165" t="s">
        <v>1108</v>
      </c>
    </row>
    <row r="166" spans="6:7">
      <c r="F166" t="s">
        <v>629</v>
      </c>
      <c r="G166" t="s">
        <v>1108</v>
      </c>
    </row>
    <row r="167" spans="6:7">
      <c r="F167" t="s">
        <v>631</v>
      </c>
      <c r="G167" t="s">
        <v>1108</v>
      </c>
    </row>
    <row r="168" spans="6:7">
      <c r="F168" t="s">
        <v>633</v>
      </c>
      <c r="G168" t="s">
        <v>1108</v>
      </c>
    </row>
    <row r="169" spans="6:7">
      <c r="F169" t="s">
        <v>635</v>
      </c>
      <c r="G169" t="s">
        <v>1108</v>
      </c>
    </row>
    <row r="170" spans="6:7">
      <c r="F170" t="s">
        <v>637</v>
      </c>
      <c r="G170" t="s">
        <v>1108</v>
      </c>
    </row>
    <row r="171" spans="6:7">
      <c r="F171" t="s">
        <v>640</v>
      </c>
      <c r="G171" t="s">
        <v>1108</v>
      </c>
    </row>
    <row r="172" spans="6:7">
      <c r="F172" t="s">
        <v>643</v>
      </c>
      <c r="G172" t="s">
        <v>1108</v>
      </c>
    </row>
    <row r="173" spans="6:7">
      <c r="F173" t="s">
        <v>645</v>
      </c>
      <c r="G173" t="s">
        <v>1108</v>
      </c>
    </row>
    <row r="174" spans="6:7">
      <c r="F174" t="s">
        <v>647</v>
      </c>
      <c r="G174" t="s">
        <v>1108</v>
      </c>
    </row>
    <row r="175" spans="6:7">
      <c r="F175" t="s">
        <v>649</v>
      </c>
      <c r="G175" t="s">
        <v>1108</v>
      </c>
    </row>
    <row r="176" spans="6:7">
      <c r="F176" t="s">
        <v>651</v>
      </c>
      <c r="G176" t="s">
        <v>1108</v>
      </c>
    </row>
    <row r="177" spans="6:7">
      <c r="F177" t="s">
        <v>653</v>
      </c>
      <c r="G177" t="s">
        <v>1108</v>
      </c>
    </row>
    <row r="178" spans="6:7">
      <c r="F178" t="s">
        <v>664</v>
      </c>
      <c r="G178" t="s">
        <v>1108</v>
      </c>
    </row>
    <row r="179" spans="6:7">
      <c r="F179" t="s">
        <v>665</v>
      </c>
      <c r="G179" t="s">
        <v>1108</v>
      </c>
    </row>
    <row r="180" spans="6:7">
      <c r="F180" t="s">
        <v>666</v>
      </c>
      <c r="G180" t="s">
        <v>1108</v>
      </c>
    </row>
    <row r="181" spans="6:7">
      <c r="F181" t="s">
        <v>667</v>
      </c>
      <c r="G181" t="s">
        <v>1108</v>
      </c>
    </row>
    <row r="182" spans="6:7">
      <c r="F182" t="s">
        <v>671</v>
      </c>
      <c r="G182" t="s">
        <v>1108</v>
      </c>
    </row>
    <row r="183" spans="6:7">
      <c r="F183" t="s">
        <v>674</v>
      </c>
      <c r="G183" t="s">
        <v>1108</v>
      </c>
    </row>
    <row r="184" spans="6:7">
      <c r="F184" t="s">
        <v>677</v>
      </c>
      <c r="G184" t="s">
        <v>1108</v>
      </c>
    </row>
    <row r="185" spans="6:7">
      <c r="F185" t="s">
        <v>680</v>
      </c>
      <c r="G185" t="s">
        <v>1108</v>
      </c>
    </row>
    <row r="186" spans="6:7">
      <c r="F186" t="s">
        <v>682</v>
      </c>
      <c r="G186" t="s">
        <v>1108</v>
      </c>
    </row>
    <row r="187" spans="6:7">
      <c r="F187" t="s">
        <v>685</v>
      </c>
      <c r="G187" t="s">
        <v>1108</v>
      </c>
    </row>
    <row r="188" spans="6:7">
      <c r="F188" t="s">
        <v>690</v>
      </c>
      <c r="G188" t="s">
        <v>1108</v>
      </c>
    </row>
    <row r="189" spans="6:7">
      <c r="F189" t="s">
        <v>693</v>
      </c>
      <c r="G189" t="s">
        <v>1108</v>
      </c>
    </row>
    <row r="190" spans="6:7">
      <c r="F190" t="s">
        <v>696</v>
      </c>
      <c r="G190" t="s">
        <v>1108</v>
      </c>
    </row>
    <row r="191" spans="6:7">
      <c r="F191" t="s">
        <v>699</v>
      </c>
      <c r="G191" t="s">
        <v>1108</v>
      </c>
    </row>
    <row r="192" spans="6:7">
      <c r="F192" t="s">
        <v>702</v>
      </c>
      <c r="G192" t="s">
        <v>1108</v>
      </c>
    </row>
    <row r="193" spans="6:7">
      <c r="F193" t="s">
        <v>705</v>
      </c>
      <c r="G193" t="s">
        <v>1108</v>
      </c>
    </row>
    <row r="194" spans="6:7">
      <c r="F194" t="s">
        <v>707</v>
      </c>
      <c r="G194" t="s">
        <v>1108</v>
      </c>
    </row>
    <row r="195" spans="6:7">
      <c r="F195" t="s">
        <v>709</v>
      </c>
      <c r="G195" t="s">
        <v>1108</v>
      </c>
    </row>
    <row r="196" spans="6:7">
      <c r="F196" t="s">
        <v>711</v>
      </c>
      <c r="G196" t="s">
        <v>1108</v>
      </c>
    </row>
    <row r="197" spans="6:7">
      <c r="F197" t="s">
        <v>713</v>
      </c>
      <c r="G197" t="s">
        <v>1108</v>
      </c>
    </row>
    <row r="198" spans="6:7">
      <c r="F198" t="s">
        <v>716</v>
      </c>
      <c r="G198" t="s">
        <v>1108</v>
      </c>
    </row>
    <row r="199" spans="6:7">
      <c r="F199" t="s">
        <v>720</v>
      </c>
      <c r="G199" t="s">
        <v>1108</v>
      </c>
    </row>
    <row r="200" spans="6:7">
      <c r="F200" t="s">
        <v>723</v>
      </c>
      <c r="G200" t="s">
        <v>1108</v>
      </c>
    </row>
    <row r="201" spans="6:7">
      <c r="F201" t="s">
        <v>726</v>
      </c>
      <c r="G201" t="s">
        <v>1108</v>
      </c>
    </row>
    <row r="202" spans="6:7">
      <c r="F202" t="s">
        <v>730</v>
      </c>
      <c r="G202" t="s">
        <v>1108</v>
      </c>
    </row>
    <row r="203" spans="6:7">
      <c r="F203" t="s">
        <v>733</v>
      </c>
      <c r="G203" t="s">
        <v>1108</v>
      </c>
    </row>
    <row r="204" spans="6:7">
      <c r="F204" t="s">
        <v>736</v>
      </c>
      <c r="G204" t="s">
        <v>1108</v>
      </c>
    </row>
    <row r="205" spans="6:7">
      <c r="F205" t="s">
        <v>739</v>
      </c>
      <c r="G205" t="s">
        <v>1108</v>
      </c>
    </row>
    <row r="206" spans="6:7">
      <c r="F206" t="s">
        <v>741</v>
      </c>
      <c r="G206" t="s">
        <v>1108</v>
      </c>
    </row>
    <row r="207" spans="6:7">
      <c r="F207" t="s">
        <v>743</v>
      </c>
      <c r="G207" t="s">
        <v>1108</v>
      </c>
    </row>
    <row r="208" spans="6:7">
      <c r="F208" t="s">
        <v>745</v>
      </c>
      <c r="G208" t="s">
        <v>1108</v>
      </c>
    </row>
    <row r="209" spans="6:7">
      <c r="F209" t="s">
        <v>749</v>
      </c>
      <c r="G209" t="s">
        <v>1108</v>
      </c>
    </row>
    <row r="210" spans="6:7">
      <c r="F210" t="s">
        <v>752</v>
      </c>
      <c r="G210" t="s">
        <v>1108</v>
      </c>
    </row>
    <row r="211" spans="6:7">
      <c r="F211" t="s">
        <v>754</v>
      </c>
      <c r="G211" t="s">
        <v>1108</v>
      </c>
    </row>
    <row r="212" spans="6:7">
      <c r="F212" t="s">
        <v>757</v>
      </c>
      <c r="G212" t="s">
        <v>1108</v>
      </c>
    </row>
    <row r="213" spans="6:7">
      <c r="F213" t="s">
        <v>760</v>
      </c>
      <c r="G213" t="s">
        <v>1108</v>
      </c>
    </row>
    <row r="214" spans="6:7">
      <c r="F214" t="s">
        <v>762</v>
      </c>
      <c r="G214" t="s">
        <v>1108</v>
      </c>
    </row>
    <row r="215" spans="6:7">
      <c r="F215" t="s">
        <v>764</v>
      </c>
      <c r="G215" t="s">
        <v>1108</v>
      </c>
    </row>
    <row r="216" spans="6:7">
      <c r="F216" t="s">
        <v>766</v>
      </c>
      <c r="G216" t="s">
        <v>1108</v>
      </c>
    </row>
    <row r="217" spans="6:7">
      <c r="F217" t="s">
        <v>768</v>
      </c>
      <c r="G217" t="s">
        <v>1108</v>
      </c>
    </row>
    <row r="218" spans="6:7">
      <c r="F218" t="s">
        <v>770</v>
      </c>
      <c r="G218" t="s">
        <v>1108</v>
      </c>
    </row>
    <row r="219" spans="6:7">
      <c r="F219" t="s">
        <v>772</v>
      </c>
      <c r="G219" t="s">
        <v>1108</v>
      </c>
    </row>
    <row r="220" spans="6:7">
      <c r="F220" t="s">
        <v>774</v>
      </c>
      <c r="G220" t="s">
        <v>1108</v>
      </c>
    </row>
    <row r="221" spans="6:7">
      <c r="F221" t="s">
        <v>777</v>
      </c>
      <c r="G221" t="s">
        <v>1108</v>
      </c>
    </row>
    <row r="222" spans="6:7">
      <c r="F222" t="s">
        <v>781</v>
      </c>
      <c r="G222" t="s">
        <v>1108</v>
      </c>
    </row>
    <row r="223" spans="6:7">
      <c r="F223" t="s">
        <v>784</v>
      </c>
      <c r="G223" t="s">
        <v>1108</v>
      </c>
    </row>
    <row r="224" spans="6:7">
      <c r="F224" t="s">
        <v>787</v>
      </c>
      <c r="G224" t="s">
        <v>1108</v>
      </c>
    </row>
    <row r="225" spans="6:7">
      <c r="F225" t="s">
        <v>790</v>
      </c>
      <c r="G225" t="s">
        <v>1108</v>
      </c>
    </row>
    <row r="226" spans="6:7">
      <c r="F226" t="s">
        <v>793</v>
      </c>
      <c r="G226" t="s">
        <v>1108</v>
      </c>
    </row>
    <row r="227" spans="6:7">
      <c r="F227" t="s">
        <v>796</v>
      </c>
      <c r="G227" t="s">
        <v>1108</v>
      </c>
    </row>
    <row r="228" spans="6:7">
      <c r="F228" t="s">
        <v>799</v>
      </c>
      <c r="G228" t="s">
        <v>1108</v>
      </c>
    </row>
    <row r="229" spans="6:7">
      <c r="F229" t="s">
        <v>801</v>
      </c>
      <c r="G229" t="s">
        <v>1108</v>
      </c>
    </row>
    <row r="230" spans="6:7">
      <c r="F230" t="s">
        <v>803</v>
      </c>
      <c r="G230" t="s">
        <v>1108</v>
      </c>
    </row>
    <row r="231" spans="6:7">
      <c r="F231" t="s">
        <v>806</v>
      </c>
      <c r="G231" t="s">
        <v>1108</v>
      </c>
    </row>
    <row r="232" spans="6:7">
      <c r="F232" t="s">
        <v>808</v>
      </c>
      <c r="G232" t="s">
        <v>1108</v>
      </c>
    </row>
    <row r="233" spans="6:7">
      <c r="F233" t="s">
        <v>811</v>
      </c>
      <c r="G233" t="s">
        <v>1108</v>
      </c>
    </row>
    <row r="234" spans="6:7">
      <c r="F234" t="s">
        <v>814</v>
      </c>
      <c r="G234" t="s">
        <v>1108</v>
      </c>
    </row>
    <row r="235" spans="6:7">
      <c r="F235" t="s">
        <v>816</v>
      </c>
      <c r="G235" t="s">
        <v>1108</v>
      </c>
    </row>
    <row r="236" spans="6:7">
      <c r="F236" t="s">
        <v>818</v>
      </c>
      <c r="G236" t="s">
        <v>1108</v>
      </c>
    </row>
    <row r="237" spans="6:7">
      <c r="F237" t="s">
        <v>820</v>
      </c>
      <c r="G237" t="s">
        <v>1108</v>
      </c>
    </row>
    <row r="238" spans="6:7">
      <c r="F238" t="s">
        <v>822</v>
      </c>
      <c r="G238" t="s">
        <v>1108</v>
      </c>
    </row>
    <row r="239" spans="6:7">
      <c r="F239" t="s">
        <v>825</v>
      </c>
      <c r="G239" t="s">
        <v>1108</v>
      </c>
    </row>
    <row r="240" spans="6:7">
      <c r="F240" t="s">
        <v>828</v>
      </c>
      <c r="G240" t="s">
        <v>1108</v>
      </c>
    </row>
    <row r="241" spans="6:7">
      <c r="F241" t="s">
        <v>830</v>
      </c>
      <c r="G241" t="s">
        <v>1108</v>
      </c>
    </row>
    <row r="242" spans="6:7">
      <c r="F242" t="s">
        <v>832</v>
      </c>
      <c r="G242" t="s">
        <v>1108</v>
      </c>
    </row>
    <row r="243" spans="6:7">
      <c r="F243" t="s">
        <v>834</v>
      </c>
      <c r="G243" t="s">
        <v>1108</v>
      </c>
    </row>
    <row r="244" spans="6:7">
      <c r="F244" t="s">
        <v>836</v>
      </c>
      <c r="G244" t="s">
        <v>1108</v>
      </c>
    </row>
    <row r="245" spans="6:7">
      <c r="F245" t="s">
        <v>839</v>
      </c>
      <c r="G245" t="s">
        <v>1108</v>
      </c>
    </row>
    <row r="246" spans="6:7">
      <c r="F246" t="s">
        <v>842</v>
      </c>
      <c r="G246" t="s">
        <v>1108</v>
      </c>
    </row>
    <row r="247" spans="6:7">
      <c r="F247" t="s">
        <v>844</v>
      </c>
      <c r="G247" t="s">
        <v>1108</v>
      </c>
    </row>
    <row r="248" spans="6:7">
      <c r="F248" t="s">
        <v>846</v>
      </c>
      <c r="G248" t="s">
        <v>1108</v>
      </c>
    </row>
    <row r="249" spans="6:7">
      <c r="F249" t="s">
        <v>849</v>
      </c>
      <c r="G249" t="s">
        <v>1108</v>
      </c>
    </row>
    <row r="250" spans="6:7">
      <c r="F250" t="s">
        <v>852</v>
      </c>
      <c r="G250" t="s">
        <v>1108</v>
      </c>
    </row>
    <row r="251" spans="6:7">
      <c r="F251" t="s">
        <v>855</v>
      </c>
      <c r="G251" t="s">
        <v>1108</v>
      </c>
    </row>
    <row r="252" spans="6:7">
      <c r="F252" t="s">
        <v>857</v>
      </c>
      <c r="G252" t="s">
        <v>1108</v>
      </c>
    </row>
    <row r="253" spans="6:7">
      <c r="F253" t="s">
        <v>860</v>
      </c>
      <c r="G253" t="s">
        <v>1108</v>
      </c>
    </row>
    <row r="254" spans="6:7">
      <c r="F254" t="s">
        <v>863</v>
      </c>
      <c r="G254" t="s">
        <v>1108</v>
      </c>
    </row>
    <row r="255" spans="6:7">
      <c r="F255" t="s">
        <v>865</v>
      </c>
      <c r="G255" t="s">
        <v>1108</v>
      </c>
    </row>
    <row r="256" spans="6:7">
      <c r="F256" t="s">
        <v>867</v>
      </c>
      <c r="G256" t="s">
        <v>1108</v>
      </c>
    </row>
    <row r="257" spans="6:7">
      <c r="F257" t="s">
        <v>869</v>
      </c>
      <c r="G257" t="s">
        <v>1108</v>
      </c>
    </row>
    <row r="258" spans="6:7">
      <c r="F258" t="s">
        <v>871</v>
      </c>
      <c r="G258" t="s">
        <v>1108</v>
      </c>
    </row>
    <row r="259" spans="6:7">
      <c r="F259" t="s">
        <v>873</v>
      </c>
      <c r="G259" t="s">
        <v>1108</v>
      </c>
    </row>
    <row r="260" spans="6:7">
      <c r="F260" t="s">
        <v>876</v>
      </c>
      <c r="G260" t="s">
        <v>1108</v>
      </c>
    </row>
    <row r="261" spans="6:7">
      <c r="F261" t="s">
        <v>878</v>
      </c>
      <c r="G261" t="s">
        <v>1108</v>
      </c>
    </row>
    <row r="262" spans="6:7">
      <c r="F262" t="s">
        <v>881</v>
      </c>
      <c r="G262" t="s">
        <v>1108</v>
      </c>
    </row>
    <row r="263" spans="6:7">
      <c r="F263" t="s">
        <v>883</v>
      </c>
      <c r="G263" t="s">
        <v>1108</v>
      </c>
    </row>
    <row r="264" spans="6:7">
      <c r="F264" t="s">
        <v>885</v>
      </c>
      <c r="G264" t="s">
        <v>1108</v>
      </c>
    </row>
    <row r="265" spans="6:7">
      <c r="F265" t="s">
        <v>887</v>
      </c>
      <c r="G265" t="s">
        <v>1108</v>
      </c>
    </row>
    <row r="266" spans="6:7">
      <c r="F266" t="s">
        <v>889</v>
      </c>
      <c r="G266" t="s">
        <v>1108</v>
      </c>
    </row>
    <row r="267" spans="6:7">
      <c r="F267" t="s">
        <v>891</v>
      </c>
      <c r="G267" t="s">
        <v>1108</v>
      </c>
    </row>
    <row r="268" spans="6:7">
      <c r="F268" t="s">
        <v>893</v>
      </c>
      <c r="G268" t="s">
        <v>1108</v>
      </c>
    </row>
    <row r="269" spans="6:7">
      <c r="F269" t="s">
        <v>895</v>
      </c>
      <c r="G269" t="s">
        <v>1108</v>
      </c>
    </row>
    <row r="270" spans="6:7">
      <c r="F270" t="s">
        <v>898</v>
      </c>
      <c r="G270" t="s">
        <v>1108</v>
      </c>
    </row>
    <row r="271" spans="6:7">
      <c r="F271" t="s">
        <v>900</v>
      </c>
      <c r="G271" t="s">
        <v>1108</v>
      </c>
    </row>
    <row r="272" spans="6:7">
      <c r="F272" t="s">
        <v>902</v>
      </c>
      <c r="G272" t="s">
        <v>1108</v>
      </c>
    </row>
    <row r="273" spans="6:7">
      <c r="F273" t="s">
        <v>904</v>
      </c>
      <c r="G273" t="s">
        <v>1108</v>
      </c>
    </row>
    <row r="274" spans="6:7">
      <c r="F274" t="s">
        <v>1128</v>
      </c>
      <c r="G274" t="s">
        <v>1108</v>
      </c>
    </row>
    <row r="275" spans="6:7">
      <c r="F275" t="s">
        <v>1129</v>
      </c>
      <c r="G275" t="s">
        <v>1108</v>
      </c>
    </row>
    <row r="276" spans="6:7">
      <c r="F276" t="s">
        <v>1130</v>
      </c>
      <c r="G276" t="s">
        <v>1108</v>
      </c>
    </row>
    <row r="277" spans="6:7">
      <c r="F277" t="s">
        <v>1131</v>
      </c>
      <c r="G277" t="s">
        <v>1108</v>
      </c>
    </row>
    <row r="278" spans="6:7">
      <c r="F278" t="s">
        <v>1132</v>
      </c>
      <c r="G278" t="s">
        <v>1108</v>
      </c>
    </row>
    <row r="279" spans="6:7">
      <c r="F279" t="s">
        <v>1133</v>
      </c>
      <c r="G279" t="s">
        <v>1108</v>
      </c>
    </row>
    <row r="280" spans="6:7">
      <c r="F280" t="s">
        <v>1134</v>
      </c>
      <c r="G280" t="s">
        <v>1108</v>
      </c>
    </row>
    <row r="281" spans="6:7">
      <c r="F281" t="s">
        <v>1135</v>
      </c>
      <c r="G281" t="s">
        <v>1108</v>
      </c>
    </row>
    <row r="282" spans="6:7">
      <c r="F282" t="s">
        <v>1136</v>
      </c>
      <c r="G282" t="s">
        <v>1108</v>
      </c>
    </row>
    <row r="283" spans="6:7">
      <c r="F283" t="s">
        <v>1137</v>
      </c>
      <c r="G283" t="s">
        <v>1108</v>
      </c>
    </row>
    <row r="284" spans="6:7">
      <c r="F284" t="s">
        <v>1138</v>
      </c>
      <c r="G284" t="s">
        <v>1108</v>
      </c>
    </row>
    <row r="285" spans="6:7">
      <c r="F285" t="s">
        <v>1139</v>
      </c>
      <c r="G285" t="s">
        <v>1108</v>
      </c>
    </row>
    <row r="286" spans="6:7">
      <c r="F286" t="s">
        <v>1140</v>
      </c>
      <c r="G286" t="s">
        <v>1108</v>
      </c>
    </row>
    <row r="287" spans="6:7">
      <c r="F287" t="s">
        <v>1141</v>
      </c>
      <c r="G287" t="s">
        <v>1108</v>
      </c>
    </row>
    <row r="288" spans="6:7">
      <c r="F288" t="s">
        <v>1142</v>
      </c>
      <c r="G288" t="s">
        <v>1108</v>
      </c>
    </row>
    <row r="289" spans="6:7">
      <c r="F289" t="s">
        <v>1143</v>
      </c>
      <c r="G289" t="s">
        <v>1108</v>
      </c>
    </row>
    <row r="290" spans="6:7">
      <c r="F290" t="s">
        <v>1144</v>
      </c>
      <c r="G290" t="s">
        <v>1108</v>
      </c>
    </row>
    <row r="291" spans="6:7">
      <c r="F291" t="s">
        <v>1145</v>
      </c>
      <c r="G291" t="s">
        <v>1108</v>
      </c>
    </row>
    <row r="292" spans="6:7">
      <c r="F292" t="s">
        <v>1146</v>
      </c>
      <c r="G292" t="s">
        <v>1108</v>
      </c>
    </row>
    <row r="293" spans="6:7">
      <c r="F293" t="s">
        <v>1147</v>
      </c>
      <c r="G293" t="s">
        <v>1108</v>
      </c>
    </row>
    <row r="294" spans="6:7">
      <c r="F294" t="s">
        <v>1148</v>
      </c>
      <c r="G294" t="s">
        <v>1108</v>
      </c>
    </row>
    <row r="295" spans="6:7">
      <c r="F295" t="s">
        <v>1149</v>
      </c>
      <c r="G295" t="s">
        <v>1108</v>
      </c>
    </row>
    <row r="296" spans="6:7">
      <c r="F296" t="s">
        <v>1150</v>
      </c>
      <c r="G296" t="s">
        <v>1108</v>
      </c>
    </row>
    <row r="297" spans="6:7">
      <c r="F297" t="s">
        <v>1151</v>
      </c>
      <c r="G297" t="s">
        <v>1108</v>
      </c>
    </row>
    <row r="298" spans="6:7">
      <c r="F298" t="s">
        <v>1152</v>
      </c>
      <c r="G298" t="s">
        <v>1108</v>
      </c>
    </row>
    <row r="299" spans="6:7">
      <c r="F299" t="s">
        <v>1153</v>
      </c>
      <c r="G299" t="s">
        <v>1108</v>
      </c>
    </row>
    <row r="300" spans="6:7">
      <c r="F300" t="s">
        <v>1154</v>
      </c>
      <c r="G300" t="s">
        <v>1108</v>
      </c>
    </row>
    <row r="301" spans="6:7">
      <c r="F301" t="s">
        <v>1155</v>
      </c>
      <c r="G301" t="s">
        <v>1108</v>
      </c>
    </row>
    <row r="302" spans="6:7">
      <c r="F302" t="s">
        <v>1156</v>
      </c>
      <c r="G302" t="s">
        <v>1108</v>
      </c>
    </row>
    <row r="303" spans="6:7">
      <c r="F303" t="s">
        <v>1157</v>
      </c>
      <c r="G303" t="s">
        <v>1108</v>
      </c>
    </row>
    <row r="304" spans="6:7">
      <c r="F304" t="s">
        <v>1158</v>
      </c>
      <c r="G304" t="s">
        <v>1108</v>
      </c>
    </row>
    <row r="305" spans="6:7">
      <c r="F305" t="s">
        <v>1159</v>
      </c>
      <c r="G305" t="s">
        <v>1108</v>
      </c>
    </row>
    <row r="306" spans="6:7">
      <c r="F306" t="s">
        <v>1160</v>
      </c>
      <c r="G306" t="s">
        <v>1108</v>
      </c>
    </row>
    <row r="307" spans="6:7">
      <c r="F307" t="s">
        <v>1161</v>
      </c>
      <c r="G307" t="s">
        <v>1108</v>
      </c>
    </row>
    <row r="308" spans="6:7">
      <c r="F308" t="s">
        <v>1162</v>
      </c>
      <c r="G308" t="s">
        <v>1108</v>
      </c>
    </row>
    <row r="309" spans="6:7">
      <c r="F309" t="s">
        <v>1163</v>
      </c>
      <c r="G309" t="s">
        <v>1108</v>
      </c>
    </row>
    <row r="310" spans="6:7">
      <c r="F310" t="s">
        <v>1164</v>
      </c>
      <c r="G310" t="s">
        <v>1108</v>
      </c>
    </row>
    <row r="311" spans="6:7">
      <c r="F311" t="s">
        <v>1165</v>
      </c>
      <c r="G311" t="s">
        <v>1108</v>
      </c>
    </row>
    <row r="312" spans="6:7">
      <c r="F312" t="s">
        <v>1166</v>
      </c>
      <c r="G312" t="s">
        <v>1108</v>
      </c>
    </row>
    <row r="313" spans="6:7">
      <c r="F313" t="s">
        <v>1167</v>
      </c>
      <c r="G313" t="s">
        <v>1108</v>
      </c>
    </row>
    <row r="314" spans="6:7">
      <c r="F314" t="s">
        <v>1168</v>
      </c>
      <c r="G314" t="s">
        <v>1108</v>
      </c>
    </row>
    <row r="315" spans="6:7">
      <c r="F315" t="s">
        <v>1169</v>
      </c>
      <c r="G315" t="s">
        <v>1108</v>
      </c>
    </row>
    <row r="316" spans="6:7">
      <c r="F316" t="s">
        <v>1170</v>
      </c>
      <c r="G316" t="s">
        <v>1108</v>
      </c>
    </row>
    <row r="317" spans="6:7">
      <c r="F317" t="s">
        <v>1171</v>
      </c>
      <c r="G317" t="s">
        <v>1108</v>
      </c>
    </row>
    <row r="318" spans="6:7">
      <c r="F318" t="s">
        <v>1172</v>
      </c>
      <c r="G318" t="s">
        <v>1108</v>
      </c>
    </row>
    <row r="319" spans="6:7">
      <c r="F319" t="s">
        <v>1173</v>
      </c>
      <c r="G319" t="s">
        <v>1108</v>
      </c>
    </row>
    <row r="320" spans="6:7">
      <c r="F320" t="s">
        <v>1174</v>
      </c>
      <c r="G320" t="s">
        <v>1108</v>
      </c>
    </row>
    <row r="321" spans="6:7">
      <c r="F321" t="s">
        <v>1175</v>
      </c>
      <c r="G321" t="s">
        <v>1108</v>
      </c>
    </row>
    <row r="322" spans="6:7">
      <c r="F322" t="s">
        <v>1176</v>
      </c>
      <c r="G322" t="s">
        <v>1108</v>
      </c>
    </row>
    <row r="323" spans="6:7">
      <c r="F323" t="s">
        <v>1177</v>
      </c>
      <c r="G323" t="s">
        <v>1108</v>
      </c>
    </row>
    <row r="324" spans="6:7">
      <c r="F324" t="s">
        <v>1178</v>
      </c>
      <c r="G324" t="s">
        <v>1108</v>
      </c>
    </row>
    <row r="325" spans="6:7">
      <c r="F325" t="s">
        <v>1179</v>
      </c>
      <c r="G325" t="s">
        <v>1108</v>
      </c>
    </row>
    <row r="326" spans="6:7">
      <c r="F326" t="s">
        <v>1180</v>
      </c>
      <c r="G326" t="s">
        <v>1108</v>
      </c>
    </row>
    <row r="327" spans="6:7">
      <c r="F327" t="s">
        <v>1181</v>
      </c>
      <c r="G327" t="s">
        <v>1108</v>
      </c>
    </row>
    <row r="328" spans="6:7">
      <c r="F328" t="s">
        <v>1182</v>
      </c>
      <c r="G328" t="s">
        <v>1108</v>
      </c>
    </row>
    <row r="329" spans="6:7">
      <c r="F329" t="s">
        <v>1183</v>
      </c>
      <c r="G329" t="s">
        <v>1108</v>
      </c>
    </row>
    <row r="330" spans="6:7">
      <c r="F330" t="s">
        <v>1184</v>
      </c>
      <c r="G330" t="s">
        <v>1108</v>
      </c>
    </row>
    <row r="331" spans="6:7">
      <c r="F331" t="s">
        <v>1185</v>
      </c>
      <c r="G331" t="s">
        <v>1108</v>
      </c>
    </row>
    <row r="332" spans="6:7">
      <c r="F332" t="s">
        <v>1186</v>
      </c>
      <c r="G332" t="s">
        <v>1108</v>
      </c>
    </row>
    <row r="333" spans="6:7">
      <c r="F333" t="s">
        <v>1187</v>
      </c>
      <c r="G333" t="s">
        <v>1108</v>
      </c>
    </row>
    <row r="334" spans="6:7">
      <c r="F334" t="s">
        <v>1188</v>
      </c>
      <c r="G334" t="s">
        <v>1108</v>
      </c>
    </row>
    <row r="335" spans="6:7">
      <c r="F335" t="s">
        <v>1189</v>
      </c>
      <c r="G335" t="s">
        <v>1108</v>
      </c>
    </row>
    <row r="336" spans="6:7">
      <c r="F336" t="s">
        <v>1190</v>
      </c>
      <c r="G336" t="s">
        <v>1108</v>
      </c>
    </row>
    <row r="337" spans="6:7">
      <c r="F337" t="s">
        <v>1191</v>
      </c>
      <c r="G337" t="s">
        <v>1108</v>
      </c>
    </row>
    <row r="338" spans="6:7">
      <c r="F338" t="s">
        <v>1192</v>
      </c>
      <c r="G338" t="s">
        <v>1108</v>
      </c>
    </row>
    <row r="339" spans="6:7">
      <c r="F339" t="s">
        <v>1193</v>
      </c>
      <c r="G339" t="s">
        <v>1108</v>
      </c>
    </row>
    <row r="340" spans="6:7">
      <c r="F340" t="s">
        <v>1194</v>
      </c>
      <c r="G340" t="s">
        <v>1108</v>
      </c>
    </row>
    <row r="341" spans="6:7">
      <c r="F341" t="s">
        <v>1195</v>
      </c>
      <c r="G341" t="s">
        <v>1108</v>
      </c>
    </row>
    <row r="342" spans="6:7">
      <c r="F342" t="s">
        <v>1196</v>
      </c>
      <c r="G342" t="s">
        <v>1108</v>
      </c>
    </row>
    <row r="343" spans="6:7">
      <c r="F343" t="s">
        <v>1197</v>
      </c>
      <c r="G343" t="s">
        <v>1108</v>
      </c>
    </row>
    <row r="344" spans="6:7">
      <c r="F344" t="s">
        <v>1198</v>
      </c>
      <c r="G344" t="s">
        <v>1108</v>
      </c>
    </row>
    <row r="345" spans="6:7">
      <c r="F345" t="s">
        <v>1199</v>
      </c>
      <c r="G345" t="s">
        <v>1108</v>
      </c>
    </row>
    <row r="346" spans="6:7">
      <c r="F346" t="s">
        <v>1200</v>
      </c>
      <c r="G346" t="s">
        <v>1108</v>
      </c>
    </row>
    <row r="347" spans="6:7">
      <c r="F347" t="s">
        <v>1201</v>
      </c>
      <c r="G347" t="s">
        <v>1108</v>
      </c>
    </row>
    <row r="348" spans="6:7">
      <c r="F348" t="s">
        <v>1202</v>
      </c>
      <c r="G348" t="s">
        <v>1108</v>
      </c>
    </row>
    <row r="349" spans="6:7">
      <c r="F349" t="s">
        <v>1203</v>
      </c>
      <c r="G349" t="s">
        <v>1108</v>
      </c>
    </row>
    <row r="350" spans="6:7">
      <c r="F350" t="s">
        <v>1204</v>
      </c>
      <c r="G350" t="s">
        <v>1108</v>
      </c>
    </row>
    <row r="351" spans="6:7">
      <c r="F351" t="s">
        <v>1205</v>
      </c>
      <c r="G351" t="s">
        <v>1108</v>
      </c>
    </row>
    <row r="352" spans="6:7">
      <c r="F352" t="s">
        <v>1206</v>
      </c>
      <c r="G352" t="s">
        <v>1108</v>
      </c>
    </row>
    <row r="353" spans="6:7">
      <c r="F353" t="s">
        <v>1207</v>
      </c>
      <c r="G353" t="s">
        <v>1108</v>
      </c>
    </row>
    <row r="354" spans="6:7">
      <c r="F354" t="s">
        <v>1208</v>
      </c>
      <c r="G354" t="s">
        <v>1108</v>
      </c>
    </row>
    <row r="355" spans="6:7">
      <c r="F355" t="s">
        <v>1209</v>
      </c>
      <c r="G355" t="s">
        <v>1108</v>
      </c>
    </row>
    <row r="356" spans="6:7">
      <c r="F356" t="s">
        <v>1210</v>
      </c>
      <c r="G356" t="s">
        <v>1108</v>
      </c>
    </row>
    <row r="357" spans="6:7">
      <c r="F357" t="s">
        <v>1211</v>
      </c>
      <c r="G357" t="s">
        <v>1108</v>
      </c>
    </row>
    <row r="358" spans="6:7">
      <c r="F358" t="s">
        <v>1212</v>
      </c>
      <c r="G358" t="s">
        <v>1108</v>
      </c>
    </row>
    <row r="359" spans="6:7">
      <c r="F359" t="s">
        <v>1213</v>
      </c>
      <c r="G359" t="s">
        <v>1108</v>
      </c>
    </row>
    <row r="360" spans="6:7">
      <c r="F360" t="s">
        <v>1214</v>
      </c>
      <c r="G360" t="s">
        <v>1108</v>
      </c>
    </row>
    <row r="361" spans="6:7">
      <c r="F361" t="s">
        <v>1215</v>
      </c>
      <c r="G361" t="s">
        <v>1108</v>
      </c>
    </row>
    <row r="362" spans="6:7">
      <c r="F362" t="s">
        <v>1216</v>
      </c>
      <c r="G362" t="s">
        <v>1108</v>
      </c>
    </row>
    <row r="363" spans="6:7">
      <c r="F363" t="s">
        <v>1217</v>
      </c>
      <c r="G363" t="s">
        <v>1108</v>
      </c>
    </row>
    <row r="364" spans="6:7">
      <c r="F364" t="s">
        <v>1218</v>
      </c>
      <c r="G364" t="s">
        <v>1108</v>
      </c>
    </row>
    <row r="365" spans="6:7">
      <c r="F365" t="s">
        <v>1219</v>
      </c>
      <c r="G365" t="s">
        <v>1108</v>
      </c>
    </row>
    <row r="366" spans="6:7">
      <c r="F366" t="s">
        <v>1220</v>
      </c>
      <c r="G366" t="s">
        <v>1108</v>
      </c>
    </row>
    <row r="367" spans="6:7">
      <c r="F367" t="s">
        <v>1221</v>
      </c>
      <c r="G367" t="s">
        <v>1108</v>
      </c>
    </row>
    <row r="368" spans="6:7">
      <c r="F368" t="s">
        <v>1222</v>
      </c>
      <c r="G368" t="s">
        <v>1108</v>
      </c>
    </row>
    <row r="369" spans="6:7">
      <c r="F369" t="s">
        <v>1223</v>
      </c>
      <c r="G369" t="s">
        <v>1108</v>
      </c>
    </row>
    <row r="370" spans="6:7">
      <c r="F370" t="s">
        <v>1224</v>
      </c>
      <c r="G370" t="s">
        <v>1108</v>
      </c>
    </row>
    <row r="371" spans="6:7">
      <c r="F371" t="s">
        <v>1225</v>
      </c>
      <c r="G371" t="s">
        <v>1108</v>
      </c>
    </row>
    <row r="372" spans="6:7">
      <c r="F372" t="s">
        <v>1226</v>
      </c>
      <c r="G372" t="s">
        <v>1108</v>
      </c>
    </row>
    <row r="373" spans="6:7">
      <c r="F373" t="s">
        <v>1227</v>
      </c>
      <c r="G373" t="s">
        <v>1108</v>
      </c>
    </row>
    <row r="374" spans="6:7">
      <c r="F374" t="s">
        <v>1228</v>
      </c>
      <c r="G374" t="s">
        <v>1108</v>
      </c>
    </row>
    <row r="375" spans="6:7">
      <c r="F375" t="s">
        <v>1229</v>
      </c>
      <c r="G375" t="s">
        <v>1108</v>
      </c>
    </row>
    <row r="376" spans="6:7">
      <c r="F376" t="s">
        <v>1230</v>
      </c>
      <c r="G376" t="s">
        <v>1108</v>
      </c>
    </row>
    <row r="377" spans="6:7">
      <c r="F377" t="s">
        <v>1231</v>
      </c>
      <c r="G377" t="s">
        <v>1108</v>
      </c>
    </row>
    <row r="378" spans="6:7">
      <c r="F378" t="s">
        <v>1232</v>
      </c>
      <c r="G378" t="s">
        <v>1108</v>
      </c>
    </row>
    <row r="379" spans="6:7">
      <c r="F379" t="s">
        <v>1233</v>
      </c>
      <c r="G379" t="s">
        <v>1108</v>
      </c>
    </row>
    <row r="380" spans="6:7">
      <c r="F380" t="s">
        <v>1234</v>
      </c>
      <c r="G380" t="s">
        <v>1108</v>
      </c>
    </row>
    <row r="381" spans="6:7">
      <c r="F381" t="s">
        <v>1235</v>
      </c>
      <c r="G381" t="s">
        <v>1108</v>
      </c>
    </row>
    <row r="382" spans="6:7">
      <c r="F382" t="s">
        <v>1236</v>
      </c>
      <c r="G382" t="s">
        <v>1108</v>
      </c>
    </row>
    <row r="383" spans="6:7">
      <c r="F383" t="s">
        <v>1237</v>
      </c>
      <c r="G383" t="s">
        <v>1108</v>
      </c>
    </row>
    <row r="384" spans="6:7">
      <c r="F384" t="s">
        <v>1238</v>
      </c>
      <c r="G384" t="s">
        <v>1108</v>
      </c>
    </row>
    <row r="385" spans="6:7">
      <c r="F385" t="s">
        <v>1239</v>
      </c>
      <c r="G385" t="s">
        <v>1108</v>
      </c>
    </row>
    <row r="386" spans="6:7">
      <c r="F386" t="s">
        <v>1240</v>
      </c>
      <c r="G386" t="s">
        <v>1108</v>
      </c>
    </row>
    <row r="387" spans="6:7">
      <c r="F387" t="s">
        <v>1241</v>
      </c>
      <c r="G387" t="s">
        <v>1108</v>
      </c>
    </row>
    <row r="388" spans="6:7">
      <c r="F388" t="s">
        <v>1242</v>
      </c>
      <c r="G388" t="s">
        <v>1108</v>
      </c>
    </row>
    <row r="389" spans="6:7">
      <c r="F389" t="s">
        <v>1243</v>
      </c>
      <c r="G389" t="s">
        <v>1108</v>
      </c>
    </row>
    <row r="390" spans="6:7">
      <c r="F390" t="s">
        <v>1244</v>
      </c>
      <c r="G390" t="s">
        <v>1108</v>
      </c>
    </row>
    <row r="391" spans="6:7">
      <c r="F391" t="s">
        <v>1245</v>
      </c>
      <c r="G391" t="s">
        <v>1108</v>
      </c>
    </row>
    <row r="392" spans="6:7">
      <c r="F392" t="s">
        <v>1246</v>
      </c>
      <c r="G392" t="s">
        <v>1108</v>
      </c>
    </row>
    <row r="393" spans="6:7">
      <c r="F393" t="s">
        <v>1247</v>
      </c>
      <c r="G393" t="s">
        <v>1108</v>
      </c>
    </row>
    <row r="394" spans="6:7">
      <c r="F394" t="s">
        <v>1248</v>
      </c>
      <c r="G394" t="s">
        <v>1108</v>
      </c>
    </row>
    <row r="395" spans="6:7">
      <c r="F395" t="s">
        <v>1249</v>
      </c>
      <c r="G395" t="s">
        <v>1108</v>
      </c>
    </row>
    <row r="396" spans="6:7">
      <c r="F396" t="s">
        <v>1250</v>
      </c>
      <c r="G396" t="s">
        <v>1108</v>
      </c>
    </row>
    <row r="397" spans="6:7">
      <c r="F397" t="s">
        <v>1251</v>
      </c>
      <c r="G397" t="s">
        <v>1108</v>
      </c>
    </row>
    <row r="398" spans="6:7">
      <c r="F398" t="s">
        <v>1252</v>
      </c>
      <c r="G398" t="s">
        <v>1108</v>
      </c>
    </row>
    <row r="399" spans="6:7">
      <c r="F399" t="s">
        <v>1253</v>
      </c>
      <c r="G399" t="s">
        <v>1108</v>
      </c>
    </row>
    <row r="400" spans="6:7">
      <c r="F400" t="s">
        <v>1254</v>
      </c>
      <c r="G400" t="s">
        <v>1108</v>
      </c>
    </row>
    <row r="401" spans="6:7">
      <c r="F401" t="s">
        <v>1255</v>
      </c>
      <c r="G401" t="s">
        <v>1108</v>
      </c>
    </row>
    <row r="402" spans="6:7">
      <c r="F402" t="s">
        <v>1256</v>
      </c>
      <c r="G402" t="s">
        <v>1108</v>
      </c>
    </row>
    <row r="403" spans="6:7">
      <c r="F403" t="s">
        <v>1257</v>
      </c>
      <c r="G403" t="s">
        <v>1108</v>
      </c>
    </row>
    <row r="404" spans="6:7">
      <c r="F404" t="s">
        <v>1258</v>
      </c>
      <c r="G404" t="s">
        <v>1108</v>
      </c>
    </row>
    <row r="405" spans="6:7">
      <c r="F405" t="s">
        <v>1259</v>
      </c>
      <c r="G405" t="s">
        <v>1108</v>
      </c>
    </row>
    <row r="406" spans="6:7">
      <c r="F406" t="s">
        <v>1260</v>
      </c>
      <c r="G406" t="s">
        <v>1108</v>
      </c>
    </row>
    <row r="407" spans="6:7">
      <c r="F407" t="s">
        <v>1261</v>
      </c>
      <c r="G407" t="s">
        <v>1108</v>
      </c>
    </row>
    <row r="408" spans="6:7">
      <c r="F408" t="s">
        <v>1262</v>
      </c>
      <c r="G408" t="s">
        <v>1108</v>
      </c>
    </row>
    <row r="409" spans="6:7">
      <c r="F409" t="s">
        <v>1263</v>
      </c>
      <c r="G409" t="s">
        <v>1108</v>
      </c>
    </row>
    <row r="410" spans="6:7">
      <c r="F410" t="s">
        <v>1264</v>
      </c>
      <c r="G410" t="s">
        <v>1108</v>
      </c>
    </row>
    <row r="411" spans="6:7">
      <c r="F411" t="s">
        <v>1265</v>
      </c>
      <c r="G411" t="s">
        <v>1108</v>
      </c>
    </row>
    <row r="412" spans="6:7">
      <c r="F412" t="s">
        <v>1266</v>
      </c>
      <c r="G412" t="s">
        <v>1108</v>
      </c>
    </row>
    <row r="413" spans="6:7">
      <c r="F413" t="s">
        <v>1267</v>
      </c>
      <c r="G413" t="s">
        <v>1108</v>
      </c>
    </row>
    <row r="414" spans="6:7">
      <c r="F414" t="s">
        <v>1268</v>
      </c>
      <c r="G414" t="s">
        <v>1108</v>
      </c>
    </row>
    <row r="415" spans="6:7">
      <c r="F415" t="s">
        <v>1269</v>
      </c>
      <c r="G415" t="s">
        <v>1108</v>
      </c>
    </row>
    <row r="416" spans="6:7">
      <c r="F416" t="s">
        <v>1270</v>
      </c>
      <c r="G416" t="s">
        <v>1108</v>
      </c>
    </row>
    <row r="417" spans="6:7">
      <c r="F417" t="s">
        <v>1271</v>
      </c>
      <c r="G417" t="s">
        <v>1108</v>
      </c>
    </row>
    <row r="418" spans="6:7">
      <c r="F418" t="s">
        <v>1272</v>
      </c>
      <c r="G418" t="s">
        <v>1108</v>
      </c>
    </row>
    <row r="419" spans="6:7">
      <c r="F419" t="s">
        <v>1273</v>
      </c>
      <c r="G419" t="s">
        <v>1108</v>
      </c>
    </row>
    <row r="420" spans="6:7">
      <c r="F420" t="s">
        <v>1274</v>
      </c>
      <c r="G420" t="s">
        <v>1108</v>
      </c>
    </row>
    <row r="421" spans="6:7">
      <c r="F421" t="s">
        <v>1275</v>
      </c>
      <c r="G421" t="s">
        <v>1108</v>
      </c>
    </row>
    <row r="422" spans="6:7">
      <c r="F422" t="s">
        <v>1276</v>
      </c>
      <c r="G422" t="s">
        <v>1108</v>
      </c>
    </row>
    <row r="423" spans="6:7">
      <c r="F423" t="s">
        <v>1277</v>
      </c>
      <c r="G423" t="s">
        <v>1108</v>
      </c>
    </row>
    <row r="424" spans="6:7">
      <c r="F424" t="s">
        <v>1278</v>
      </c>
      <c r="G424" t="s">
        <v>1108</v>
      </c>
    </row>
    <row r="425" spans="6:7">
      <c r="F425" t="s">
        <v>1279</v>
      </c>
      <c r="G425" t="s">
        <v>1108</v>
      </c>
    </row>
    <row r="426" spans="6:7">
      <c r="F426" t="s">
        <v>1280</v>
      </c>
      <c r="G426" t="s">
        <v>1108</v>
      </c>
    </row>
    <row r="427" spans="6:7">
      <c r="F427" t="s">
        <v>1281</v>
      </c>
      <c r="G427" t="s">
        <v>1108</v>
      </c>
    </row>
    <row r="428" spans="6:7">
      <c r="F428" t="s">
        <v>1282</v>
      </c>
      <c r="G428" t="s">
        <v>1108</v>
      </c>
    </row>
    <row r="429" spans="6:7">
      <c r="F429" t="s">
        <v>1283</v>
      </c>
      <c r="G429" t="s">
        <v>1108</v>
      </c>
    </row>
    <row r="430" spans="6:7">
      <c r="F430" t="s">
        <v>1284</v>
      </c>
      <c r="G430" t="s">
        <v>1108</v>
      </c>
    </row>
    <row r="431" spans="6:7">
      <c r="F431" t="s">
        <v>1285</v>
      </c>
      <c r="G431" t="s">
        <v>1108</v>
      </c>
    </row>
    <row r="432" spans="6:7">
      <c r="F432" t="s">
        <v>1286</v>
      </c>
      <c r="G432" t="s">
        <v>1108</v>
      </c>
    </row>
    <row r="433" spans="6:7">
      <c r="F433" t="s">
        <v>1287</v>
      </c>
      <c r="G433" t="s">
        <v>1108</v>
      </c>
    </row>
    <row r="434" spans="6:7">
      <c r="F434" t="s">
        <v>1288</v>
      </c>
      <c r="G434" t="s">
        <v>1108</v>
      </c>
    </row>
    <row r="435" spans="6:7">
      <c r="F435" t="s">
        <v>1289</v>
      </c>
      <c r="G435" t="s">
        <v>1108</v>
      </c>
    </row>
    <row r="436" spans="6:7">
      <c r="F436" t="s">
        <v>1290</v>
      </c>
      <c r="G436" t="s">
        <v>1108</v>
      </c>
    </row>
    <row r="437" spans="6:7">
      <c r="F437" t="s">
        <v>1291</v>
      </c>
      <c r="G437" t="s">
        <v>1108</v>
      </c>
    </row>
    <row r="438" spans="6:7">
      <c r="F438" t="s">
        <v>1292</v>
      </c>
      <c r="G438" t="s">
        <v>1108</v>
      </c>
    </row>
    <row r="439" spans="6:7">
      <c r="F439" t="s">
        <v>1293</v>
      </c>
      <c r="G439" t="s">
        <v>1108</v>
      </c>
    </row>
    <row r="440" spans="6:7">
      <c r="F440" t="s">
        <v>1294</v>
      </c>
      <c r="G440" t="s">
        <v>1108</v>
      </c>
    </row>
    <row r="441" spans="6:7">
      <c r="F441" t="s">
        <v>1295</v>
      </c>
      <c r="G441" t="s">
        <v>1108</v>
      </c>
    </row>
    <row r="442" spans="6:7">
      <c r="F442" t="s">
        <v>1296</v>
      </c>
      <c r="G442" t="s">
        <v>1108</v>
      </c>
    </row>
    <row r="443" spans="6:7">
      <c r="F443" t="s">
        <v>1297</v>
      </c>
      <c r="G443" t="s">
        <v>1108</v>
      </c>
    </row>
    <row r="444" spans="6:7">
      <c r="F444" t="s">
        <v>1298</v>
      </c>
      <c r="G444" t="s">
        <v>1108</v>
      </c>
    </row>
    <row r="445" spans="6:7">
      <c r="F445" t="s">
        <v>1299</v>
      </c>
      <c r="G445" t="s">
        <v>1108</v>
      </c>
    </row>
    <row r="446" spans="6:7">
      <c r="F446" t="s">
        <v>1300</v>
      </c>
      <c r="G446" t="s">
        <v>1108</v>
      </c>
    </row>
    <row r="447" spans="6:7">
      <c r="F447" t="s">
        <v>1301</v>
      </c>
      <c r="G447" t="s">
        <v>1108</v>
      </c>
    </row>
    <row r="448" spans="6:7">
      <c r="F448" t="s">
        <v>1302</v>
      </c>
      <c r="G448" t="s">
        <v>1108</v>
      </c>
    </row>
    <row r="449" spans="6:7">
      <c r="F449" t="s">
        <v>1303</v>
      </c>
      <c r="G449" t="s">
        <v>1108</v>
      </c>
    </row>
    <row r="450" spans="6:7">
      <c r="F450" t="s">
        <v>1304</v>
      </c>
      <c r="G450" t="s">
        <v>1108</v>
      </c>
    </row>
    <row r="451" spans="6:7">
      <c r="F451" t="s">
        <v>1305</v>
      </c>
      <c r="G451" t="s">
        <v>1108</v>
      </c>
    </row>
    <row r="452" spans="6:7">
      <c r="F452" t="s">
        <v>1306</v>
      </c>
      <c r="G452" t="s">
        <v>1108</v>
      </c>
    </row>
    <row r="453" spans="6:7">
      <c r="F453" t="s">
        <v>1307</v>
      </c>
      <c r="G453" t="s">
        <v>1108</v>
      </c>
    </row>
    <row r="454" spans="6:7">
      <c r="F454" t="s">
        <v>1308</v>
      </c>
      <c r="G454" t="s">
        <v>1108</v>
      </c>
    </row>
    <row r="455" spans="6:7">
      <c r="F455" t="s">
        <v>1309</v>
      </c>
      <c r="G455" t="s">
        <v>1108</v>
      </c>
    </row>
    <row r="456" spans="6:7">
      <c r="F456" t="s">
        <v>1310</v>
      </c>
      <c r="G456" t="s">
        <v>1108</v>
      </c>
    </row>
    <row r="457" spans="6:7">
      <c r="F457" t="s">
        <v>1311</v>
      </c>
      <c r="G457" t="s">
        <v>1108</v>
      </c>
    </row>
    <row r="458" spans="6:7">
      <c r="F458" t="s">
        <v>1312</v>
      </c>
      <c r="G458" t="s">
        <v>1108</v>
      </c>
    </row>
    <row r="459" spans="6:7">
      <c r="F459" t="s">
        <v>1313</v>
      </c>
      <c r="G459" t="s">
        <v>1108</v>
      </c>
    </row>
    <row r="460" spans="6:7">
      <c r="F460" t="s">
        <v>1314</v>
      </c>
      <c r="G460" t="s">
        <v>1108</v>
      </c>
    </row>
    <row r="461" spans="6:7">
      <c r="F461" t="s">
        <v>1315</v>
      </c>
      <c r="G461" t="s">
        <v>1108</v>
      </c>
    </row>
    <row r="462" spans="6:7">
      <c r="F462" t="s">
        <v>1316</v>
      </c>
      <c r="G462" t="s">
        <v>1108</v>
      </c>
    </row>
    <row r="463" spans="6:7">
      <c r="F463" t="s">
        <v>1317</v>
      </c>
      <c r="G463" t="s">
        <v>1108</v>
      </c>
    </row>
    <row r="464" spans="6:7">
      <c r="F464" t="s">
        <v>1318</v>
      </c>
      <c r="G464" t="s">
        <v>1108</v>
      </c>
    </row>
    <row r="465" spans="6:7">
      <c r="F465" t="s">
        <v>1319</v>
      </c>
      <c r="G465" t="s">
        <v>1108</v>
      </c>
    </row>
    <row r="466" spans="6:7">
      <c r="F466" t="s">
        <v>1320</v>
      </c>
      <c r="G466" t="s">
        <v>1108</v>
      </c>
    </row>
    <row r="467" spans="6:7">
      <c r="F467" t="s">
        <v>1321</v>
      </c>
      <c r="G467" t="s">
        <v>1108</v>
      </c>
    </row>
    <row r="468" spans="6:7">
      <c r="F468" t="s">
        <v>1322</v>
      </c>
      <c r="G468" t="s">
        <v>1108</v>
      </c>
    </row>
    <row r="469" spans="6:7">
      <c r="F469" t="s">
        <v>1323</v>
      </c>
      <c r="G469" t="s">
        <v>1108</v>
      </c>
    </row>
    <row r="470" spans="6:7">
      <c r="F470" t="s">
        <v>1324</v>
      </c>
      <c r="G470" t="s">
        <v>1108</v>
      </c>
    </row>
    <row r="471" spans="6:7">
      <c r="F471" t="s">
        <v>1325</v>
      </c>
      <c r="G471" t="s">
        <v>1108</v>
      </c>
    </row>
    <row r="472" spans="6:7">
      <c r="F472" t="s">
        <v>1326</v>
      </c>
      <c r="G472" t="s">
        <v>1108</v>
      </c>
    </row>
    <row r="473" spans="6:7">
      <c r="F473" t="s">
        <v>1327</v>
      </c>
      <c r="G473" t="s">
        <v>1108</v>
      </c>
    </row>
    <row r="474" spans="6:7">
      <c r="F474" t="s">
        <v>1328</v>
      </c>
      <c r="G474" t="s">
        <v>1108</v>
      </c>
    </row>
    <row r="475" spans="6:7">
      <c r="F475" t="s">
        <v>1329</v>
      </c>
      <c r="G475" t="s">
        <v>1108</v>
      </c>
    </row>
    <row r="476" spans="6:7">
      <c r="F476" t="s">
        <v>1330</v>
      </c>
      <c r="G476" t="s">
        <v>1108</v>
      </c>
    </row>
    <row r="477" spans="6:7">
      <c r="F477" t="s">
        <v>1331</v>
      </c>
      <c r="G477" t="s">
        <v>1108</v>
      </c>
    </row>
    <row r="478" spans="6:7">
      <c r="F478" t="s">
        <v>1332</v>
      </c>
      <c r="G478" t="s">
        <v>1108</v>
      </c>
    </row>
    <row r="479" spans="6:7">
      <c r="F479" t="s">
        <v>1333</v>
      </c>
      <c r="G479" t="s">
        <v>1108</v>
      </c>
    </row>
    <row r="480" spans="6:7">
      <c r="F480" t="s">
        <v>1334</v>
      </c>
      <c r="G480" t="s">
        <v>1108</v>
      </c>
    </row>
    <row r="481" spans="6:7">
      <c r="F481" t="s">
        <v>1335</v>
      </c>
      <c r="G481" t="s">
        <v>1108</v>
      </c>
    </row>
    <row r="482" spans="6:7">
      <c r="F482" t="s">
        <v>1336</v>
      </c>
      <c r="G482" t="s">
        <v>1108</v>
      </c>
    </row>
    <row r="483" spans="6:7">
      <c r="F483" t="s">
        <v>1337</v>
      </c>
      <c r="G483" t="s">
        <v>1108</v>
      </c>
    </row>
    <row r="484" spans="6:7">
      <c r="F484" t="s">
        <v>1338</v>
      </c>
      <c r="G484" t="s">
        <v>1108</v>
      </c>
    </row>
    <row r="485" spans="6:7">
      <c r="F485" t="s">
        <v>1339</v>
      </c>
      <c r="G485" t="s">
        <v>1108</v>
      </c>
    </row>
    <row r="486" spans="6:7">
      <c r="F486" t="s">
        <v>1340</v>
      </c>
      <c r="G486" t="s">
        <v>1108</v>
      </c>
    </row>
    <row r="487" spans="6:7">
      <c r="F487" t="s">
        <v>1341</v>
      </c>
      <c r="G487" t="s">
        <v>1108</v>
      </c>
    </row>
    <row r="488" spans="6:7">
      <c r="F488" t="s">
        <v>1342</v>
      </c>
      <c r="G488" t="s">
        <v>1108</v>
      </c>
    </row>
    <row r="489" spans="6:7">
      <c r="F489" t="s">
        <v>1343</v>
      </c>
      <c r="G489" t="s">
        <v>1108</v>
      </c>
    </row>
    <row r="490" spans="6:7">
      <c r="F490" t="s">
        <v>1344</v>
      </c>
      <c r="G490" t="s">
        <v>1108</v>
      </c>
    </row>
    <row r="491" spans="6:7">
      <c r="F491" t="s">
        <v>1345</v>
      </c>
      <c r="G491" t="s">
        <v>1108</v>
      </c>
    </row>
    <row r="492" spans="6:7">
      <c r="F492" t="s">
        <v>1346</v>
      </c>
      <c r="G492" t="s">
        <v>1108</v>
      </c>
    </row>
    <row r="493" spans="6:7">
      <c r="F493" t="s">
        <v>1347</v>
      </c>
      <c r="G493" t="s">
        <v>1108</v>
      </c>
    </row>
    <row r="494" spans="6:7">
      <c r="F494" t="s">
        <v>1348</v>
      </c>
      <c r="G494" t="s">
        <v>1108</v>
      </c>
    </row>
    <row r="495" spans="6:7">
      <c r="F495" t="s">
        <v>1349</v>
      </c>
      <c r="G495" t="s">
        <v>1108</v>
      </c>
    </row>
    <row r="496" spans="6:7">
      <c r="F496" t="s">
        <v>1350</v>
      </c>
      <c r="G496" t="s">
        <v>1108</v>
      </c>
    </row>
    <row r="497" spans="6:7">
      <c r="F497" t="s">
        <v>1351</v>
      </c>
      <c r="G497" t="s">
        <v>1108</v>
      </c>
    </row>
    <row r="498" spans="6:7">
      <c r="F498" t="s">
        <v>1352</v>
      </c>
      <c r="G498" t="s">
        <v>1108</v>
      </c>
    </row>
    <row r="499" spans="6:7">
      <c r="F499" t="s">
        <v>1353</v>
      </c>
      <c r="G499" t="s">
        <v>1108</v>
      </c>
    </row>
    <row r="500" spans="6:7">
      <c r="F500" t="s">
        <v>1354</v>
      </c>
      <c r="G500" t="s">
        <v>1108</v>
      </c>
    </row>
    <row r="501" spans="6:7">
      <c r="F501" t="s">
        <v>1355</v>
      </c>
      <c r="G501" t="s">
        <v>1108</v>
      </c>
    </row>
    <row r="502" spans="6:7">
      <c r="F502" t="s">
        <v>1356</v>
      </c>
      <c r="G502" t="s">
        <v>1108</v>
      </c>
    </row>
    <row r="503" spans="6:7">
      <c r="F503" t="s">
        <v>1357</v>
      </c>
      <c r="G503" t="s">
        <v>1108</v>
      </c>
    </row>
    <row r="504" spans="6:7">
      <c r="F504" t="s">
        <v>1358</v>
      </c>
      <c r="G504" t="s">
        <v>1108</v>
      </c>
    </row>
    <row r="505" spans="6:7">
      <c r="F505" t="s">
        <v>1359</v>
      </c>
      <c r="G505" t="s">
        <v>1108</v>
      </c>
    </row>
    <row r="506" spans="6:7">
      <c r="F506" t="s">
        <v>1360</v>
      </c>
      <c r="G506" t="s">
        <v>1108</v>
      </c>
    </row>
    <row r="507" spans="6:7">
      <c r="F507" t="s">
        <v>1361</v>
      </c>
      <c r="G507" t="s">
        <v>1108</v>
      </c>
    </row>
    <row r="508" spans="6:7">
      <c r="F508" t="s">
        <v>1362</v>
      </c>
      <c r="G508" t="s">
        <v>1108</v>
      </c>
    </row>
    <row r="509" spans="6:7">
      <c r="F509" t="s">
        <v>1363</v>
      </c>
      <c r="G509" t="s">
        <v>1108</v>
      </c>
    </row>
    <row r="510" spans="6:7">
      <c r="F510" t="s">
        <v>1364</v>
      </c>
      <c r="G510" t="s">
        <v>1108</v>
      </c>
    </row>
    <row r="511" spans="6:7">
      <c r="F511" t="s">
        <v>1365</v>
      </c>
      <c r="G511" t="s">
        <v>1108</v>
      </c>
    </row>
    <row r="512" spans="6:7">
      <c r="F512" t="s">
        <v>1366</v>
      </c>
      <c r="G512" t="s">
        <v>1108</v>
      </c>
    </row>
    <row r="513" spans="6:7">
      <c r="F513" t="s">
        <v>1367</v>
      </c>
      <c r="G513" t="s">
        <v>1108</v>
      </c>
    </row>
    <row r="514" spans="6:7">
      <c r="F514" t="s">
        <v>1368</v>
      </c>
      <c r="G514" t="s">
        <v>1108</v>
      </c>
    </row>
    <row r="515" spans="6:7">
      <c r="F515" t="s">
        <v>1369</v>
      </c>
      <c r="G515" t="s">
        <v>1108</v>
      </c>
    </row>
    <row r="516" spans="6:7">
      <c r="F516" t="s">
        <v>1370</v>
      </c>
      <c r="G516" t="s">
        <v>1108</v>
      </c>
    </row>
    <row r="517" spans="6:7">
      <c r="F517" t="s">
        <v>1371</v>
      </c>
      <c r="G517" t="s">
        <v>1108</v>
      </c>
    </row>
    <row r="518" spans="6:7">
      <c r="F518" t="s">
        <v>1372</v>
      </c>
      <c r="G518" t="s">
        <v>1108</v>
      </c>
    </row>
    <row r="519" spans="6:7">
      <c r="F519" t="s">
        <v>1373</v>
      </c>
      <c r="G519" t="s">
        <v>1108</v>
      </c>
    </row>
    <row r="520" spans="6:7">
      <c r="F520" t="s">
        <v>1374</v>
      </c>
      <c r="G520" t="s">
        <v>1108</v>
      </c>
    </row>
    <row r="521" spans="6:7">
      <c r="F521" t="s">
        <v>1375</v>
      </c>
      <c r="G521" t="s">
        <v>1108</v>
      </c>
    </row>
    <row r="522" spans="6:7">
      <c r="F522" t="s">
        <v>1376</v>
      </c>
      <c r="G522" t="s">
        <v>1108</v>
      </c>
    </row>
    <row r="523" spans="6:7">
      <c r="F523" t="s">
        <v>1377</v>
      </c>
      <c r="G523" t="s">
        <v>1108</v>
      </c>
    </row>
    <row r="524" spans="6:7">
      <c r="F524" t="s">
        <v>1378</v>
      </c>
      <c r="G524" t="s">
        <v>1108</v>
      </c>
    </row>
    <row r="525" spans="6:7">
      <c r="F525" t="s">
        <v>1379</v>
      </c>
      <c r="G525" t="s">
        <v>1108</v>
      </c>
    </row>
    <row r="526" spans="6:7">
      <c r="F526" t="s">
        <v>1380</v>
      </c>
      <c r="G526" t="s">
        <v>1108</v>
      </c>
    </row>
    <row r="527" spans="6:7">
      <c r="F527" t="s">
        <v>1381</v>
      </c>
      <c r="G527" t="s">
        <v>1108</v>
      </c>
    </row>
    <row r="528" spans="6:7">
      <c r="F528" t="s">
        <v>1382</v>
      </c>
      <c r="G528" t="s">
        <v>1108</v>
      </c>
    </row>
    <row r="529" spans="6:7">
      <c r="F529" t="s">
        <v>1383</v>
      </c>
      <c r="G529" t="s">
        <v>1108</v>
      </c>
    </row>
    <row r="530" spans="6:7">
      <c r="F530" t="s">
        <v>1384</v>
      </c>
      <c r="G530" t="s">
        <v>1108</v>
      </c>
    </row>
    <row r="531" spans="6:7">
      <c r="F531" t="s">
        <v>1385</v>
      </c>
      <c r="G531" t="s">
        <v>1108</v>
      </c>
    </row>
    <row r="532" spans="6:7">
      <c r="F532" t="s">
        <v>1386</v>
      </c>
      <c r="G532" t="s">
        <v>1108</v>
      </c>
    </row>
    <row r="533" spans="6:7">
      <c r="F533" t="s">
        <v>1387</v>
      </c>
      <c r="G533" t="s">
        <v>1108</v>
      </c>
    </row>
    <row r="534" spans="6:7">
      <c r="F534" t="s">
        <v>1388</v>
      </c>
      <c r="G534" t="s">
        <v>1108</v>
      </c>
    </row>
    <row r="535" spans="6:7">
      <c r="F535" t="s">
        <v>1389</v>
      </c>
      <c r="G535" t="s">
        <v>1108</v>
      </c>
    </row>
    <row r="536" spans="6:7">
      <c r="F536" t="s">
        <v>1390</v>
      </c>
      <c r="G536" t="s">
        <v>1108</v>
      </c>
    </row>
    <row r="537" spans="6:7">
      <c r="F537" t="s">
        <v>1391</v>
      </c>
      <c r="G537" t="s">
        <v>1108</v>
      </c>
    </row>
    <row r="538" spans="6:7">
      <c r="F538" t="s">
        <v>1392</v>
      </c>
      <c r="G538" t="s">
        <v>1108</v>
      </c>
    </row>
    <row r="539" spans="6:7">
      <c r="F539" t="s">
        <v>1393</v>
      </c>
      <c r="G539" t="s">
        <v>1108</v>
      </c>
    </row>
    <row r="540" spans="6:7">
      <c r="F540" t="s">
        <v>1394</v>
      </c>
      <c r="G540" t="s">
        <v>1108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monster_config</vt:lpstr>
      <vt:lpstr>编号表</vt:lpstr>
      <vt:lpstr>名称表</vt:lpstr>
      <vt:lpstr>版本变更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thothSSQS</cp:lastModifiedBy>
  <dcterms:created xsi:type="dcterms:W3CDTF">2025-12-11T20:04:00Z</dcterms:created>
  <dcterms:modified xsi:type="dcterms:W3CDTF">2026-06-17T07:31:28Z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0C76D4BBDE4C4D4C85F8E92261E663C7_13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