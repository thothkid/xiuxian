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item_config" sheetId="3" r:id="rId1"/>
    <sheet name="编号表" sheetId="4" r:id="rId2"/>
    <sheet name="更新说明" sheetId="5" r:id="rId3"/>
  </sheets>
  <definedNames>
    <definedName name="_xlnm._FilterDatabase" localSheetId="0" hidden="1">item_config!$C$1:$C$2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秒为单位</t>
        </r>
      </text>
    </comment>
  </commentList>
</comments>
</file>

<file path=xl/sharedStrings.xml><?xml version="1.0" encoding="utf-8"?>
<sst xmlns="http://schemas.openxmlformats.org/spreadsheetml/2006/main" count="2645" uniqueCount="489">
  <si>
    <t>道具ID</t>
  </si>
  <si>
    <t>0名称</t>
  </si>
  <si>
    <t>0颜色</t>
  </si>
  <si>
    <t>0ID编号</t>
  </si>
  <si>
    <t>存在时间</t>
  </si>
  <si>
    <t>0大类</t>
  </si>
  <si>
    <t>0子类</t>
  </si>
  <si>
    <t>0档次</t>
  </si>
  <si>
    <t>0显示分类</t>
  </si>
  <si>
    <t>属性限制</t>
  </si>
  <si>
    <t>0是否可丢弃</t>
  </si>
  <si>
    <t>是否可以自动使用</t>
  </si>
  <si>
    <t>0使用级别下限</t>
  </si>
  <si>
    <t>0职业限制</t>
  </si>
  <si>
    <t>0堆叠上限</t>
  </si>
  <si>
    <t>0功能类型</t>
  </si>
  <si>
    <t>0功能ID</t>
  </si>
  <si>
    <t>0功能数值</t>
  </si>
  <si>
    <t>0说明</t>
  </si>
  <si>
    <t>0获得说明</t>
  </si>
  <si>
    <t>0背包图标</t>
  </si>
  <si>
    <t>0地表模型</t>
  </si>
  <si>
    <t>掉落光柱模型</t>
  </si>
  <si>
    <t>静态边框</t>
  </si>
  <si>
    <t>动态边框</t>
  </si>
  <si>
    <t>标签1</t>
  </si>
  <si>
    <t>标签2</t>
  </si>
  <si>
    <t>标签3</t>
  </si>
  <si>
    <t>标签4</t>
  </si>
  <si>
    <t>ID</t>
  </si>
  <si>
    <t>Name</t>
  </si>
  <si>
    <t>Color</t>
  </si>
  <si>
    <t>DurT</t>
  </si>
  <si>
    <t>MainClass</t>
  </si>
  <si>
    <t>SubClass</t>
  </si>
  <si>
    <t>DropLevel</t>
  </si>
  <si>
    <t>DisplayType</t>
  </si>
  <si>
    <t>attrLimit</t>
  </si>
  <si>
    <t>durT</t>
  </si>
  <si>
    <t>isDrop</t>
  </si>
  <si>
    <t>isAutoUse</t>
  </si>
  <si>
    <t>RequiredLevel</t>
  </si>
  <si>
    <t>Prof</t>
  </si>
  <si>
    <t>PileMax</t>
  </si>
  <si>
    <t>FunctionType</t>
  </si>
  <si>
    <t>FunctionID</t>
  </si>
  <si>
    <t>FunctionValue</t>
  </si>
  <si>
    <t>Desc</t>
  </si>
  <si>
    <t>SpecDesc</t>
  </si>
  <si>
    <t>IconID</t>
  </si>
  <si>
    <t>mdxID</t>
  </si>
  <si>
    <t>LightEffId</t>
  </si>
  <si>
    <t>Border1</t>
  </si>
  <si>
    <t>Border2</t>
  </si>
  <si>
    <t>Tag1</t>
  </si>
  <si>
    <t>Tag2</t>
  </si>
  <si>
    <t>Tag3</t>
  </si>
  <si>
    <t>Tag4</t>
  </si>
  <si>
    <t>一小袋金币</t>
  </si>
  <si>
    <t>白色</t>
  </si>
  <si>
    <t>货币</t>
  </si>
  <si>
    <t>大类_基础</t>
  </si>
  <si>
    <t>子类_货币</t>
  </si>
  <si>
    <t>否</t>
  </si>
  <si>
    <t>无</t>
  </si>
  <si>
    <t>货币_金币</t>
  </si>
  <si>
    <t>击杀所有怪物，出售道具装备可获得</t>
  </si>
  <si>
    <t>fall_coin</t>
  </si>
  <si>
    <t>金币</t>
  </si>
  <si>
    <t>一小袋灵符</t>
  </si>
  <si>
    <t>货币_灵符</t>
  </si>
  <si>
    <t>fall_lingfu</t>
  </si>
  <si>
    <t>灵符</t>
  </si>
  <si>
    <t>一袋金币</t>
  </si>
  <si>
    <t>一袋灵符</t>
  </si>
  <si>
    <t>一大袋金币</t>
  </si>
  <si>
    <t>一大袋灵符</t>
  </si>
  <si>
    <t>一箱金币</t>
  </si>
  <si>
    <t>一箱灵符</t>
  </si>
  <si>
    <t>一大箱金币</t>
  </si>
  <si>
    <t>一大箱灵符</t>
  </si>
  <si>
    <t>一车金币</t>
  </si>
  <si>
    <t>一车灵符</t>
  </si>
  <si>
    <t>一卡车金币</t>
  </si>
  <si>
    <t>一卡车灵符</t>
  </si>
  <si>
    <t>活跃丹</t>
  </si>
  <si>
    <t>紫色</t>
  </si>
  <si>
    <t>货币_活跃点</t>
  </si>
  <si>
    <t>系统赠送获得</t>
  </si>
  <si>
    <t>ain_effect_ziseguangzhu_85</t>
  </si>
  <si>
    <t>BK_J_zi</t>
  </si>
  <si>
    <t>BK_D_zi</t>
  </si>
  <si>
    <t>活跃点</t>
  </si>
  <si>
    <t>声望丹</t>
  </si>
  <si>
    <t>货币_声望点</t>
  </si>
  <si>
    <t>声望点</t>
  </si>
  <si>
    <t>基础剑术</t>
  </si>
  <si>
    <t>绿色</t>
  </si>
  <si>
    <t>技能</t>
  </si>
  <si>
    <t>子类_技能书</t>
  </si>
  <si>
    <t>技能书</t>
  </si>
  <si>
    <t>是</t>
  </si>
  <si>
    <t>战士</t>
  </si>
  <si>
    <t>击杀沃玛怪物获得</t>
  </si>
  <si>
    <t>fall_jinengshu_01</t>
  </si>
  <si>
    <t>ain_effect_lvseguangzhu_88</t>
  </si>
  <si>
    <t>BK_J_lv</t>
  </si>
  <si>
    <t>BK_D_lv</t>
  </si>
  <si>
    <t>材料</t>
  </si>
  <si>
    <t>战士技能书</t>
  </si>
  <si>
    <t>攻杀剑术</t>
  </si>
  <si>
    <t>刺杀剑术</t>
  </si>
  <si>
    <t>击杀祖玛怪物获得</t>
  </si>
  <si>
    <t>半月弯刀</t>
  </si>
  <si>
    <t>野蛮冲撞</t>
  </si>
  <si>
    <t>击杀赤月怪物获得</t>
  </si>
  <si>
    <t>烈火剑法</t>
  </si>
  <si>
    <t>火球术</t>
  </si>
  <si>
    <t>法师</t>
  </si>
  <si>
    <t>法师技能书</t>
  </si>
  <si>
    <t>抗拒火环</t>
  </si>
  <si>
    <t>雷电术</t>
  </si>
  <si>
    <t>fall_jinengshu_02</t>
  </si>
  <si>
    <t>火墙</t>
  </si>
  <si>
    <t>疾光电影</t>
  </si>
  <si>
    <t>魔法盾</t>
  </si>
  <si>
    <t>冰咆哮</t>
  </si>
  <si>
    <t>灵魂火符</t>
  </si>
  <si>
    <t>道士</t>
  </si>
  <si>
    <t>道士技能书</t>
  </si>
  <si>
    <t>治愈术</t>
  </si>
  <si>
    <t>施毒术</t>
  </si>
  <si>
    <t>召唤骷髅</t>
  </si>
  <si>
    <t>幽灵盾</t>
  </si>
  <si>
    <t>神圣战甲术</t>
  </si>
  <si>
    <t>隐身术</t>
  </si>
  <si>
    <t>召唤神兽</t>
  </si>
  <si>
    <t>技能经验</t>
  </si>
  <si>
    <t>|cff00FF00增加技能的经验值</t>
  </si>
  <si>
    <t>参加特殊活动，击杀BOSS可得</t>
  </si>
  <si>
    <t>祝福油</t>
  </si>
  <si>
    <t>强化</t>
  </si>
  <si>
    <t>子类_贵重品</t>
  </si>
  <si>
    <t>强化道具</t>
  </si>
  <si>
    <t>祝福_幸运</t>
  </si>
  <si>
    <t>|cff00FF00使用祝福油有概率提升当前装备武器的幸运值，最高可以提升到7点。</t>
  </si>
  <si>
    <t>fall_zhufuyou</t>
  </si>
  <si>
    <t>强化石</t>
  </si>
  <si>
    <t>系统_强化</t>
  </si>
  <si>
    <t>|cff00FF00使用后可以进行装备强化</t>
  </si>
  <si>
    <t>fall_qianghuashi</t>
  </si>
  <si>
    <t>强化特权</t>
  </si>
  <si>
    <t>特权_强化</t>
  </si>
  <si>
    <t>|cff00FF00使用后增加10%强化成功率</t>
  </si>
  <si>
    <t>fall_qianghuatequan</t>
  </si>
  <si>
    <t>命格洗练石</t>
  </si>
  <si>
    <t>命格_洗练</t>
  </si>
  <si>
    <t>|cff00FF00使用后可以进行命格洗练</t>
  </si>
  <si>
    <t>fall_minggeshi</t>
  </si>
  <si>
    <t>羽毛</t>
  </si>
  <si>
    <t>系统_羽翼</t>
  </si>
  <si>
    <t>|cff00FF00使用后可以进行羽翼升级</t>
  </si>
  <si>
    <t>fall_yumao</t>
  </si>
  <si>
    <t>背包解锁格</t>
  </si>
  <si>
    <t>背包_解锁格</t>
  </si>
  <si>
    <t>|cff00FF00使用后可以解锁背包格子</t>
  </si>
  <si>
    <t>fall_beibaoge</t>
  </si>
  <si>
    <t>背包解锁页</t>
  </si>
  <si>
    <t>背包_解锁页</t>
  </si>
  <si>
    <t>|cff00FF00使用后可以大量解锁背包页</t>
  </si>
  <si>
    <t>fall_beibaoye</t>
  </si>
  <si>
    <t>魂之精髓</t>
  </si>
  <si>
    <t>打造小极品用|n|cff00FF00凝聚了天地战魂之力的血红结晶。将其投入锻造炉中，可唤醒兵器沉睡的凶性，会赋予其额外的属性或隐藏技能。|n|cffFF0000神物虽神，也看本体天性。</t>
  </si>
  <si>
    <t>fall_jingsui</t>
  </si>
  <si>
    <t>魄之散华</t>
  </si>
  <si>
    <t>重置打造的小极品属性|n|cff00FF00采自幽冥忘川的幽蓝水露。能洗去兵器上一切通过魂之精髓后天唤醒的凶性，使其回归最初状态。|n使用后，所有打造附加的属性与技能将彻底消散。</t>
  </si>
  <si>
    <t>fall_sanhua</t>
  </si>
  <si>
    <t>超级祝福油</t>
  </si>
  <si>
    <t>高级祝福_幸运</t>
  </si>
  <si>
    <t>|cff00FF00使用祝福油有概率提升当前装备武器的幸运值，最高可以提升到7点。|n失败后不会降低武器幸运。</t>
  </si>
  <si>
    <t>通过祝福油合成，击杀BOSS可得</t>
  </si>
  <si>
    <t>fall_bluebottle</t>
  </si>
  <si>
    <t>1转神石</t>
  </si>
  <si>
    <t>系统_转生</t>
  </si>
  <si>
    <t>|cff00FF00玩家1转时需要的材料</t>
  </si>
  <si>
    <t>fall_zhuansheng_01</t>
  </si>
  <si>
    <t>2转神石</t>
  </si>
  <si>
    <t>|cff00FF00玩家2转时需要的材料</t>
  </si>
  <si>
    <t>fall_zhuansheng_02</t>
  </si>
  <si>
    <t>3转神石</t>
  </si>
  <si>
    <t>|cff00FF00玩家3转时需要的材料</t>
  </si>
  <si>
    <t>fall_zhuansheng_03</t>
  </si>
  <si>
    <t>4转神石</t>
  </si>
  <si>
    <t>|cff00FF00玩家4转时需要的材料</t>
  </si>
  <si>
    <t>fall_zhuansheng_04</t>
  </si>
  <si>
    <t>合成符</t>
  </si>
  <si>
    <t>系统_合成</t>
  </si>
  <si>
    <t>|cff00FF00合成贵重物品需要的材料</t>
  </si>
  <si>
    <t>fall_hechengfu_01</t>
  </si>
  <si>
    <t>马牌</t>
  </si>
  <si>
    <t>系统_马牌</t>
  </si>
  <si>
    <t>|cff00FF00兑换马匹需要的材料</t>
  </si>
  <si>
    <t>打听马匹入口获得</t>
  </si>
  <si>
    <t>fall_props_mapai</t>
  </si>
  <si>
    <t>基础铭文</t>
  </si>
  <si>
    <t>铭文</t>
  </si>
  <si>
    <t>系统_铭文</t>
  </si>
  <si>
    <t>可以激活基础剑术铭文词条</t>
  </si>
  <si>
    <t>fall_mingwen_jichu</t>
  </si>
  <si>
    <t>战士技能铭文</t>
  </si>
  <si>
    <t>攻杀铭文</t>
  </si>
  <si>
    <t>可以激活攻杀剑术铭文词条</t>
  </si>
  <si>
    <t>fall_mingwen_gongsha</t>
  </si>
  <si>
    <t>刺杀铭文</t>
  </si>
  <si>
    <t>可以激活刺杀剑术铭文词条</t>
  </si>
  <si>
    <t>fall_mingwen_cisha</t>
  </si>
  <si>
    <t>半月铭文</t>
  </si>
  <si>
    <t>可以激活半月弯刀铭文词条</t>
  </si>
  <si>
    <t>fall_mingwen_banyue</t>
  </si>
  <si>
    <t>烈火铭文</t>
  </si>
  <si>
    <t>可以激活烈火剑法铭文词条</t>
  </si>
  <si>
    <t>fall_mingwen_liehuo</t>
  </si>
  <si>
    <t>野蛮铭文</t>
  </si>
  <si>
    <t>可以激活野蛮冲撞铭文词条</t>
  </si>
  <si>
    <t>fall_mingwen_yeman</t>
  </si>
  <si>
    <t>开天铭文</t>
  </si>
  <si>
    <t>可以激活开天斩铭文词条</t>
  </si>
  <si>
    <t>fall_mingwen_kaitian</t>
  </si>
  <si>
    <t>逐日铭文</t>
  </si>
  <si>
    <t>可以激活逐日剑法铭文词条</t>
  </si>
  <si>
    <t>fall_mingwen_zhuri</t>
  </si>
  <si>
    <t>战神纹</t>
  </si>
  <si>
    <t>可以激活战士技能第二条词条</t>
  </si>
  <si>
    <t>暂无投放</t>
  </si>
  <si>
    <t>fall_mingwen_zhanshen</t>
  </si>
  <si>
    <t>火球铭文</t>
  </si>
  <si>
    <t>可以激活和洗练相应技能的铭文词条</t>
  </si>
  <si>
    <t>击杀怪物获得</t>
  </si>
  <si>
    <t>fall_mingwen_huoqiu</t>
  </si>
  <si>
    <t>法师技能铭文</t>
  </si>
  <si>
    <t>雷电铭文</t>
  </si>
  <si>
    <t>fall_mingwen_leidian</t>
  </si>
  <si>
    <t>抗拒铭文</t>
  </si>
  <si>
    <t>fall_mingwen_kangju</t>
  </si>
  <si>
    <t>火墙铭文</t>
  </si>
  <si>
    <t>fall_mingwen_huoqiang</t>
  </si>
  <si>
    <t>法盾铭文</t>
  </si>
  <si>
    <t>fall_mingwen_fadun</t>
  </si>
  <si>
    <t>疾光铭文</t>
  </si>
  <si>
    <t>fall_mingwen_jiguang</t>
  </si>
  <si>
    <t>地狱铭文</t>
  </si>
  <si>
    <t>fall_mingwen_diyu</t>
  </si>
  <si>
    <t>咆哮铭文</t>
  </si>
  <si>
    <t>fall_mingwen_paoxiao</t>
  </si>
  <si>
    <t>法神纹</t>
  </si>
  <si>
    <t>可以激活法师技能第二条词条</t>
  </si>
  <si>
    <t>fall_mingwen_fashen</t>
  </si>
  <si>
    <t>火符铭文</t>
  </si>
  <si>
    <t>fall_mingwen_huofu</t>
  </si>
  <si>
    <t>道士技能铭文</t>
  </si>
  <si>
    <t>治愈铭文</t>
  </si>
  <si>
    <t>fall_mingwen_zhiyu</t>
  </si>
  <si>
    <t>施毒铭文</t>
  </si>
  <si>
    <t>fall_mingwen_shidu</t>
  </si>
  <si>
    <t>骷髅铭文</t>
  </si>
  <si>
    <t>fall_mingwen_kulou</t>
  </si>
  <si>
    <t>隐身铭文</t>
  </si>
  <si>
    <t>fall_mingwen_yinshen</t>
  </si>
  <si>
    <t>幽灵铭文</t>
  </si>
  <si>
    <t>fall_mingwen_youling</t>
  </si>
  <si>
    <t>神圣铭文</t>
  </si>
  <si>
    <t>fall_mingwen_shensheng</t>
  </si>
  <si>
    <t>神兽铭文</t>
  </si>
  <si>
    <t>fall_mingwen_shenshou</t>
  </si>
  <si>
    <t>困魔铭文</t>
  </si>
  <si>
    <t>fall_mingwen_kunmo</t>
  </si>
  <si>
    <t>道神纹</t>
  </si>
  <si>
    <t>可以激活道士技能第二条词条</t>
  </si>
  <si>
    <t>fall_mingwen_daoshen</t>
  </si>
  <si>
    <t>鹿茸</t>
  </si>
  <si>
    <t>任务</t>
  </si>
  <si>
    <t>|cff00FF00肉类材料</t>
  </si>
  <si>
    <t>fall_props_lurong</t>
  </si>
  <si>
    <t>肉类</t>
  </si>
  <si>
    <t>羊腰子</t>
  </si>
  <si>
    <t>fall_props_yangyaozi</t>
  </si>
  <si>
    <t>猫粮</t>
  </si>
  <si>
    <t>fall_props_maoliang</t>
  </si>
  <si>
    <t>狼肉</t>
  </si>
  <si>
    <t>fall_props_langrou</t>
  </si>
  <si>
    <t>小魔法药</t>
  </si>
  <si>
    <t>药品</t>
  </si>
  <si>
    <t>子类_药品</t>
  </si>
  <si>
    <t>药品_加蓝</t>
  </si>
  <si>
    <t>|cff00FF00使用后在6秒内缓慢增加魔法值60</t>
  </si>
  <si>
    <t>药水</t>
  </si>
  <si>
    <t>强效魔法药</t>
  </si>
  <si>
    <t>|cff00FF00使用后在6秒内缓慢增加魔法值120</t>
  </si>
  <si>
    <t>fall_bluebottle_02</t>
  </si>
  <si>
    <t>特级魔法药</t>
  </si>
  <si>
    <t>|cff00FF00使用后在6秒内缓慢增加魔法值240</t>
  </si>
  <si>
    <t>fall_bluebottle_03</t>
  </si>
  <si>
    <t>小金创药</t>
  </si>
  <si>
    <t>药品_加血</t>
  </si>
  <si>
    <t>|cff00FF00使用后在6秒内缓慢增加血量60</t>
  </si>
  <si>
    <t>fall_redbottle</t>
  </si>
  <si>
    <t>太阳水</t>
  </si>
  <si>
    <t>强效金创药</t>
  </si>
  <si>
    <t>|cff00FF00使用后在6秒内缓慢增加血量120</t>
  </si>
  <si>
    <t>fall_redbottle_02</t>
  </si>
  <si>
    <t>强效太阳水</t>
  </si>
  <si>
    <t>特级金创药</t>
  </si>
  <si>
    <t>|cff00FF00使用后在6秒内缓慢增加血量240</t>
  </si>
  <si>
    <t>fall_redbottle_03</t>
  </si>
  <si>
    <t>特效太阳水</t>
  </si>
  <si>
    <t>|cff00FF00瞬时恢复血量和魔法值</t>
  </si>
  <si>
    <t>fall_taiyangshui</t>
  </si>
  <si>
    <t>fall_taiyangshui_02</t>
  </si>
  <si>
    <t>fall_taiyangshui_03</t>
  </si>
  <si>
    <t>疗伤药</t>
  </si>
  <si>
    <t>fall_liaoshang</t>
  </si>
  <si>
    <t>屠龙刀</t>
  </si>
  <si>
    <t>外观</t>
  </si>
  <si>
    <t>子类_外观</t>
  </si>
  <si>
    <t>使用激活头像</t>
  </si>
  <si>
    <t>fall_xueshuang</t>
  </si>
  <si>
    <t>不屈战士</t>
  </si>
  <si>
    <t>大魔法师</t>
  </si>
  <si>
    <t>天尊道士</t>
  </si>
  <si>
    <t>龙虾</t>
  </si>
  <si>
    <t>AI管家</t>
  </si>
  <si>
    <t>战神白起</t>
  </si>
  <si>
    <t>法神刘秀</t>
  </si>
  <si>
    <t>道神老子</t>
  </si>
  <si>
    <t>斗战马喽</t>
  </si>
  <si>
    <t>测试斗笠皮肤</t>
  </si>
  <si>
    <t>使用激活斗笠皮肤</t>
  </si>
  <si>
    <t>icon_douli_woma</t>
  </si>
  <si>
    <t>测试武器皮肤</t>
  </si>
  <si>
    <t>使用激活武器皮肤</t>
  </si>
  <si>
    <t>icon_weapon_fs_tianqiong</t>
  </si>
  <si>
    <t>称号碎片</t>
  </si>
  <si>
    <t>称号升级道具</t>
  </si>
  <si>
    <t>fall_chenghaosp</t>
  </si>
  <si>
    <t>戒指碎片·左</t>
  </si>
  <si>
    <t>特戒</t>
  </si>
  <si>
    <t>升级左列特戒需要的材料</t>
  </si>
  <si>
    <t>fall_tejiejs_zuo</t>
  </si>
  <si>
    <t>戒指碎片·右</t>
  </si>
  <si>
    <t>升级右列特戒需要的材料</t>
  </si>
  <si>
    <t>fall_tejiejs_you</t>
  </si>
  <si>
    <t>玄晶</t>
  </si>
  <si>
    <t>升级特戒需要的材料</t>
  </si>
  <si>
    <t>fall_tejiejs_xuanjing</t>
  </si>
  <si>
    <t>时空晶石</t>
  </si>
  <si>
    <t>fall_tejiejs_shikong</t>
  </si>
  <si>
    <t>金刚晶石</t>
  </si>
  <si>
    <t>fall_tejiejs_jingang</t>
  </si>
  <si>
    <t>魔法晶石</t>
  </si>
  <si>
    <t>fall_tejiejs_mofa</t>
  </si>
  <si>
    <t>生命晶石</t>
  </si>
  <si>
    <t>fall_tejiejs_shengming</t>
  </si>
  <si>
    <t>穿透晶石</t>
  </si>
  <si>
    <t>fall_tejiejs_chuantou</t>
  </si>
  <si>
    <t>元素晶石</t>
  </si>
  <si>
    <t>fall_tejiejs_yuansu</t>
  </si>
  <si>
    <t>雷霆晶石</t>
  </si>
  <si>
    <t>fall_tejiejs_leiting</t>
  </si>
  <si>
    <t>不死晶石</t>
  </si>
  <si>
    <t>fall_tejiejs_busi</t>
  </si>
  <si>
    <t>疾风晶石</t>
  </si>
  <si>
    <t>fall_tejiejs_jifeng</t>
  </si>
  <si>
    <t>割裂晶石</t>
  </si>
  <si>
    <t>fall_tejiejs_gelie</t>
  </si>
  <si>
    <t>秒杀晶石</t>
  </si>
  <si>
    <t>fall_tejiejs_miaosha</t>
  </si>
  <si>
    <t>幸运晶石</t>
  </si>
  <si>
    <t>fall_tejiejs_xingyun</t>
  </si>
  <si>
    <t>传送特戒</t>
  </si>
  <si>
    <t>橙色</t>
  </si>
  <si>
    <t>特戒装备，可以直接穿戴</t>
  </si>
  <si>
    <t>系统赠送或怪物掉落</t>
  </si>
  <si>
    <t>ain_effect_jinseguangzhu_86</t>
  </si>
  <si>
    <t>BK_J_cheng</t>
  </si>
  <si>
    <t>BK_D_cheng</t>
  </si>
  <si>
    <t>护体特戒</t>
  </si>
  <si>
    <t>召唤特戒</t>
  </si>
  <si>
    <t>恢复特戒</t>
  </si>
  <si>
    <t>破防特戒</t>
  </si>
  <si>
    <t>元素特戒</t>
  </si>
  <si>
    <t>麻痹特戒</t>
  </si>
  <si>
    <t>复活特戒</t>
  </si>
  <si>
    <t>攻速特戒</t>
  </si>
  <si>
    <t>切割特戒</t>
  </si>
  <si>
    <t>斩杀特戒</t>
  </si>
  <si>
    <t>幸运特戒</t>
  </si>
  <si>
    <t>传送神戒</t>
  </si>
  <si>
    <t>红色</t>
  </si>
  <si>
    <t>ain_effect_hongseguangzhu_88</t>
  </si>
  <si>
    <t>BK_J_hong</t>
  </si>
  <si>
    <t>BK_D_hong</t>
  </si>
  <si>
    <t>护体神戒</t>
  </si>
  <si>
    <t>召唤神戒</t>
  </si>
  <si>
    <t>恢复神戒</t>
  </si>
  <si>
    <t>破防神戒</t>
  </si>
  <si>
    <t>元素神戒</t>
  </si>
  <si>
    <t>麻痹神戒</t>
  </si>
  <si>
    <t>复活神戒</t>
  </si>
  <si>
    <t>攻速神戒</t>
  </si>
  <si>
    <t>切割神戒</t>
  </si>
  <si>
    <t>斩杀神戒</t>
  </si>
  <si>
    <t>幸运神戒</t>
  </si>
  <si>
    <t>阎罗王碎片</t>
  </si>
  <si>
    <t>系统_请神</t>
  </si>
  <si>
    <t>|cff00FF00请神系统</t>
  </si>
  <si>
    <t>平台抽奖获得</t>
  </si>
  <si>
    <t>秦广王碎片</t>
  </si>
  <si>
    <t>楚江王碎片</t>
  </si>
  <si>
    <t>酆都大帝碎片</t>
  </si>
  <si>
    <t>钟馗碎片</t>
  </si>
  <si>
    <t>黑无常碎片</t>
  </si>
  <si>
    <t>白无常碎片</t>
  </si>
  <si>
    <t>孟婆碎片</t>
  </si>
  <si>
    <t>阴天子碎片</t>
  </si>
  <si>
    <t>1级生命宝石</t>
  </si>
  <si>
    <t>系统_宝石</t>
  </si>
  <si>
    <t>|cff00FF00镶嵌进装备后生命值+10</t>
  </si>
  <si>
    <t>2级生命宝石</t>
  </si>
  <si>
    <t>|cff00FF00镶嵌进装备后生命值+20</t>
  </si>
  <si>
    <t>1级攻魔道宝石</t>
  </si>
  <si>
    <t>|cff00FF00镶嵌进装备后攻魔道上限+10</t>
  </si>
  <si>
    <t>2级攻魔道宝石</t>
  </si>
  <si>
    <t>|cff00FF00镶嵌进装备后攻魔道上限+20</t>
  </si>
  <si>
    <t>1级物防宝石</t>
  </si>
  <si>
    <t>|cff00FF00镶嵌进装备后物防上限+10</t>
  </si>
  <si>
    <t>2级物防宝石</t>
  </si>
  <si>
    <t>|cff00FF00镶嵌进装备后物防上限+20</t>
  </si>
  <si>
    <t>1级魔防宝石</t>
  </si>
  <si>
    <t>|cff00FF00镶嵌进装备后魔防上限+10</t>
  </si>
  <si>
    <t>2级魔防宝石</t>
  </si>
  <si>
    <t>|cff00FF00镶嵌进装备后魔防上限+20</t>
  </si>
  <si>
    <t>开孔锥</t>
  </si>
  <si>
    <t>|cff00FF00前往铁匠铺装备开孔使用</t>
  </si>
  <si>
    <t>宝石碎片</t>
  </si>
  <si>
    <t>|cff00FF00前往铁匠铺合成宝石使用</t>
  </si>
  <si>
    <t>内部名</t>
  </si>
  <si>
    <t>编号</t>
  </si>
  <si>
    <t>物编编号</t>
  </si>
  <si>
    <t>颜色</t>
  </si>
  <si>
    <t>从左数起</t>
  </si>
  <si>
    <t>A</t>
  </si>
  <si>
    <t>第1位</t>
  </si>
  <si>
    <t>固定为3表示物品</t>
  </si>
  <si>
    <t>B</t>
  </si>
  <si>
    <t>第2位</t>
  </si>
  <si>
    <t>分大类</t>
  </si>
  <si>
    <t>经验</t>
  </si>
  <si>
    <t>C</t>
  </si>
  <si>
    <t>蓝色</t>
  </si>
  <si>
    <t>第3位</t>
  </si>
  <si>
    <t>D</t>
  </si>
  <si>
    <t>第4位</t>
  </si>
  <si>
    <t>E</t>
  </si>
  <si>
    <t>第5位</t>
  </si>
  <si>
    <t>本分类下的序号</t>
  </si>
  <si>
    <t>第6位</t>
  </si>
  <si>
    <t>第7位</t>
  </si>
  <si>
    <t>第8位</t>
  </si>
  <si>
    <t>新物品ID编号计算规则=30000000+@INDEX(编号表!$B:$B,MATCH(C3,编号表!$A:$A,0))*10000+E3</t>
  </si>
  <si>
    <t>改动原因：因为现在的道具配置之后，品质有改动的可能，因此暂时把品质对ID的影响取消掉。</t>
  </si>
  <si>
    <t>道具ID必须下拉，使用公式自动生成ID！！！</t>
  </si>
  <si>
    <t>版本</t>
  </si>
  <si>
    <t>说明</t>
  </si>
  <si>
    <t>物品编号从2开头七位改为3开头8位
增加光柱配置</t>
  </si>
  <si>
    <t>掉落模型</t>
  </si>
  <si>
    <t>新增0显示分类DisplayType纯TIPS上显示用</t>
  </si>
  <si>
    <t>更新编号规则，增加颜色对应的品质，对应改物品ID</t>
  </si>
  <si>
    <t>更新图标</t>
  </si>
  <si>
    <t>新增血药蓝药对应功能ID配置</t>
  </si>
  <si>
    <t>新增小极品打造相关道具</t>
  </si>
  <si>
    <t>给小极品打造道具配置图标，临时使用</t>
  </si>
  <si>
    <t>新增双加药</t>
  </si>
  <si>
    <t>新增多种金币和灵符道具，打开获得的数量不同。同时更新道具描述</t>
  </si>
  <si>
    <t>更新掉落物，物品ID增加格式，重复显示红色</t>
  </si>
  <si>
    <t>新增静态边框和动态边框的配置项</t>
  </si>
  <si>
    <t>新增铭文ICON编号和对应掉落物模型，修改34040043为道神纹</t>
  </si>
  <si>
    <t>编号里新增了一类任务，对应新增的任务物品的大类颜色和序号都改了，对应物品的ID也变了</t>
  </si>
  <si>
    <t>对ID规则进行改动，在ID编号的计算中删掉了品质的影响。铭文使用新的ID计算规则计算，其他的老物品ID不变，删掉ID编号规则，直接粘贴老的ID</t>
  </si>
  <si>
    <t>新增一类外观道具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</si>
</sst>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9"/>
      <color theme="1"/>
      <name val="微软雅黑"/>
      <charset val="134"/>
    </font>
    <font>
      <sz val="36"/>
      <color rgb="FFFF0000"/>
      <name val="微软雅黑"/>
      <charset val="134"/>
    </font>
    <font>
      <sz val="9"/>
      <color rgb="FFFF0000"/>
      <name val="微软雅黑"/>
      <charset val="134"/>
    </font>
    <font>
      <sz val="10"/>
      <color rgb="FF000000"/>
      <name val="微软雅黑"/>
      <charset val="134"/>
    </font>
    <font>
      <sz val="10"/>
      <name val="宋体"/>
      <charset val="134"/>
    </font>
    <font>
      <sz val="10"/>
      <color rgb="FF000000"/>
      <name val="等线"/>
      <charset val="134"/>
      <scheme val="minor"/>
    </font>
    <font>
      <sz val="9"/>
      <color rgb="FF000000"/>
      <name val="微软雅黑"/>
      <charset val="134"/>
    </font>
    <font>
      <sz val="9"/>
      <name val="等线"/>
      <charset val="134"/>
      <scheme val="minor"/>
    </font>
    <font>
      <sz val="9"/>
      <name val="Adobe 黑体 Std 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000000"/>
      <color rgb="00FFFF66"/>
      <color rgb="00FFFF99"/>
      <color rgb="0092D05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92D050"/>
  </sheetPr>
  <dimension ref="A1:AE169"/>
  <sheetViews>
    <sheetView tabSelected="1" workbookViewId="0">
      <pane xSplit="3" ySplit="2" topLeftCell="D3" activePane="bottomRight" state="frozen"/>
      <selection/>
      <selection pane="topRight"/>
      <selection pane="bottomLeft"/>
      <selection pane="bottomRight" activeCell="C6" sqref="C6"/>
    </sheetView>
  </sheetViews>
  <sheetFormatPr defaultColWidth="9" defaultRowHeight="14.25"/>
  <cols>
    <col min="1" max="1" width="9.57142857142857" style="2"/>
    <col min="2" max="2" width="12" style="2" customWidth="1"/>
    <col min="3" max="4" width="7" style="2" customWidth="1"/>
    <col min="5" max="5" width="12" style="2" customWidth="1"/>
    <col min="6" max="6" width="7.72380952380952" style="2" customWidth="1"/>
    <col min="7" max="8" width="10.6380952380952" style="2" customWidth="1"/>
    <col min="9" max="10" width="8.54285714285714" style="2" customWidth="1"/>
    <col min="11" max="11" width="8.27619047619048" style="2" customWidth="1"/>
    <col min="12" max="13" width="13.1809523809524" style="2" customWidth="1"/>
    <col min="14" max="15" width="13.8190476190476" style="2" customWidth="1"/>
    <col min="16" max="16" width="9.54285714285714" style="2" customWidth="1"/>
    <col min="17" max="17" width="8.72380952380952" style="2" customWidth="1"/>
    <col min="18" max="18" width="18.4571428571429" style="2" customWidth="1"/>
    <col min="19" max="19" width="15.1809523809524" style="2" customWidth="1"/>
    <col min="20" max="20" width="14.0952380952381" style="2" customWidth="1"/>
    <col min="21" max="21" width="41.5428571428571" style="2" customWidth="1"/>
    <col min="22" max="22" width="20.4571428571429" style="2" customWidth="1"/>
    <col min="23" max="23" width="11" style="2" customWidth="1"/>
    <col min="24" max="24" width="23.1809523809524" style="2" customWidth="1"/>
    <col min="25" max="25" width="33.9047619047619" style="2" customWidth="1"/>
    <col min="26" max="27" width="12.8190476190476" style="2" customWidth="1"/>
    <col min="28" max="28" width="9" style="2"/>
    <col min="29" max="29" width="13" style="2" customWidth="1"/>
    <col min="30" max="16384" width="9" style="2"/>
  </cols>
  <sheetData>
    <row r="1" spans="1:31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4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</row>
    <row r="2" spans="1:31">
      <c r="A2" s="2" t="s">
        <v>29</v>
      </c>
      <c r="B2" s="2" t="s">
        <v>30</v>
      </c>
      <c r="C2" s="2" t="s">
        <v>31</v>
      </c>
      <c r="D2" s="5"/>
      <c r="E2" s="5" t="s">
        <v>32</v>
      </c>
      <c r="F2" s="5"/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55</v>
      </c>
      <c r="AD2" s="2" t="s">
        <v>56</v>
      </c>
      <c r="AE2" s="2" t="s">
        <v>57</v>
      </c>
    </row>
    <row r="3" spans="1:31">
      <c r="A3" s="2">
        <v>31010001</v>
      </c>
      <c r="B3" s="2" t="s">
        <v>58</v>
      </c>
      <c r="C3" s="2" t="s">
        <v>59</v>
      </c>
      <c r="D3" s="2">
        <v>1</v>
      </c>
      <c r="E3" s="2">
        <v>60</v>
      </c>
      <c r="F3" s="2" t="s">
        <v>60</v>
      </c>
      <c r="G3" s="2" t="s">
        <v>61</v>
      </c>
      <c r="H3" s="2" t="s">
        <v>62</v>
      </c>
      <c r="I3" s="2">
        <v>1</v>
      </c>
      <c r="J3" s="2" t="s">
        <v>60</v>
      </c>
      <c r="L3" s="2">
        <v>30000</v>
      </c>
      <c r="M3" s="2" t="s">
        <v>63</v>
      </c>
      <c r="O3" s="2">
        <v>1</v>
      </c>
      <c r="P3" s="2" t="s">
        <v>64</v>
      </c>
      <c r="Q3" s="2">
        <v>999</v>
      </c>
      <c r="R3" s="2" t="s">
        <v>65</v>
      </c>
      <c r="T3" s="2">
        <v>50</v>
      </c>
      <c r="U3" s="2" t="str">
        <f t="shared" ref="U3:U7" si="0">"|cff00FF00"&amp;B3&amp;"，打开后可以获得"&amp;T3&amp;"金币。"</f>
        <v>|cff00FF00一小袋金币，打开后可以获得50金币。</v>
      </c>
      <c r="V3" s="2" t="s">
        <v>66</v>
      </c>
      <c r="W3" s="2">
        <v>31010001</v>
      </c>
      <c r="X3" s="2" t="s">
        <v>67</v>
      </c>
      <c r="AB3" s="2" t="s">
        <v>60</v>
      </c>
      <c r="AC3" s="2" t="s">
        <v>68</v>
      </c>
    </row>
    <row r="4" spans="1:31">
      <c r="A4" s="2">
        <v>31010002</v>
      </c>
      <c r="B4" s="2" t="s">
        <v>69</v>
      </c>
      <c r="C4" s="2" t="s">
        <v>59</v>
      </c>
      <c r="D4" s="2">
        <v>2</v>
      </c>
      <c r="E4" s="2">
        <v>60</v>
      </c>
      <c r="F4" s="2" t="s">
        <v>60</v>
      </c>
      <c r="G4" s="2" t="s">
        <v>61</v>
      </c>
      <c r="H4" s="2" t="s">
        <v>62</v>
      </c>
      <c r="I4" s="2">
        <v>2</v>
      </c>
      <c r="J4" s="2" t="s">
        <v>60</v>
      </c>
      <c r="L4" s="2">
        <v>30000</v>
      </c>
      <c r="M4" s="2" t="s">
        <v>63</v>
      </c>
      <c r="O4" s="2">
        <v>1</v>
      </c>
      <c r="P4" s="2" t="s">
        <v>64</v>
      </c>
      <c r="Q4" s="2">
        <v>999</v>
      </c>
      <c r="R4" s="2" t="s">
        <v>70</v>
      </c>
      <c r="T4" s="2">
        <v>5</v>
      </c>
      <c r="U4" s="2" t="str">
        <f>"|cff00FF00"&amp;B4&amp;"，打开后可以获得"&amp;T4&amp;"灵符。"</f>
        <v>|cff00FF00一小袋灵符，打开后可以获得5灵符。</v>
      </c>
      <c r="V4" s="2" t="s">
        <v>66</v>
      </c>
      <c r="W4" s="2">
        <v>31010002</v>
      </c>
      <c r="X4" s="2" t="s">
        <v>71</v>
      </c>
      <c r="AB4" s="2" t="s">
        <v>60</v>
      </c>
      <c r="AC4" s="2" t="s">
        <v>72</v>
      </c>
    </row>
    <row r="5" spans="1:31">
      <c r="A5" s="2">
        <v>31010003</v>
      </c>
      <c r="B5" s="2" t="s">
        <v>73</v>
      </c>
      <c r="C5" s="2" t="s">
        <v>59</v>
      </c>
      <c r="D5" s="2">
        <v>3</v>
      </c>
      <c r="E5" s="2">
        <v>60</v>
      </c>
      <c r="F5" s="2" t="s">
        <v>60</v>
      </c>
      <c r="G5" s="2" t="s">
        <v>61</v>
      </c>
      <c r="H5" s="2" t="s">
        <v>62</v>
      </c>
      <c r="I5" s="2">
        <v>3</v>
      </c>
      <c r="J5" s="2" t="s">
        <v>60</v>
      </c>
      <c r="L5" s="2">
        <v>30000</v>
      </c>
      <c r="M5" s="2" t="s">
        <v>63</v>
      </c>
      <c r="O5" s="2">
        <v>1</v>
      </c>
      <c r="P5" s="2" t="s">
        <v>64</v>
      </c>
      <c r="Q5" s="2">
        <v>999</v>
      </c>
      <c r="R5" s="2" t="s">
        <v>65</v>
      </c>
      <c r="T5" s="2">
        <v>100</v>
      </c>
      <c r="U5" s="2" t="str">
        <f t="shared" si="0"/>
        <v>|cff00FF00一袋金币，打开后可以获得100金币。</v>
      </c>
      <c r="V5" s="2" t="s">
        <v>66</v>
      </c>
      <c r="W5" s="2">
        <v>31010001</v>
      </c>
      <c r="X5" s="2" t="s">
        <v>67</v>
      </c>
      <c r="AB5" s="2" t="s">
        <v>60</v>
      </c>
      <c r="AC5" s="2" t="s">
        <v>68</v>
      </c>
    </row>
    <row r="6" spans="1:31">
      <c r="A6" s="2">
        <v>31010004</v>
      </c>
      <c r="B6" s="2" t="s">
        <v>74</v>
      </c>
      <c r="C6" s="2" t="s">
        <v>59</v>
      </c>
      <c r="D6" s="2">
        <v>4</v>
      </c>
      <c r="E6" s="2">
        <v>60</v>
      </c>
      <c r="F6" s="2" t="s">
        <v>60</v>
      </c>
      <c r="G6" s="2" t="s">
        <v>61</v>
      </c>
      <c r="H6" s="2" t="s">
        <v>62</v>
      </c>
      <c r="I6" s="2">
        <v>4</v>
      </c>
      <c r="J6" s="2" t="s">
        <v>60</v>
      </c>
      <c r="L6" s="2">
        <v>30000</v>
      </c>
      <c r="M6" s="2" t="s">
        <v>63</v>
      </c>
      <c r="O6" s="2">
        <v>1</v>
      </c>
      <c r="P6" s="2" t="s">
        <v>64</v>
      </c>
      <c r="Q6" s="2">
        <v>999</v>
      </c>
      <c r="R6" s="2" t="s">
        <v>70</v>
      </c>
      <c r="T6" s="2">
        <v>10</v>
      </c>
      <c r="U6" s="2" t="str">
        <f t="shared" ref="U6:U8" si="1">"|cff00FF00"&amp;B6&amp;"，打开后可以获得"&amp;T6&amp;"灵符。"</f>
        <v>|cff00FF00一袋灵符，打开后可以获得10灵符。</v>
      </c>
      <c r="V6" s="2" t="s">
        <v>66</v>
      </c>
      <c r="W6" s="2">
        <v>31010002</v>
      </c>
      <c r="X6" s="2" t="s">
        <v>71</v>
      </c>
      <c r="AB6" s="2" t="s">
        <v>60</v>
      </c>
      <c r="AC6" s="2" t="s">
        <v>72</v>
      </c>
    </row>
    <row r="7" spans="1:31">
      <c r="A7" s="2">
        <v>31010005</v>
      </c>
      <c r="B7" s="2" t="s">
        <v>75</v>
      </c>
      <c r="C7" s="2" t="s">
        <v>59</v>
      </c>
      <c r="D7" s="2">
        <v>5</v>
      </c>
      <c r="E7" s="2">
        <v>60</v>
      </c>
      <c r="F7" s="2" t="s">
        <v>60</v>
      </c>
      <c r="G7" s="2" t="s">
        <v>61</v>
      </c>
      <c r="H7" s="2" t="s">
        <v>62</v>
      </c>
      <c r="I7" s="2">
        <v>5</v>
      </c>
      <c r="J7" s="2" t="s">
        <v>60</v>
      </c>
      <c r="L7" s="2">
        <v>30000</v>
      </c>
      <c r="M7" s="2" t="s">
        <v>63</v>
      </c>
      <c r="O7" s="2">
        <v>1</v>
      </c>
      <c r="P7" s="2" t="s">
        <v>64</v>
      </c>
      <c r="Q7" s="2">
        <v>999</v>
      </c>
      <c r="R7" s="2" t="s">
        <v>65</v>
      </c>
      <c r="T7" s="2">
        <v>500</v>
      </c>
      <c r="U7" s="2" t="str">
        <f t="shared" si="0"/>
        <v>|cff00FF00一大袋金币，打开后可以获得500金币。</v>
      </c>
      <c r="V7" s="2" t="s">
        <v>66</v>
      </c>
      <c r="W7" s="2">
        <v>31010001</v>
      </c>
      <c r="X7" s="2" t="s">
        <v>67</v>
      </c>
      <c r="AB7" s="2" t="s">
        <v>60</v>
      </c>
      <c r="AC7" s="2" t="s">
        <v>68</v>
      </c>
    </row>
    <row r="8" spans="1:31">
      <c r="A8" s="2">
        <v>31010006</v>
      </c>
      <c r="B8" s="2" t="s">
        <v>76</v>
      </c>
      <c r="C8" s="2" t="s">
        <v>59</v>
      </c>
      <c r="D8" s="2">
        <v>6</v>
      </c>
      <c r="E8" s="2">
        <v>60</v>
      </c>
      <c r="F8" s="2" t="s">
        <v>60</v>
      </c>
      <c r="G8" s="2" t="s">
        <v>61</v>
      </c>
      <c r="H8" s="2" t="s">
        <v>62</v>
      </c>
      <c r="I8" s="2">
        <v>6</v>
      </c>
      <c r="J8" s="2" t="s">
        <v>60</v>
      </c>
      <c r="L8" s="2">
        <v>30000</v>
      </c>
      <c r="M8" s="2" t="s">
        <v>63</v>
      </c>
      <c r="O8" s="2">
        <v>1</v>
      </c>
      <c r="P8" s="2" t="s">
        <v>64</v>
      </c>
      <c r="Q8" s="2">
        <v>999</v>
      </c>
      <c r="R8" s="2" t="s">
        <v>70</v>
      </c>
      <c r="T8" s="2">
        <v>50</v>
      </c>
      <c r="U8" s="2" t="str">
        <f t="shared" si="1"/>
        <v>|cff00FF00一大袋灵符，打开后可以获得50灵符。</v>
      </c>
      <c r="V8" s="2" t="s">
        <v>66</v>
      </c>
      <c r="W8" s="2">
        <v>31010002</v>
      </c>
      <c r="X8" s="2" t="s">
        <v>71</v>
      </c>
      <c r="AB8" s="2" t="s">
        <v>60</v>
      </c>
      <c r="AC8" s="2" t="s">
        <v>72</v>
      </c>
    </row>
    <row r="9" spans="1:31">
      <c r="A9" s="2">
        <v>31010007</v>
      </c>
      <c r="B9" s="2" t="s">
        <v>77</v>
      </c>
      <c r="C9" s="2" t="s">
        <v>59</v>
      </c>
      <c r="D9" s="2">
        <v>7</v>
      </c>
      <c r="E9" s="2">
        <v>60</v>
      </c>
      <c r="F9" s="2" t="s">
        <v>60</v>
      </c>
      <c r="G9" s="2" t="s">
        <v>61</v>
      </c>
      <c r="H9" s="2" t="s">
        <v>62</v>
      </c>
      <c r="I9" s="2">
        <v>7</v>
      </c>
      <c r="J9" s="2" t="s">
        <v>60</v>
      </c>
      <c r="L9" s="2">
        <v>30000</v>
      </c>
      <c r="M9" s="2" t="s">
        <v>63</v>
      </c>
      <c r="O9" s="2">
        <v>1</v>
      </c>
      <c r="P9" s="2" t="s">
        <v>64</v>
      </c>
      <c r="Q9" s="2">
        <v>999</v>
      </c>
      <c r="R9" s="2" t="s">
        <v>65</v>
      </c>
      <c r="T9" s="2">
        <v>1000</v>
      </c>
      <c r="U9" s="2" t="str">
        <f t="shared" ref="U9:U13" si="2">"|cff00FF00"&amp;B9&amp;"，打开后可以获得"&amp;T9&amp;"金币。"</f>
        <v>|cff00FF00一箱金币，打开后可以获得1000金币。</v>
      </c>
      <c r="V9" s="2" t="s">
        <v>66</v>
      </c>
      <c r="W9" s="2">
        <v>31010001</v>
      </c>
      <c r="X9" s="2" t="s">
        <v>67</v>
      </c>
      <c r="AB9" s="2" t="s">
        <v>60</v>
      </c>
      <c r="AC9" s="2" t="s">
        <v>68</v>
      </c>
    </row>
    <row r="10" spans="1:31">
      <c r="A10" s="2">
        <v>31010008</v>
      </c>
      <c r="B10" s="2" t="s">
        <v>78</v>
      </c>
      <c r="C10" s="2" t="s">
        <v>59</v>
      </c>
      <c r="D10" s="2">
        <v>8</v>
      </c>
      <c r="E10" s="2">
        <v>60</v>
      </c>
      <c r="F10" s="2" t="s">
        <v>60</v>
      </c>
      <c r="G10" s="2" t="s">
        <v>61</v>
      </c>
      <c r="H10" s="2" t="s">
        <v>62</v>
      </c>
      <c r="I10" s="2">
        <v>8</v>
      </c>
      <c r="J10" s="2" t="s">
        <v>60</v>
      </c>
      <c r="L10" s="2">
        <v>30000</v>
      </c>
      <c r="M10" s="2" t="s">
        <v>63</v>
      </c>
      <c r="O10" s="2">
        <v>1</v>
      </c>
      <c r="P10" s="2" t="s">
        <v>64</v>
      </c>
      <c r="Q10" s="2">
        <v>999</v>
      </c>
      <c r="R10" s="2" t="s">
        <v>70</v>
      </c>
      <c r="T10" s="2">
        <v>100</v>
      </c>
      <c r="U10" s="2" t="str">
        <f t="shared" ref="U10:U14" si="3">"|cff00FF00"&amp;B10&amp;"，打开后可以获得"&amp;T10&amp;"灵符。"</f>
        <v>|cff00FF00一箱灵符，打开后可以获得100灵符。</v>
      </c>
      <c r="V10" s="2" t="s">
        <v>66</v>
      </c>
      <c r="W10" s="2">
        <v>31010002</v>
      </c>
      <c r="X10" s="2" t="s">
        <v>71</v>
      </c>
      <c r="AB10" s="2" t="s">
        <v>60</v>
      </c>
      <c r="AC10" s="2" t="s">
        <v>72</v>
      </c>
    </row>
    <row r="11" spans="1:31">
      <c r="A11" s="2">
        <v>31010009</v>
      </c>
      <c r="B11" s="2" t="s">
        <v>79</v>
      </c>
      <c r="C11" s="2" t="s">
        <v>59</v>
      </c>
      <c r="D11" s="2">
        <v>9</v>
      </c>
      <c r="E11" s="2">
        <v>60</v>
      </c>
      <c r="F11" s="2" t="s">
        <v>60</v>
      </c>
      <c r="G11" s="2" t="s">
        <v>61</v>
      </c>
      <c r="H11" s="2" t="s">
        <v>62</v>
      </c>
      <c r="I11" s="2">
        <v>9</v>
      </c>
      <c r="J11" s="2" t="s">
        <v>60</v>
      </c>
      <c r="L11" s="2">
        <v>30000</v>
      </c>
      <c r="M11" s="2" t="s">
        <v>63</v>
      </c>
      <c r="O11" s="2">
        <v>1</v>
      </c>
      <c r="P11" s="2" t="s">
        <v>64</v>
      </c>
      <c r="Q11" s="2">
        <v>999</v>
      </c>
      <c r="R11" s="2" t="s">
        <v>65</v>
      </c>
      <c r="T11" s="2">
        <v>5000</v>
      </c>
      <c r="U11" s="2" t="str">
        <f t="shared" si="2"/>
        <v>|cff00FF00一大箱金币，打开后可以获得5000金币。</v>
      </c>
      <c r="V11" s="2" t="s">
        <v>66</v>
      </c>
      <c r="W11" s="2">
        <v>31010001</v>
      </c>
      <c r="X11" s="2" t="s">
        <v>67</v>
      </c>
      <c r="AB11" s="2" t="s">
        <v>60</v>
      </c>
      <c r="AC11" s="2" t="s">
        <v>68</v>
      </c>
    </row>
    <row r="12" spans="1:31">
      <c r="A12" s="2">
        <v>31010010</v>
      </c>
      <c r="B12" s="2" t="s">
        <v>80</v>
      </c>
      <c r="C12" s="2" t="s">
        <v>59</v>
      </c>
      <c r="D12" s="2">
        <v>10</v>
      </c>
      <c r="E12" s="2">
        <v>60</v>
      </c>
      <c r="F12" s="2" t="s">
        <v>60</v>
      </c>
      <c r="G12" s="2" t="s">
        <v>61</v>
      </c>
      <c r="H12" s="2" t="s">
        <v>62</v>
      </c>
      <c r="I12" s="2">
        <v>10</v>
      </c>
      <c r="J12" s="2" t="s">
        <v>60</v>
      </c>
      <c r="L12" s="2">
        <v>30000</v>
      </c>
      <c r="M12" s="2" t="s">
        <v>63</v>
      </c>
      <c r="O12" s="2">
        <v>1</v>
      </c>
      <c r="P12" s="2" t="s">
        <v>64</v>
      </c>
      <c r="Q12" s="2">
        <v>999</v>
      </c>
      <c r="R12" s="2" t="s">
        <v>70</v>
      </c>
      <c r="T12" s="2">
        <v>500</v>
      </c>
      <c r="U12" s="2" t="str">
        <f t="shared" si="3"/>
        <v>|cff00FF00一大箱灵符，打开后可以获得500灵符。</v>
      </c>
      <c r="V12" s="2" t="s">
        <v>66</v>
      </c>
      <c r="W12" s="2">
        <v>31010002</v>
      </c>
      <c r="X12" s="2" t="s">
        <v>71</v>
      </c>
      <c r="AB12" s="2" t="s">
        <v>60</v>
      </c>
      <c r="AC12" s="2" t="s">
        <v>72</v>
      </c>
    </row>
    <row r="13" spans="1:31">
      <c r="A13" s="2">
        <v>31010011</v>
      </c>
      <c r="B13" s="2" t="s">
        <v>81</v>
      </c>
      <c r="C13" s="2" t="s">
        <v>59</v>
      </c>
      <c r="D13" s="2">
        <v>11</v>
      </c>
      <c r="E13" s="2">
        <v>60</v>
      </c>
      <c r="F13" s="2" t="s">
        <v>60</v>
      </c>
      <c r="G13" s="2" t="s">
        <v>61</v>
      </c>
      <c r="H13" s="2" t="s">
        <v>62</v>
      </c>
      <c r="I13" s="2">
        <v>11</v>
      </c>
      <c r="J13" s="2" t="s">
        <v>60</v>
      </c>
      <c r="L13" s="2">
        <v>30000</v>
      </c>
      <c r="M13" s="2" t="s">
        <v>63</v>
      </c>
      <c r="O13" s="2">
        <v>1</v>
      </c>
      <c r="P13" s="2" t="s">
        <v>64</v>
      </c>
      <c r="Q13" s="2">
        <v>999</v>
      </c>
      <c r="R13" s="2" t="s">
        <v>65</v>
      </c>
      <c r="T13" s="2">
        <v>10000</v>
      </c>
      <c r="U13" s="2" t="str">
        <f t="shared" si="2"/>
        <v>|cff00FF00一车金币，打开后可以获得10000金币。</v>
      </c>
      <c r="V13" s="2" t="s">
        <v>66</v>
      </c>
      <c r="W13" s="2">
        <v>31010001</v>
      </c>
      <c r="X13" s="2" t="s">
        <v>67</v>
      </c>
      <c r="AB13" s="2" t="s">
        <v>60</v>
      </c>
      <c r="AC13" s="2" t="s">
        <v>68</v>
      </c>
    </row>
    <row r="14" spans="1:31">
      <c r="A14" s="2">
        <v>31010012</v>
      </c>
      <c r="B14" s="2" t="s">
        <v>82</v>
      </c>
      <c r="C14" s="2" t="s">
        <v>59</v>
      </c>
      <c r="D14" s="2">
        <v>12</v>
      </c>
      <c r="E14" s="2">
        <v>60</v>
      </c>
      <c r="F14" s="2" t="s">
        <v>60</v>
      </c>
      <c r="G14" s="2" t="s">
        <v>61</v>
      </c>
      <c r="H14" s="2" t="s">
        <v>62</v>
      </c>
      <c r="I14" s="2">
        <v>12</v>
      </c>
      <c r="J14" s="2" t="s">
        <v>60</v>
      </c>
      <c r="L14" s="2">
        <v>30000</v>
      </c>
      <c r="M14" s="2" t="s">
        <v>63</v>
      </c>
      <c r="O14" s="2">
        <v>1</v>
      </c>
      <c r="P14" s="2" t="s">
        <v>64</v>
      </c>
      <c r="Q14" s="2">
        <v>999</v>
      </c>
      <c r="R14" s="2" t="s">
        <v>70</v>
      </c>
      <c r="T14" s="2">
        <v>100</v>
      </c>
      <c r="U14" s="2" t="str">
        <f t="shared" si="3"/>
        <v>|cff00FF00一车灵符，打开后可以获得100灵符。</v>
      </c>
      <c r="V14" s="2" t="s">
        <v>66</v>
      </c>
      <c r="W14" s="2">
        <v>31010002</v>
      </c>
      <c r="X14" s="2" t="s">
        <v>71</v>
      </c>
      <c r="AB14" s="2" t="s">
        <v>60</v>
      </c>
      <c r="AC14" s="2" t="s">
        <v>72</v>
      </c>
    </row>
    <row r="15" spans="1:31">
      <c r="A15" s="2">
        <v>31010013</v>
      </c>
      <c r="B15" s="2" t="s">
        <v>83</v>
      </c>
      <c r="C15" s="2" t="s">
        <v>59</v>
      </c>
      <c r="D15" s="2">
        <v>13</v>
      </c>
      <c r="E15" s="2">
        <v>60</v>
      </c>
      <c r="F15" s="2" t="s">
        <v>60</v>
      </c>
      <c r="G15" s="2" t="s">
        <v>61</v>
      </c>
      <c r="H15" s="2" t="s">
        <v>62</v>
      </c>
      <c r="I15" s="2">
        <v>13</v>
      </c>
      <c r="J15" s="2" t="s">
        <v>60</v>
      </c>
      <c r="L15" s="2">
        <v>30000</v>
      </c>
      <c r="M15" s="2" t="s">
        <v>63</v>
      </c>
      <c r="O15" s="2">
        <v>1</v>
      </c>
      <c r="P15" s="2" t="s">
        <v>64</v>
      </c>
      <c r="Q15" s="2">
        <v>999</v>
      </c>
      <c r="R15" s="2" t="s">
        <v>65</v>
      </c>
      <c r="T15" s="2">
        <v>50000</v>
      </c>
      <c r="U15" s="2" t="str">
        <f>"|cff00FF00"&amp;B15&amp;"，打开后可以获得"&amp;T15&amp;"金币。"</f>
        <v>|cff00FF00一卡车金币，打开后可以获得50000金币。</v>
      </c>
      <c r="V15" s="2" t="s">
        <v>66</v>
      </c>
      <c r="W15" s="2">
        <v>31010001</v>
      </c>
      <c r="X15" s="2" t="s">
        <v>67</v>
      </c>
      <c r="AB15" s="2" t="s">
        <v>60</v>
      </c>
      <c r="AC15" s="2" t="s">
        <v>68</v>
      </c>
    </row>
    <row r="16" spans="1:31">
      <c r="A16" s="2">
        <v>31010014</v>
      </c>
      <c r="B16" s="2" t="s">
        <v>84</v>
      </c>
      <c r="C16" s="2" t="s">
        <v>59</v>
      </c>
      <c r="D16" s="2">
        <v>14</v>
      </c>
      <c r="E16" s="2">
        <v>60</v>
      </c>
      <c r="F16" s="2" t="s">
        <v>60</v>
      </c>
      <c r="G16" s="2" t="s">
        <v>61</v>
      </c>
      <c r="H16" s="2" t="s">
        <v>62</v>
      </c>
      <c r="I16" s="2">
        <v>14</v>
      </c>
      <c r="J16" s="2" t="s">
        <v>60</v>
      </c>
      <c r="L16" s="2">
        <v>30000</v>
      </c>
      <c r="M16" s="2" t="s">
        <v>63</v>
      </c>
      <c r="O16" s="2">
        <v>1</v>
      </c>
      <c r="P16" s="2" t="s">
        <v>64</v>
      </c>
      <c r="Q16" s="2">
        <v>999</v>
      </c>
      <c r="R16" s="2" t="s">
        <v>70</v>
      </c>
      <c r="T16" s="2">
        <v>500</v>
      </c>
      <c r="U16" s="2" t="str">
        <f>"|cff00FF00"&amp;B16&amp;"，打开后可以获得"&amp;T16&amp;"灵符。"</f>
        <v>|cff00FF00一卡车灵符，打开后可以获得500灵符。</v>
      </c>
      <c r="V16" s="2" t="s">
        <v>66</v>
      </c>
      <c r="W16" s="2">
        <v>31010002</v>
      </c>
      <c r="X16" s="2" t="s">
        <v>71</v>
      </c>
      <c r="AB16" s="2" t="s">
        <v>60</v>
      </c>
      <c r="AC16" s="2" t="s">
        <v>72</v>
      </c>
    </row>
    <row r="17" spans="1:29">
      <c r="A17" s="2">
        <v>31010015</v>
      </c>
      <c r="B17" s="2" t="s">
        <v>85</v>
      </c>
      <c r="C17" s="2" t="s">
        <v>86</v>
      </c>
      <c r="D17" s="2">
        <v>15</v>
      </c>
      <c r="E17" s="2">
        <v>60</v>
      </c>
      <c r="F17" s="2" t="s">
        <v>60</v>
      </c>
      <c r="G17" s="2" t="s">
        <v>61</v>
      </c>
      <c r="H17" s="2" t="s">
        <v>62</v>
      </c>
      <c r="I17" s="2">
        <v>15</v>
      </c>
      <c r="J17" s="2" t="s">
        <v>60</v>
      </c>
      <c r="L17" s="2">
        <v>30000</v>
      </c>
      <c r="M17" s="2" t="s">
        <v>63</v>
      </c>
      <c r="O17" s="2">
        <v>1</v>
      </c>
      <c r="P17" s="2" t="s">
        <v>64</v>
      </c>
      <c r="Q17" s="2">
        <v>999</v>
      </c>
      <c r="R17" s="2" t="s">
        <v>87</v>
      </c>
      <c r="T17" s="2">
        <v>1000</v>
      </c>
      <c r="U17" s="2" t="str">
        <f>"|cff00FF00"&amp;B17&amp;"，打开后可以获得"&amp;T17&amp;"活跃点。"</f>
        <v>|cff00FF00活跃丹，打开后可以获得1000活跃点。</v>
      </c>
      <c r="V17" s="2" t="s">
        <v>88</v>
      </c>
      <c r="X17" s="2" t="s">
        <v>71</v>
      </c>
      <c r="Y17" s="2" t="s">
        <v>89</v>
      </c>
      <c r="Z17" s="2" t="s">
        <v>90</v>
      </c>
      <c r="AA17" s="2" t="s">
        <v>91</v>
      </c>
      <c r="AB17" s="2" t="s">
        <v>60</v>
      </c>
      <c r="AC17" s="2" t="s">
        <v>92</v>
      </c>
    </row>
    <row r="18" spans="1:29">
      <c r="A18" s="2">
        <v>31010016</v>
      </c>
      <c r="B18" s="2" t="s">
        <v>93</v>
      </c>
      <c r="C18" s="2" t="s">
        <v>86</v>
      </c>
      <c r="D18" s="2">
        <v>16</v>
      </c>
      <c r="E18" s="2">
        <v>60</v>
      </c>
      <c r="F18" s="2" t="s">
        <v>60</v>
      </c>
      <c r="G18" s="2" t="s">
        <v>61</v>
      </c>
      <c r="H18" s="2" t="s">
        <v>62</v>
      </c>
      <c r="I18" s="2">
        <v>16</v>
      </c>
      <c r="J18" s="2" t="s">
        <v>60</v>
      </c>
      <c r="L18" s="2">
        <v>30000</v>
      </c>
      <c r="M18" s="2" t="s">
        <v>63</v>
      </c>
      <c r="O18" s="2">
        <v>1</v>
      </c>
      <c r="P18" s="2" t="s">
        <v>64</v>
      </c>
      <c r="Q18" s="2">
        <v>999</v>
      </c>
      <c r="R18" s="2" t="s">
        <v>94</v>
      </c>
      <c r="T18" s="2">
        <v>1000</v>
      </c>
      <c r="U18" s="2" t="str">
        <f>"|cff00FF00"&amp;B18&amp;"，打开后可以获得"&amp;T18&amp;"声望点。"</f>
        <v>|cff00FF00声望丹，打开后可以获得1000声望点。</v>
      </c>
      <c r="V18" s="2" t="s">
        <v>88</v>
      </c>
      <c r="X18" s="2" t="s">
        <v>71</v>
      </c>
      <c r="Y18" s="2" t="s">
        <v>89</v>
      </c>
      <c r="Z18" s="2" t="s">
        <v>90</v>
      </c>
      <c r="AA18" s="2" t="s">
        <v>91</v>
      </c>
      <c r="AB18" s="2" t="s">
        <v>60</v>
      </c>
      <c r="AC18" s="2" t="s">
        <v>95</v>
      </c>
    </row>
    <row r="19" ht="16.5" spans="1:29">
      <c r="A19" s="2">
        <v>34020001</v>
      </c>
      <c r="B19" s="2" t="s">
        <v>96</v>
      </c>
      <c r="C19" s="2" t="s">
        <v>97</v>
      </c>
      <c r="D19" s="2">
        <v>1</v>
      </c>
      <c r="E19" s="2">
        <v>60</v>
      </c>
      <c r="F19" s="2" t="s">
        <v>98</v>
      </c>
      <c r="G19" s="2" t="s">
        <v>61</v>
      </c>
      <c r="H19" s="2" t="s">
        <v>99</v>
      </c>
      <c r="I19" s="2" t="s">
        <v>97</v>
      </c>
      <c r="J19" s="2" t="s">
        <v>100</v>
      </c>
      <c r="L19" s="2">
        <v>30000</v>
      </c>
      <c r="M19" s="2" t="s">
        <v>101</v>
      </c>
      <c r="O19" s="2">
        <v>7</v>
      </c>
      <c r="P19" s="2" t="s">
        <v>102</v>
      </c>
      <c r="Q19" s="2">
        <v>999</v>
      </c>
      <c r="R19" s="2" t="s">
        <v>100</v>
      </c>
      <c r="S19" s="2">
        <v>10010001</v>
      </c>
      <c r="U19" s="2" t="str">
        <f>"|cff00FF00达到"&amp;O19&amp;"级后可以学习技能"&amp;B19&amp;"，也可以在当前技能经验满后对该技能进行升级。"</f>
        <v>|cff00FF00达到7级后可以学习技能基础剑术，也可以在当前技能经验满后对该技能进行升级。</v>
      </c>
      <c r="V19" s="2" t="s">
        <v>103</v>
      </c>
      <c r="W19" s="2">
        <v>34020001</v>
      </c>
      <c r="X19" s="6" t="s">
        <v>104</v>
      </c>
      <c r="Y19" s="2" t="s">
        <v>105</v>
      </c>
      <c r="Z19" s="2" t="s">
        <v>106</v>
      </c>
      <c r="AA19" s="2" t="s">
        <v>107</v>
      </c>
      <c r="AB19" s="7" t="s">
        <v>108</v>
      </c>
      <c r="AC19" s="8" t="s">
        <v>109</v>
      </c>
    </row>
    <row r="20" ht="16.5" spans="1:29">
      <c r="A20" s="2">
        <v>34020002</v>
      </c>
      <c r="B20" s="2" t="s">
        <v>110</v>
      </c>
      <c r="C20" s="2" t="s">
        <v>97</v>
      </c>
      <c r="D20" s="2">
        <v>2</v>
      </c>
      <c r="E20" s="2">
        <v>60</v>
      </c>
      <c r="F20" s="2" t="s">
        <v>98</v>
      </c>
      <c r="G20" s="2" t="s">
        <v>61</v>
      </c>
      <c r="H20" s="2" t="s">
        <v>99</v>
      </c>
      <c r="I20" s="2" t="s">
        <v>97</v>
      </c>
      <c r="J20" s="2" t="s">
        <v>100</v>
      </c>
      <c r="L20" s="2">
        <v>30000</v>
      </c>
      <c r="M20" s="2" t="s">
        <v>101</v>
      </c>
      <c r="O20" s="2">
        <v>19</v>
      </c>
      <c r="P20" s="2" t="s">
        <v>102</v>
      </c>
      <c r="Q20" s="2">
        <v>999</v>
      </c>
      <c r="R20" s="2" t="s">
        <v>100</v>
      </c>
      <c r="S20" s="2">
        <v>10020001</v>
      </c>
      <c r="U20" s="2" t="str">
        <f>"|cff00FF00达到"&amp;O20&amp;"级后可以学习技能"&amp;B20&amp;"，也可以在当前技能经验满后对该技能进行升级。"</f>
        <v>|cff00FF00达到19级后可以学习技能攻杀剑术，也可以在当前技能经验满后对该技能进行升级。</v>
      </c>
      <c r="V20" s="2" t="s">
        <v>103</v>
      </c>
      <c r="W20" s="2">
        <v>34020001</v>
      </c>
      <c r="X20" s="6" t="s">
        <v>104</v>
      </c>
      <c r="Y20" s="2" t="s">
        <v>105</v>
      </c>
      <c r="Z20" s="2" t="s">
        <v>106</v>
      </c>
      <c r="AA20" s="2" t="s">
        <v>107</v>
      </c>
      <c r="AB20" s="7" t="s">
        <v>108</v>
      </c>
      <c r="AC20" s="8" t="s">
        <v>109</v>
      </c>
    </row>
    <row r="21" ht="16.5" spans="1:29">
      <c r="A21" s="2">
        <v>34020003</v>
      </c>
      <c r="B21" s="2" t="s">
        <v>111</v>
      </c>
      <c r="C21" s="2" t="s">
        <v>97</v>
      </c>
      <c r="D21" s="2">
        <v>3</v>
      </c>
      <c r="E21" s="2">
        <v>60</v>
      </c>
      <c r="F21" s="2" t="s">
        <v>98</v>
      </c>
      <c r="G21" s="2" t="s">
        <v>61</v>
      </c>
      <c r="H21" s="2" t="s">
        <v>99</v>
      </c>
      <c r="I21" s="2" t="s">
        <v>97</v>
      </c>
      <c r="J21" s="2" t="s">
        <v>100</v>
      </c>
      <c r="L21" s="2">
        <v>30000</v>
      </c>
      <c r="M21" s="2" t="s">
        <v>101</v>
      </c>
      <c r="O21" s="2">
        <v>25</v>
      </c>
      <c r="P21" s="2" t="s">
        <v>102</v>
      </c>
      <c r="Q21" s="2">
        <v>999</v>
      </c>
      <c r="R21" s="2" t="s">
        <v>100</v>
      </c>
      <c r="S21" s="2">
        <v>10030001</v>
      </c>
      <c r="U21" s="2" t="str">
        <f t="shared" ref="U21:U39" si="4">"|cff00FF00达到"&amp;O21&amp;"级后可以学习技能"&amp;B21&amp;"，也可以在当前技能经验满后对该技能进行升级。"</f>
        <v>|cff00FF00达到25级后可以学习技能刺杀剑术，也可以在当前技能经验满后对该技能进行升级。</v>
      </c>
      <c r="V21" s="2" t="s">
        <v>112</v>
      </c>
      <c r="W21" s="2">
        <v>34020001</v>
      </c>
      <c r="X21" s="6" t="s">
        <v>104</v>
      </c>
      <c r="Y21" s="2" t="s">
        <v>105</v>
      </c>
      <c r="Z21" s="2" t="s">
        <v>106</v>
      </c>
      <c r="AA21" s="2" t="s">
        <v>107</v>
      </c>
      <c r="AB21" s="7" t="s">
        <v>108</v>
      </c>
      <c r="AC21" s="8" t="s">
        <v>109</v>
      </c>
    </row>
    <row r="22" ht="16.5" spans="1:29">
      <c r="A22" s="2">
        <v>34020004</v>
      </c>
      <c r="B22" s="2" t="s">
        <v>113</v>
      </c>
      <c r="C22" s="2" t="s">
        <v>97</v>
      </c>
      <c r="D22" s="2">
        <v>4</v>
      </c>
      <c r="E22" s="2">
        <v>60</v>
      </c>
      <c r="F22" s="2" t="s">
        <v>98</v>
      </c>
      <c r="G22" s="2" t="s">
        <v>61</v>
      </c>
      <c r="H22" s="2" t="s">
        <v>99</v>
      </c>
      <c r="I22" s="2" t="s">
        <v>97</v>
      </c>
      <c r="J22" s="2" t="s">
        <v>100</v>
      </c>
      <c r="L22" s="2">
        <v>30000</v>
      </c>
      <c r="M22" s="2" t="s">
        <v>101</v>
      </c>
      <c r="O22" s="2">
        <v>28</v>
      </c>
      <c r="P22" s="2" t="s">
        <v>102</v>
      </c>
      <c r="Q22" s="2">
        <v>999</v>
      </c>
      <c r="R22" s="2" t="s">
        <v>100</v>
      </c>
      <c r="S22" s="2">
        <v>10040001</v>
      </c>
      <c r="U22" s="2" t="str">
        <f t="shared" si="4"/>
        <v>|cff00FF00达到28级后可以学习技能半月弯刀，也可以在当前技能经验满后对该技能进行升级。</v>
      </c>
      <c r="V22" s="2" t="s">
        <v>112</v>
      </c>
      <c r="W22" s="2">
        <v>34020001</v>
      </c>
      <c r="X22" s="6" t="s">
        <v>104</v>
      </c>
      <c r="Y22" s="2" t="s">
        <v>105</v>
      </c>
      <c r="Z22" s="2" t="s">
        <v>106</v>
      </c>
      <c r="AA22" s="2" t="s">
        <v>107</v>
      </c>
      <c r="AB22" s="7" t="s">
        <v>108</v>
      </c>
      <c r="AC22" s="8" t="s">
        <v>109</v>
      </c>
    </row>
    <row r="23" ht="16.5" spans="1:29">
      <c r="A23" s="2">
        <v>34020005</v>
      </c>
      <c r="B23" s="2" t="s">
        <v>114</v>
      </c>
      <c r="C23" s="2" t="s">
        <v>97</v>
      </c>
      <c r="D23" s="2">
        <v>5</v>
      </c>
      <c r="E23" s="2">
        <v>60</v>
      </c>
      <c r="F23" s="2" t="s">
        <v>98</v>
      </c>
      <c r="G23" s="2" t="s">
        <v>61</v>
      </c>
      <c r="H23" s="2" t="s">
        <v>99</v>
      </c>
      <c r="I23" s="2" t="s">
        <v>97</v>
      </c>
      <c r="J23" s="2" t="s">
        <v>100</v>
      </c>
      <c r="L23" s="2">
        <v>30000</v>
      </c>
      <c r="M23" s="2" t="s">
        <v>101</v>
      </c>
      <c r="O23" s="2">
        <v>30</v>
      </c>
      <c r="P23" s="2" t="s">
        <v>102</v>
      </c>
      <c r="Q23" s="2">
        <v>999</v>
      </c>
      <c r="R23" s="2" t="s">
        <v>100</v>
      </c>
      <c r="S23" s="2">
        <v>10050001</v>
      </c>
      <c r="U23" s="2" t="str">
        <f t="shared" si="4"/>
        <v>|cff00FF00达到30级后可以学习技能野蛮冲撞，也可以在当前技能经验满后对该技能进行升级。</v>
      </c>
      <c r="V23" s="2" t="s">
        <v>115</v>
      </c>
      <c r="W23" s="2">
        <v>34020001</v>
      </c>
      <c r="X23" s="6" t="s">
        <v>104</v>
      </c>
      <c r="Y23" s="2" t="s">
        <v>105</v>
      </c>
      <c r="Z23" s="2" t="s">
        <v>106</v>
      </c>
      <c r="AA23" s="2" t="s">
        <v>107</v>
      </c>
      <c r="AB23" s="7" t="s">
        <v>108</v>
      </c>
      <c r="AC23" s="8" t="s">
        <v>109</v>
      </c>
    </row>
    <row r="24" ht="16.5" spans="1:29">
      <c r="A24" s="2">
        <v>34020006</v>
      </c>
      <c r="B24" s="2" t="s">
        <v>116</v>
      </c>
      <c r="C24" s="2" t="s">
        <v>97</v>
      </c>
      <c r="D24" s="2">
        <v>6</v>
      </c>
      <c r="E24" s="2">
        <v>60</v>
      </c>
      <c r="F24" s="2" t="s">
        <v>98</v>
      </c>
      <c r="G24" s="2" t="s">
        <v>61</v>
      </c>
      <c r="H24" s="2" t="s">
        <v>99</v>
      </c>
      <c r="I24" s="2" t="s">
        <v>97</v>
      </c>
      <c r="J24" s="2" t="s">
        <v>100</v>
      </c>
      <c r="L24" s="2">
        <v>30000</v>
      </c>
      <c r="M24" s="2" t="s">
        <v>101</v>
      </c>
      <c r="O24" s="2">
        <v>35</v>
      </c>
      <c r="P24" s="2" t="s">
        <v>102</v>
      </c>
      <c r="Q24" s="2">
        <v>999</v>
      </c>
      <c r="R24" s="2" t="s">
        <v>100</v>
      </c>
      <c r="S24" s="2">
        <v>10060001</v>
      </c>
      <c r="U24" s="2" t="str">
        <f t="shared" si="4"/>
        <v>|cff00FF00达到35级后可以学习技能烈火剑法，也可以在当前技能经验满后对该技能进行升级。</v>
      </c>
      <c r="V24" s="2" t="s">
        <v>115</v>
      </c>
      <c r="W24" s="2">
        <v>34020001</v>
      </c>
      <c r="X24" s="6" t="s">
        <v>104</v>
      </c>
      <c r="Y24" s="2" t="s">
        <v>105</v>
      </c>
      <c r="Z24" s="2" t="s">
        <v>106</v>
      </c>
      <c r="AA24" s="2" t="s">
        <v>107</v>
      </c>
      <c r="AB24" s="7" t="s">
        <v>108</v>
      </c>
      <c r="AC24" s="8" t="s">
        <v>109</v>
      </c>
    </row>
    <row r="25" ht="16.5" spans="1:29">
      <c r="A25" s="2">
        <v>34020031</v>
      </c>
      <c r="B25" s="2" t="s">
        <v>117</v>
      </c>
      <c r="C25" s="2" t="s">
        <v>97</v>
      </c>
      <c r="D25" s="2">
        <v>31</v>
      </c>
      <c r="E25" s="2">
        <v>60</v>
      </c>
      <c r="F25" s="2" t="s">
        <v>98</v>
      </c>
      <c r="G25" s="2" t="s">
        <v>61</v>
      </c>
      <c r="H25" s="2" t="s">
        <v>99</v>
      </c>
      <c r="I25" s="2" t="s">
        <v>97</v>
      </c>
      <c r="J25" s="2" t="s">
        <v>100</v>
      </c>
      <c r="L25" s="2">
        <v>30000</v>
      </c>
      <c r="M25" s="2" t="s">
        <v>101</v>
      </c>
      <c r="O25" s="2">
        <v>7</v>
      </c>
      <c r="P25" s="2" t="s">
        <v>118</v>
      </c>
      <c r="Q25" s="2">
        <v>999</v>
      </c>
      <c r="R25" s="2" t="s">
        <v>100</v>
      </c>
      <c r="S25" s="2">
        <v>10310001</v>
      </c>
      <c r="U25" s="2" t="str">
        <f t="shared" si="4"/>
        <v>|cff00FF00达到7级后可以学习技能火球术，也可以在当前技能经验满后对该技能进行升级。</v>
      </c>
      <c r="V25" s="2" t="s">
        <v>103</v>
      </c>
      <c r="W25" s="2">
        <v>34020001</v>
      </c>
      <c r="X25" s="6" t="s">
        <v>104</v>
      </c>
      <c r="Y25" s="2" t="s">
        <v>105</v>
      </c>
      <c r="Z25" s="2" t="s">
        <v>106</v>
      </c>
      <c r="AA25" s="2" t="s">
        <v>107</v>
      </c>
      <c r="AB25" s="7" t="s">
        <v>108</v>
      </c>
      <c r="AC25" s="8" t="s">
        <v>119</v>
      </c>
    </row>
    <row r="26" ht="16.5" spans="1:29">
      <c r="A26" s="2">
        <v>34020032</v>
      </c>
      <c r="B26" s="2" t="s">
        <v>120</v>
      </c>
      <c r="C26" s="2" t="s">
        <v>97</v>
      </c>
      <c r="D26" s="2">
        <v>32</v>
      </c>
      <c r="E26" s="2">
        <v>60</v>
      </c>
      <c r="F26" s="2" t="s">
        <v>98</v>
      </c>
      <c r="G26" s="2" t="s">
        <v>61</v>
      </c>
      <c r="H26" s="2" t="s">
        <v>99</v>
      </c>
      <c r="I26" s="2" t="s">
        <v>97</v>
      </c>
      <c r="J26" s="2" t="s">
        <v>100</v>
      </c>
      <c r="L26" s="2">
        <v>30000</v>
      </c>
      <c r="M26" s="2" t="s">
        <v>101</v>
      </c>
      <c r="O26" s="2">
        <v>12</v>
      </c>
      <c r="P26" s="2" t="s">
        <v>118</v>
      </c>
      <c r="Q26" s="2">
        <v>999</v>
      </c>
      <c r="R26" s="2" t="s">
        <v>100</v>
      </c>
      <c r="S26" s="2">
        <v>10320001</v>
      </c>
      <c r="U26" s="2" t="str">
        <f t="shared" si="4"/>
        <v>|cff00FF00达到12级后可以学习技能抗拒火环，也可以在当前技能经验满后对该技能进行升级。</v>
      </c>
      <c r="V26" s="2" t="s">
        <v>103</v>
      </c>
      <c r="W26" s="2">
        <v>34020001</v>
      </c>
      <c r="X26" s="6" t="s">
        <v>104</v>
      </c>
      <c r="Y26" s="2" t="s">
        <v>105</v>
      </c>
      <c r="Z26" s="2" t="s">
        <v>106</v>
      </c>
      <c r="AA26" s="2" t="s">
        <v>107</v>
      </c>
      <c r="AB26" s="7" t="s">
        <v>108</v>
      </c>
      <c r="AC26" s="8" t="s">
        <v>119</v>
      </c>
    </row>
    <row r="27" ht="16.5" spans="1:29">
      <c r="A27" s="2">
        <v>34020033</v>
      </c>
      <c r="B27" s="2" t="s">
        <v>121</v>
      </c>
      <c r="C27" s="2" t="s">
        <v>97</v>
      </c>
      <c r="D27" s="2">
        <v>33</v>
      </c>
      <c r="E27" s="2">
        <v>60</v>
      </c>
      <c r="F27" s="2" t="s">
        <v>98</v>
      </c>
      <c r="G27" s="2" t="s">
        <v>61</v>
      </c>
      <c r="H27" s="2" t="s">
        <v>99</v>
      </c>
      <c r="I27" s="2" t="s">
        <v>97</v>
      </c>
      <c r="J27" s="2" t="s">
        <v>100</v>
      </c>
      <c r="L27" s="2">
        <v>30000</v>
      </c>
      <c r="M27" s="2" t="s">
        <v>101</v>
      </c>
      <c r="O27" s="2">
        <v>17</v>
      </c>
      <c r="P27" s="2" t="s">
        <v>118</v>
      </c>
      <c r="Q27" s="2">
        <v>999</v>
      </c>
      <c r="R27" s="2" t="s">
        <v>100</v>
      </c>
      <c r="S27" s="2">
        <v>10330001</v>
      </c>
      <c r="U27" s="2" t="str">
        <f t="shared" si="4"/>
        <v>|cff00FF00达到17级后可以学习技能雷电术，也可以在当前技能经验满后对该技能进行升级。</v>
      </c>
      <c r="V27" s="2" t="s">
        <v>112</v>
      </c>
      <c r="W27" s="2">
        <v>34020001</v>
      </c>
      <c r="X27" s="6" t="s">
        <v>122</v>
      </c>
      <c r="Y27" s="2" t="s">
        <v>105</v>
      </c>
      <c r="Z27" s="2" t="s">
        <v>106</v>
      </c>
      <c r="AA27" s="2" t="s">
        <v>107</v>
      </c>
      <c r="AB27" s="7" t="s">
        <v>108</v>
      </c>
      <c r="AC27" s="8" t="s">
        <v>119</v>
      </c>
    </row>
    <row r="28" ht="16.5" spans="1:29">
      <c r="A28" s="2">
        <v>34020034</v>
      </c>
      <c r="B28" s="2" t="s">
        <v>123</v>
      </c>
      <c r="C28" s="2" t="s">
        <v>97</v>
      </c>
      <c r="D28" s="2">
        <v>34</v>
      </c>
      <c r="E28" s="2">
        <v>60</v>
      </c>
      <c r="F28" s="2" t="s">
        <v>98</v>
      </c>
      <c r="G28" s="2" t="s">
        <v>61</v>
      </c>
      <c r="H28" s="2" t="s">
        <v>99</v>
      </c>
      <c r="I28" s="2" t="s">
        <v>97</v>
      </c>
      <c r="J28" s="2" t="s">
        <v>100</v>
      </c>
      <c r="L28" s="2">
        <v>30000</v>
      </c>
      <c r="M28" s="2" t="s">
        <v>101</v>
      </c>
      <c r="O28" s="2">
        <v>22</v>
      </c>
      <c r="P28" s="2" t="s">
        <v>118</v>
      </c>
      <c r="Q28" s="2">
        <v>999</v>
      </c>
      <c r="R28" s="2" t="s">
        <v>100</v>
      </c>
      <c r="S28" s="2">
        <v>10340001</v>
      </c>
      <c r="U28" s="2" t="str">
        <f t="shared" si="4"/>
        <v>|cff00FF00达到22级后可以学习技能火墙，也可以在当前技能经验满后对该技能进行升级。</v>
      </c>
      <c r="V28" s="2" t="s">
        <v>112</v>
      </c>
      <c r="W28" s="2">
        <v>34020001</v>
      </c>
      <c r="X28" s="6" t="s">
        <v>122</v>
      </c>
      <c r="Y28" s="2" t="s">
        <v>105</v>
      </c>
      <c r="Z28" s="2" t="s">
        <v>106</v>
      </c>
      <c r="AA28" s="2" t="s">
        <v>107</v>
      </c>
      <c r="AB28" s="7" t="s">
        <v>108</v>
      </c>
      <c r="AC28" s="8" t="s">
        <v>119</v>
      </c>
    </row>
    <row r="29" ht="16.5" spans="1:29">
      <c r="A29" s="2">
        <v>34020035</v>
      </c>
      <c r="B29" s="2" t="s">
        <v>124</v>
      </c>
      <c r="C29" s="2" t="s">
        <v>97</v>
      </c>
      <c r="D29" s="2">
        <v>35</v>
      </c>
      <c r="E29" s="2">
        <v>60</v>
      </c>
      <c r="F29" s="2" t="s">
        <v>98</v>
      </c>
      <c r="G29" s="2" t="s">
        <v>61</v>
      </c>
      <c r="H29" s="2" t="s">
        <v>99</v>
      </c>
      <c r="I29" s="2" t="s">
        <v>97</v>
      </c>
      <c r="J29" s="2" t="s">
        <v>100</v>
      </c>
      <c r="L29" s="2">
        <v>30000</v>
      </c>
      <c r="M29" s="2" t="s">
        <v>101</v>
      </c>
      <c r="O29" s="2">
        <v>26</v>
      </c>
      <c r="P29" s="2" t="s">
        <v>118</v>
      </c>
      <c r="Q29" s="2">
        <v>999</v>
      </c>
      <c r="R29" s="2" t="s">
        <v>100</v>
      </c>
      <c r="S29" s="2">
        <v>10350001</v>
      </c>
      <c r="U29" s="2" t="str">
        <f t="shared" si="4"/>
        <v>|cff00FF00达到26级后可以学习技能疾光电影，也可以在当前技能经验满后对该技能进行升级。</v>
      </c>
      <c r="V29" s="2" t="s">
        <v>115</v>
      </c>
      <c r="W29" s="2">
        <v>34020001</v>
      </c>
      <c r="X29" s="6" t="s">
        <v>122</v>
      </c>
      <c r="Y29" s="2" t="s">
        <v>105</v>
      </c>
      <c r="Z29" s="2" t="s">
        <v>106</v>
      </c>
      <c r="AA29" s="2" t="s">
        <v>107</v>
      </c>
      <c r="AB29" s="7" t="s">
        <v>108</v>
      </c>
      <c r="AC29" s="8" t="s">
        <v>119</v>
      </c>
    </row>
    <row r="30" ht="16.5" spans="1:29">
      <c r="A30" s="2">
        <v>34020036</v>
      </c>
      <c r="B30" s="2" t="s">
        <v>125</v>
      </c>
      <c r="C30" s="2" t="s">
        <v>97</v>
      </c>
      <c r="D30" s="2">
        <v>36</v>
      </c>
      <c r="E30" s="2">
        <v>60</v>
      </c>
      <c r="F30" s="2" t="s">
        <v>98</v>
      </c>
      <c r="G30" s="2" t="s">
        <v>61</v>
      </c>
      <c r="H30" s="2" t="s">
        <v>99</v>
      </c>
      <c r="I30" s="2" t="s">
        <v>97</v>
      </c>
      <c r="J30" s="2" t="s">
        <v>100</v>
      </c>
      <c r="L30" s="2">
        <v>30000</v>
      </c>
      <c r="M30" s="2" t="s">
        <v>101</v>
      </c>
      <c r="O30" s="2">
        <v>31</v>
      </c>
      <c r="P30" s="2" t="s">
        <v>118</v>
      </c>
      <c r="Q30" s="2">
        <v>999</v>
      </c>
      <c r="R30" s="2" t="s">
        <v>100</v>
      </c>
      <c r="S30" s="2">
        <v>10360001</v>
      </c>
      <c r="U30" s="2" t="str">
        <f t="shared" si="4"/>
        <v>|cff00FF00达到31级后可以学习技能魔法盾，也可以在当前技能经验满后对该技能进行升级。</v>
      </c>
      <c r="V30" s="2" t="s">
        <v>115</v>
      </c>
      <c r="W30" s="2">
        <v>34020001</v>
      </c>
      <c r="X30" s="6" t="s">
        <v>122</v>
      </c>
      <c r="Y30" s="2" t="s">
        <v>105</v>
      </c>
      <c r="Z30" s="2" t="s">
        <v>106</v>
      </c>
      <c r="AA30" s="2" t="s">
        <v>107</v>
      </c>
      <c r="AB30" s="7" t="s">
        <v>108</v>
      </c>
      <c r="AC30" s="8" t="s">
        <v>119</v>
      </c>
    </row>
    <row r="31" ht="16.5" spans="1:29">
      <c r="A31" s="2">
        <v>34020037</v>
      </c>
      <c r="B31" s="2" t="s">
        <v>126</v>
      </c>
      <c r="C31" s="2" t="s">
        <v>97</v>
      </c>
      <c r="D31" s="2">
        <v>37</v>
      </c>
      <c r="E31" s="2">
        <v>60</v>
      </c>
      <c r="F31" s="2" t="s">
        <v>98</v>
      </c>
      <c r="G31" s="2" t="s">
        <v>61</v>
      </c>
      <c r="H31" s="2" t="s">
        <v>99</v>
      </c>
      <c r="I31" s="2" t="s">
        <v>97</v>
      </c>
      <c r="J31" s="2" t="s">
        <v>100</v>
      </c>
      <c r="L31" s="2">
        <v>30000</v>
      </c>
      <c r="M31" s="2" t="s">
        <v>101</v>
      </c>
      <c r="O31" s="2">
        <v>35</v>
      </c>
      <c r="P31" s="2" t="s">
        <v>118</v>
      </c>
      <c r="Q31" s="2">
        <v>999</v>
      </c>
      <c r="R31" s="2" t="s">
        <v>100</v>
      </c>
      <c r="S31" s="2">
        <v>10370001</v>
      </c>
      <c r="U31" s="2" t="str">
        <f t="shared" si="4"/>
        <v>|cff00FF00达到35级后可以学习技能冰咆哮，也可以在当前技能经验满后对该技能进行升级。</v>
      </c>
      <c r="V31" s="2" t="s">
        <v>115</v>
      </c>
      <c r="W31" s="2">
        <v>34020001</v>
      </c>
      <c r="X31" s="6" t="s">
        <v>122</v>
      </c>
      <c r="Y31" s="2" t="s">
        <v>105</v>
      </c>
      <c r="Z31" s="2" t="s">
        <v>106</v>
      </c>
      <c r="AA31" s="2" t="s">
        <v>107</v>
      </c>
      <c r="AB31" s="7" t="s">
        <v>108</v>
      </c>
      <c r="AC31" s="8" t="s">
        <v>119</v>
      </c>
    </row>
    <row r="32" ht="16.5" spans="1:29">
      <c r="A32" s="2">
        <v>34020061</v>
      </c>
      <c r="B32" s="2" t="s">
        <v>127</v>
      </c>
      <c r="C32" s="2" t="s">
        <v>97</v>
      </c>
      <c r="D32" s="2">
        <v>61</v>
      </c>
      <c r="E32" s="2">
        <v>60</v>
      </c>
      <c r="F32" s="2" t="s">
        <v>98</v>
      </c>
      <c r="G32" s="2" t="s">
        <v>61</v>
      </c>
      <c r="H32" s="2" t="s">
        <v>99</v>
      </c>
      <c r="I32" s="2" t="s">
        <v>97</v>
      </c>
      <c r="J32" s="2" t="s">
        <v>100</v>
      </c>
      <c r="L32" s="2">
        <v>30000</v>
      </c>
      <c r="M32" s="2" t="s">
        <v>101</v>
      </c>
      <c r="O32" s="2">
        <v>7</v>
      </c>
      <c r="P32" s="2" t="s">
        <v>128</v>
      </c>
      <c r="Q32" s="2">
        <v>999</v>
      </c>
      <c r="R32" s="2" t="s">
        <v>100</v>
      </c>
      <c r="S32" s="2">
        <v>10610001</v>
      </c>
      <c r="U32" s="2" t="str">
        <f t="shared" si="4"/>
        <v>|cff00FF00达到7级后可以学习技能灵魂火符，也可以在当前技能经验满后对该技能进行升级。</v>
      </c>
      <c r="V32" s="2" t="s">
        <v>103</v>
      </c>
      <c r="W32" s="2">
        <v>34020001</v>
      </c>
      <c r="X32" s="6" t="s">
        <v>122</v>
      </c>
      <c r="Y32" s="2" t="s">
        <v>105</v>
      </c>
      <c r="Z32" s="2" t="s">
        <v>106</v>
      </c>
      <c r="AA32" s="2" t="s">
        <v>107</v>
      </c>
      <c r="AB32" s="7" t="s">
        <v>108</v>
      </c>
      <c r="AC32" s="8" t="s">
        <v>129</v>
      </c>
    </row>
    <row r="33" ht="16.5" spans="1:29">
      <c r="A33" s="2">
        <v>34020062</v>
      </c>
      <c r="B33" s="2" t="s">
        <v>130</v>
      </c>
      <c r="C33" s="2" t="s">
        <v>97</v>
      </c>
      <c r="D33" s="2">
        <v>62</v>
      </c>
      <c r="E33" s="2">
        <v>60</v>
      </c>
      <c r="F33" s="2" t="s">
        <v>98</v>
      </c>
      <c r="G33" s="2" t="s">
        <v>61</v>
      </c>
      <c r="H33" s="2" t="s">
        <v>99</v>
      </c>
      <c r="I33" s="2" t="s">
        <v>97</v>
      </c>
      <c r="J33" s="2" t="s">
        <v>100</v>
      </c>
      <c r="L33" s="2">
        <v>30000</v>
      </c>
      <c r="M33" s="2" t="s">
        <v>101</v>
      </c>
      <c r="O33" s="2">
        <v>9</v>
      </c>
      <c r="P33" s="2" t="s">
        <v>128</v>
      </c>
      <c r="Q33" s="2">
        <v>999</v>
      </c>
      <c r="R33" s="2" t="s">
        <v>100</v>
      </c>
      <c r="S33" s="2">
        <v>10620001</v>
      </c>
      <c r="U33" s="2" t="str">
        <f t="shared" si="4"/>
        <v>|cff00FF00达到9级后可以学习技能治愈术，也可以在当前技能经验满后对该技能进行升级。</v>
      </c>
      <c r="V33" s="2" t="s">
        <v>103</v>
      </c>
      <c r="W33" s="2">
        <v>34020001</v>
      </c>
      <c r="X33" s="6" t="s">
        <v>122</v>
      </c>
      <c r="Y33" s="2" t="s">
        <v>105</v>
      </c>
      <c r="Z33" s="2" t="s">
        <v>106</v>
      </c>
      <c r="AA33" s="2" t="s">
        <v>107</v>
      </c>
      <c r="AB33" s="7" t="s">
        <v>108</v>
      </c>
      <c r="AC33" s="8" t="s">
        <v>129</v>
      </c>
    </row>
    <row r="34" ht="16.5" spans="1:29">
      <c r="A34" s="2">
        <v>34020063</v>
      </c>
      <c r="B34" s="2" t="s">
        <v>131</v>
      </c>
      <c r="C34" s="2" t="s">
        <v>97</v>
      </c>
      <c r="D34" s="2">
        <v>63</v>
      </c>
      <c r="E34" s="2">
        <v>60</v>
      </c>
      <c r="F34" s="2" t="s">
        <v>98</v>
      </c>
      <c r="G34" s="2" t="s">
        <v>61</v>
      </c>
      <c r="H34" s="2" t="s">
        <v>99</v>
      </c>
      <c r="I34" s="2" t="s">
        <v>97</v>
      </c>
      <c r="J34" s="2" t="s">
        <v>100</v>
      </c>
      <c r="L34" s="2">
        <v>30000</v>
      </c>
      <c r="M34" s="2" t="s">
        <v>101</v>
      </c>
      <c r="O34" s="2">
        <v>14</v>
      </c>
      <c r="P34" s="2" t="s">
        <v>128</v>
      </c>
      <c r="Q34" s="2">
        <v>999</v>
      </c>
      <c r="R34" s="2" t="s">
        <v>100</v>
      </c>
      <c r="S34" s="2">
        <v>10630001</v>
      </c>
      <c r="U34" s="2" t="str">
        <f t="shared" si="4"/>
        <v>|cff00FF00达到14级后可以学习技能施毒术，也可以在当前技能经验满后对该技能进行升级。</v>
      </c>
      <c r="V34" s="2" t="s">
        <v>112</v>
      </c>
      <c r="W34" s="2">
        <v>34020001</v>
      </c>
      <c r="X34" s="6" t="s">
        <v>122</v>
      </c>
      <c r="Y34" s="2" t="s">
        <v>105</v>
      </c>
      <c r="Z34" s="2" t="s">
        <v>106</v>
      </c>
      <c r="AA34" s="2" t="s">
        <v>107</v>
      </c>
      <c r="AB34" s="7" t="s">
        <v>108</v>
      </c>
      <c r="AC34" s="8" t="s">
        <v>129</v>
      </c>
    </row>
    <row r="35" ht="16.5" spans="1:29">
      <c r="A35" s="2">
        <v>34020064</v>
      </c>
      <c r="B35" s="2" t="s">
        <v>132</v>
      </c>
      <c r="C35" s="2" t="s">
        <v>97</v>
      </c>
      <c r="D35" s="2">
        <v>64</v>
      </c>
      <c r="E35" s="2">
        <v>60</v>
      </c>
      <c r="F35" s="2" t="s">
        <v>98</v>
      </c>
      <c r="G35" s="2" t="s">
        <v>61</v>
      </c>
      <c r="H35" s="2" t="s">
        <v>99</v>
      </c>
      <c r="I35" s="2" t="s">
        <v>97</v>
      </c>
      <c r="J35" s="2" t="s">
        <v>100</v>
      </c>
      <c r="L35" s="2">
        <v>30000</v>
      </c>
      <c r="M35" s="2" t="s">
        <v>101</v>
      </c>
      <c r="O35" s="2">
        <v>19</v>
      </c>
      <c r="P35" s="2" t="s">
        <v>128</v>
      </c>
      <c r="Q35" s="2">
        <v>999</v>
      </c>
      <c r="R35" s="2" t="s">
        <v>100</v>
      </c>
      <c r="S35" s="2">
        <v>10640001</v>
      </c>
      <c r="U35" s="2" t="str">
        <f t="shared" si="4"/>
        <v>|cff00FF00达到19级后可以学习技能召唤骷髅，也可以在当前技能经验满后对该技能进行升级。</v>
      </c>
      <c r="V35" s="2" t="s">
        <v>112</v>
      </c>
      <c r="W35" s="2">
        <v>34020001</v>
      </c>
      <c r="X35" s="6" t="s">
        <v>122</v>
      </c>
      <c r="Y35" s="2" t="s">
        <v>105</v>
      </c>
      <c r="Z35" s="2" t="s">
        <v>106</v>
      </c>
      <c r="AA35" s="2" t="s">
        <v>107</v>
      </c>
      <c r="AB35" s="7" t="s">
        <v>108</v>
      </c>
      <c r="AC35" s="8" t="s">
        <v>129</v>
      </c>
    </row>
    <row r="36" ht="16.5" spans="1:29">
      <c r="A36" s="2">
        <v>34020065</v>
      </c>
      <c r="B36" s="2" t="s">
        <v>133</v>
      </c>
      <c r="C36" s="2" t="s">
        <v>97</v>
      </c>
      <c r="D36" s="2">
        <v>65</v>
      </c>
      <c r="E36" s="2">
        <v>60</v>
      </c>
      <c r="F36" s="2" t="s">
        <v>98</v>
      </c>
      <c r="G36" s="2" t="s">
        <v>61</v>
      </c>
      <c r="H36" s="2" t="s">
        <v>99</v>
      </c>
      <c r="I36" s="2" t="s">
        <v>97</v>
      </c>
      <c r="J36" s="2" t="s">
        <v>100</v>
      </c>
      <c r="L36" s="2">
        <v>30000</v>
      </c>
      <c r="M36" s="2" t="s">
        <v>101</v>
      </c>
      <c r="O36" s="2">
        <v>22</v>
      </c>
      <c r="P36" s="2" t="s">
        <v>128</v>
      </c>
      <c r="Q36" s="2">
        <v>999</v>
      </c>
      <c r="R36" s="2" t="s">
        <v>100</v>
      </c>
      <c r="S36" s="2">
        <v>10650001</v>
      </c>
      <c r="U36" s="2" t="str">
        <f t="shared" si="4"/>
        <v>|cff00FF00达到22级后可以学习技能幽灵盾，也可以在当前技能经验满后对该技能进行升级。</v>
      </c>
      <c r="V36" s="2" t="s">
        <v>115</v>
      </c>
      <c r="W36" s="2">
        <v>34020001</v>
      </c>
      <c r="X36" s="6" t="s">
        <v>122</v>
      </c>
      <c r="Y36" s="2" t="s">
        <v>105</v>
      </c>
      <c r="Z36" s="2" t="s">
        <v>106</v>
      </c>
      <c r="AA36" s="2" t="s">
        <v>107</v>
      </c>
      <c r="AB36" s="7" t="s">
        <v>108</v>
      </c>
      <c r="AC36" s="8" t="s">
        <v>129</v>
      </c>
    </row>
    <row r="37" ht="16.5" spans="1:29">
      <c r="A37" s="2">
        <v>34020066</v>
      </c>
      <c r="B37" s="2" t="s">
        <v>134</v>
      </c>
      <c r="C37" s="2" t="s">
        <v>97</v>
      </c>
      <c r="D37" s="2">
        <v>66</v>
      </c>
      <c r="E37" s="2">
        <v>60</v>
      </c>
      <c r="F37" s="2" t="s">
        <v>98</v>
      </c>
      <c r="G37" s="2" t="s">
        <v>61</v>
      </c>
      <c r="H37" s="2" t="s">
        <v>99</v>
      </c>
      <c r="I37" s="2" t="s">
        <v>97</v>
      </c>
      <c r="J37" s="2" t="s">
        <v>100</v>
      </c>
      <c r="L37" s="2">
        <v>30000</v>
      </c>
      <c r="M37" s="2" t="s">
        <v>101</v>
      </c>
      <c r="O37" s="2">
        <v>25</v>
      </c>
      <c r="P37" s="2" t="s">
        <v>128</v>
      </c>
      <c r="Q37" s="2">
        <v>999</v>
      </c>
      <c r="R37" s="2" t="s">
        <v>100</v>
      </c>
      <c r="S37" s="2">
        <v>10660001</v>
      </c>
      <c r="U37" s="2" t="str">
        <f t="shared" si="4"/>
        <v>|cff00FF00达到25级后可以学习技能神圣战甲术，也可以在当前技能经验满后对该技能进行升级。</v>
      </c>
      <c r="V37" s="2" t="s">
        <v>115</v>
      </c>
      <c r="W37" s="2">
        <v>34020001</v>
      </c>
      <c r="X37" s="6" t="s">
        <v>122</v>
      </c>
      <c r="Y37" s="2" t="s">
        <v>105</v>
      </c>
      <c r="Z37" s="2" t="s">
        <v>106</v>
      </c>
      <c r="AA37" s="2" t="s">
        <v>107</v>
      </c>
      <c r="AB37" s="7" t="s">
        <v>108</v>
      </c>
      <c r="AC37" s="8" t="s">
        <v>129</v>
      </c>
    </row>
    <row r="38" ht="16.5" spans="1:29">
      <c r="A38" s="2">
        <v>34020067</v>
      </c>
      <c r="B38" s="2" t="s">
        <v>135</v>
      </c>
      <c r="C38" s="2" t="s">
        <v>97</v>
      </c>
      <c r="D38" s="2">
        <v>67</v>
      </c>
      <c r="E38" s="2">
        <v>60</v>
      </c>
      <c r="F38" s="2" t="s">
        <v>98</v>
      </c>
      <c r="G38" s="2" t="s">
        <v>61</v>
      </c>
      <c r="H38" s="2" t="s">
        <v>99</v>
      </c>
      <c r="I38" s="2" t="s">
        <v>97</v>
      </c>
      <c r="J38" s="2" t="s">
        <v>100</v>
      </c>
      <c r="L38" s="2">
        <v>30000</v>
      </c>
      <c r="M38" s="2" t="s">
        <v>101</v>
      </c>
      <c r="O38" s="2">
        <v>30</v>
      </c>
      <c r="P38" s="2" t="s">
        <v>128</v>
      </c>
      <c r="Q38" s="2">
        <v>999</v>
      </c>
      <c r="R38" s="2" t="s">
        <v>100</v>
      </c>
      <c r="S38" s="2">
        <v>10670001</v>
      </c>
      <c r="U38" s="2" t="str">
        <f t="shared" si="4"/>
        <v>|cff00FF00达到30级后可以学习技能隐身术，也可以在当前技能经验满后对该技能进行升级。</v>
      </c>
      <c r="V38" s="2" t="s">
        <v>115</v>
      </c>
      <c r="W38" s="2">
        <v>34020001</v>
      </c>
      <c r="X38" s="6" t="s">
        <v>122</v>
      </c>
      <c r="Y38" s="2" t="s">
        <v>105</v>
      </c>
      <c r="Z38" s="2" t="s">
        <v>106</v>
      </c>
      <c r="AA38" s="2" t="s">
        <v>107</v>
      </c>
      <c r="AB38" s="7" t="s">
        <v>108</v>
      </c>
      <c r="AC38" s="8" t="s">
        <v>129</v>
      </c>
    </row>
    <row r="39" ht="16.5" spans="1:29">
      <c r="A39" s="2">
        <v>34020068</v>
      </c>
      <c r="B39" s="2" t="s">
        <v>136</v>
      </c>
      <c r="C39" s="2" t="s">
        <v>97</v>
      </c>
      <c r="D39" s="2">
        <v>68</v>
      </c>
      <c r="E39" s="2">
        <v>60</v>
      </c>
      <c r="F39" s="2" t="s">
        <v>98</v>
      </c>
      <c r="G39" s="2" t="s">
        <v>61</v>
      </c>
      <c r="H39" s="2" t="s">
        <v>99</v>
      </c>
      <c r="I39" s="2" t="s">
        <v>97</v>
      </c>
      <c r="J39" s="2" t="s">
        <v>100</v>
      </c>
      <c r="L39" s="2">
        <v>30000</v>
      </c>
      <c r="M39" s="2" t="s">
        <v>101</v>
      </c>
      <c r="O39" s="2">
        <v>35</v>
      </c>
      <c r="P39" s="2" t="s">
        <v>128</v>
      </c>
      <c r="Q39" s="2">
        <v>999</v>
      </c>
      <c r="R39" s="2" t="s">
        <v>100</v>
      </c>
      <c r="S39" s="2">
        <v>10680001</v>
      </c>
      <c r="U39" s="2" t="str">
        <f t="shared" si="4"/>
        <v>|cff00FF00达到35级后可以学习技能召唤神兽，也可以在当前技能经验满后对该技能进行升级。</v>
      </c>
      <c r="V39" s="2" t="s">
        <v>115</v>
      </c>
      <c r="W39" s="2">
        <v>34020001</v>
      </c>
      <c r="X39" s="6" t="s">
        <v>122</v>
      </c>
      <c r="Y39" s="2" t="s">
        <v>105</v>
      </c>
      <c r="Z39" s="2" t="s">
        <v>106</v>
      </c>
      <c r="AA39" s="2" t="s">
        <v>107</v>
      </c>
      <c r="AB39" s="7" t="s">
        <v>108</v>
      </c>
      <c r="AC39" s="8" t="s">
        <v>129</v>
      </c>
    </row>
    <row r="40" ht="16.5" spans="1:29">
      <c r="A40" s="2">
        <v>34020100</v>
      </c>
      <c r="B40" s="2" t="s">
        <v>100</v>
      </c>
      <c r="C40" s="2" t="s">
        <v>97</v>
      </c>
      <c r="D40" s="2">
        <v>100</v>
      </c>
      <c r="E40" s="2">
        <v>60</v>
      </c>
      <c r="F40" s="2" t="s">
        <v>98</v>
      </c>
      <c r="G40" s="2" t="s">
        <v>61</v>
      </c>
      <c r="H40" s="2" t="s">
        <v>99</v>
      </c>
      <c r="I40" s="2">
        <v>7</v>
      </c>
      <c r="J40" s="2" t="s">
        <v>100</v>
      </c>
      <c r="L40" s="2">
        <v>30000</v>
      </c>
      <c r="M40" s="2" t="s">
        <v>101</v>
      </c>
      <c r="O40" s="2">
        <v>1</v>
      </c>
      <c r="P40" s="2" t="s">
        <v>64</v>
      </c>
      <c r="Q40" s="2">
        <v>999</v>
      </c>
      <c r="R40" s="2" t="s">
        <v>137</v>
      </c>
      <c r="U40" s="2" t="s">
        <v>138</v>
      </c>
      <c r="V40" s="2" t="s">
        <v>139</v>
      </c>
      <c r="W40" s="2">
        <v>34020100</v>
      </c>
      <c r="X40" s="6" t="s">
        <v>122</v>
      </c>
      <c r="Y40" s="2" t="s">
        <v>105</v>
      </c>
      <c r="Z40" s="2" t="s">
        <v>106</v>
      </c>
      <c r="AA40" s="2" t="s">
        <v>107</v>
      </c>
      <c r="AB40" s="7" t="s">
        <v>108</v>
      </c>
      <c r="AC40" s="8" t="s">
        <v>100</v>
      </c>
    </row>
    <row r="41" spans="1:29">
      <c r="A41" s="2">
        <v>34040001</v>
      </c>
      <c r="B41" s="2" t="s">
        <v>140</v>
      </c>
      <c r="C41" s="2" t="s">
        <v>97</v>
      </c>
      <c r="D41" s="2">
        <v>1</v>
      </c>
      <c r="E41" s="2">
        <v>60</v>
      </c>
      <c r="F41" s="2" t="s">
        <v>141</v>
      </c>
      <c r="G41" s="2" t="s">
        <v>61</v>
      </c>
      <c r="H41" s="2" t="s">
        <v>142</v>
      </c>
      <c r="I41" s="2">
        <v>1</v>
      </c>
      <c r="J41" s="2" t="s">
        <v>143</v>
      </c>
      <c r="L41" s="2">
        <v>60000</v>
      </c>
      <c r="M41" s="2" t="s">
        <v>101</v>
      </c>
      <c r="O41" s="2">
        <v>1</v>
      </c>
      <c r="P41" s="2" t="s">
        <v>64</v>
      </c>
      <c r="Q41" s="2">
        <v>999</v>
      </c>
      <c r="R41" s="2" t="s">
        <v>144</v>
      </c>
      <c r="U41" s="2" t="s">
        <v>145</v>
      </c>
      <c r="V41" s="2" t="s">
        <v>115</v>
      </c>
      <c r="W41" s="2">
        <v>34040001</v>
      </c>
      <c r="X41" s="9" t="s">
        <v>146</v>
      </c>
      <c r="Y41" s="2" t="s">
        <v>105</v>
      </c>
      <c r="Z41" s="2" t="s">
        <v>106</v>
      </c>
      <c r="AA41" s="2" t="s">
        <v>107</v>
      </c>
      <c r="AB41" s="7" t="s">
        <v>108</v>
      </c>
      <c r="AC41" s="8" t="s">
        <v>140</v>
      </c>
    </row>
    <row r="42" spans="1:29">
      <c r="A42" s="2">
        <v>34040002</v>
      </c>
      <c r="B42" s="2" t="s">
        <v>147</v>
      </c>
      <c r="C42" s="2" t="s">
        <v>97</v>
      </c>
      <c r="D42" s="2">
        <v>2</v>
      </c>
      <c r="E42" s="2">
        <v>60</v>
      </c>
      <c r="F42" s="2" t="s">
        <v>141</v>
      </c>
      <c r="G42" s="2" t="s">
        <v>61</v>
      </c>
      <c r="H42" s="2" t="s">
        <v>142</v>
      </c>
      <c r="I42" s="2">
        <v>2</v>
      </c>
      <c r="J42" s="2" t="s">
        <v>143</v>
      </c>
      <c r="L42" s="2">
        <v>30000</v>
      </c>
      <c r="M42" s="2" t="s">
        <v>63</v>
      </c>
      <c r="O42" s="2">
        <v>1</v>
      </c>
      <c r="P42" s="2" t="s">
        <v>64</v>
      </c>
      <c r="Q42" s="2">
        <v>999</v>
      </c>
      <c r="R42" s="2" t="s">
        <v>148</v>
      </c>
      <c r="U42" s="2" t="s">
        <v>149</v>
      </c>
      <c r="V42" s="2" t="s">
        <v>139</v>
      </c>
      <c r="W42" s="2">
        <v>34040002</v>
      </c>
      <c r="X42" s="9" t="s">
        <v>150</v>
      </c>
      <c r="Y42" s="2" t="s">
        <v>105</v>
      </c>
      <c r="Z42" s="2" t="s">
        <v>106</v>
      </c>
      <c r="AA42" s="2" t="s">
        <v>107</v>
      </c>
      <c r="AB42" s="7" t="s">
        <v>108</v>
      </c>
      <c r="AC42" s="8" t="s">
        <v>147</v>
      </c>
    </row>
    <row r="43" spans="1:29">
      <c r="A43" s="2">
        <v>34040003</v>
      </c>
      <c r="B43" s="2" t="s">
        <v>151</v>
      </c>
      <c r="C43" s="2" t="s">
        <v>86</v>
      </c>
      <c r="D43" s="2">
        <v>3</v>
      </c>
      <c r="E43" s="2">
        <v>60</v>
      </c>
      <c r="F43" s="2" t="s">
        <v>141</v>
      </c>
      <c r="G43" s="2" t="s">
        <v>61</v>
      </c>
      <c r="H43" s="2" t="s">
        <v>142</v>
      </c>
      <c r="I43" s="2">
        <v>3</v>
      </c>
      <c r="J43" s="2" t="s">
        <v>143</v>
      </c>
      <c r="L43" s="2">
        <v>30000</v>
      </c>
      <c r="M43" s="2" t="s">
        <v>63</v>
      </c>
      <c r="O43" s="2">
        <v>1</v>
      </c>
      <c r="P43" s="2" t="s">
        <v>64</v>
      </c>
      <c r="Q43" s="2">
        <v>999</v>
      </c>
      <c r="R43" s="2" t="s">
        <v>152</v>
      </c>
      <c r="U43" s="2" t="s">
        <v>153</v>
      </c>
      <c r="V43" s="2" t="s">
        <v>139</v>
      </c>
      <c r="W43" s="2">
        <v>34040003</v>
      </c>
      <c r="X43" s="9" t="s">
        <v>154</v>
      </c>
      <c r="Y43" s="2" t="s">
        <v>89</v>
      </c>
      <c r="Z43" s="2" t="s">
        <v>90</v>
      </c>
      <c r="AA43" s="2" t="s">
        <v>91</v>
      </c>
    </row>
    <row r="44" spans="1:29">
      <c r="A44" s="2">
        <v>34040004</v>
      </c>
      <c r="B44" s="2" t="s">
        <v>155</v>
      </c>
      <c r="C44" s="2" t="s">
        <v>86</v>
      </c>
      <c r="D44" s="2">
        <v>4</v>
      </c>
      <c r="E44" s="2">
        <v>60</v>
      </c>
      <c r="F44" s="2" t="s">
        <v>141</v>
      </c>
      <c r="G44" s="2" t="s">
        <v>61</v>
      </c>
      <c r="H44" s="2" t="s">
        <v>142</v>
      </c>
      <c r="I44" s="2">
        <v>4</v>
      </c>
      <c r="J44" s="2" t="s">
        <v>143</v>
      </c>
      <c r="L44" s="2">
        <v>30000</v>
      </c>
      <c r="M44" s="2" t="s">
        <v>63</v>
      </c>
      <c r="O44" s="2">
        <v>1</v>
      </c>
      <c r="P44" s="2" t="s">
        <v>64</v>
      </c>
      <c r="Q44" s="2">
        <v>999</v>
      </c>
      <c r="R44" s="2" t="s">
        <v>156</v>
      </c>
      <c r="U44" s="2" t="s">
        <v>157</v>
      </c>
      <c r="V44" s="2" t="s">
        <v>139</v>
      </c>
      <c r="W44" s="2">
        <v>34040004</v>
      </c>
      <c r="X44" s="9" t="s">
        <v>158</v>
      </c>
      <c r="Y44" s="2" t="s">
        <v>89</v>
      </c>
      <c r="Z44" s="2" t="s">
        <v>90</v>
      </c>
      <c r="AA44" s="2" t="s">
        <v>91</v>
      </c>
    </row>
    <row r="45" spans="1:29">
      <c r="A45" s="2">
        <v>34040005</v>
      </c>
      <c r="B45" s="2" t="s">
        <v>159</v>
      </c>
      <c r="C45" s="2" t="s">
        <v>86</v>
      </c>
      <c r="D45" s="2">
        <v>5</v>
      </c>
      <c r="E45" s="2">
        <v>60</v>
      </c>
      <c r="F45" s="2" t="s">
        <v>141</v>
      </c>
      <c r="G45" s="2" t="s">
        <v>61</v>
      </c>
      <c r="H45" s="2" t="s">
        <v>142</v>
      </c>
      <c r="I45" s="2">
        <v>5</v>
      </c>
      <c r="J45" s="2" t="s">
        <v>143</v>
      </c>
      <c r="L45" s="2">
        <v>30000</v>
      </c>
      <c r="M45" s="2" t="s">
        <v>63</v>
      </c>
      <c r="O45" s="2">
        <v>1</v>
      </c>
      <c r="P45" s="2" t="s">
        <v>64</v>
      </c>
      <c r="Q45" s="2">
        <v>999</v>
      </c>
      <c r="R45" s="2" t="s">
        <v>160</v>
      </c>
      <c r="U45" s="2" t="s">
        <v>161</v>
      </c>
      <c r="V45" s="2" t="s">
        <v>139</v>
      </c>
      <c r="W45" s="2">
        <v>34040005</v>
      </c>
      <c r="X45" s="9" t="s">
        <v>162</v>
      </c>
      <c r="Y45" s="2" t="s">
        <v>89</v>
      </c>
      <c r="Z45" s="2" t="s">
        <v>90</v>
      </c>
      <c r="AA45" s="2" t="s">
        <v>91</v>
      </c>
      <c r="AB45" s="7" t="s">
        <v>108</v>
      </c>
      <c r="AC45" s="8" t="s">
        <v>159</v>
      </c>
    </row>
    <row r="46" spans="1:29">
      <c r="A46" s="2">
        <v>34040006</v>
      </c>
      <c r="B46" s="2" t="s">
        <v>163</v>
      </c>
      <c r="C46" s="2" t="s">
        <v>86</v>
      </c>
      <c r="D46" s="2">
        <v>6</v>
      </c>
      <c r="E46" s="2">
        <v>60</v>
      </c>
      <c r="F46" s="2" t="s">
        <v>141</v>
      </c>
      <c r="G46" s="2" t="s">
        <v>61</v>
      </c>
      <c r="H46" s="2" t="s">
        <v>142</v>
      </c>
      <c r="I46" s="2">
        <v>99</v>
      </c>
      <c r="J46" s="2" t="s">
        <v>143</v>
      </c>
      <c r="M46" s="2" t="s">
        <v>63</v>
      </c>
      <c r="O46" s="2">
        <v>1</v>
      </c>
      <c r="P46" s="2" t="s">
        <v>64</v>
      </c>
      <c r="Q46" s="2">
        <v>999</v>
      </c>
      <c r="R46" s="2" t="s">
        <v>164</v>
      </c>
      <c r="U46" s="2" t="s">
        <v>165</v>
      </c>
      <c r="V46" s="2" t="s">
        <v>139</v>
      </c>
      <c r="W46" s="2">
        <v>34040006</v>
      </c>
      <c r="X46" s="9" t="s">
        <v>166</v>
      </c>
      <c r="Y46" s="2" t="s">
        <v>89</v>
      </c>
      <c r="Z46" s="2" t="s">
        <v>90</v>
      </c>
      <c r="AA46" s="2" t="s">
        <v>91</v>
      </c>
    </row>
    <row r="47" spans="1:29">
      <c r="A47" s="2">
        <v>34040007</v>
      </c>
      <c r="B47" s="2" t="s">
        <v>167</v>
      </c>
      <c r="C47" s="2" t="s">
        <v>86</v>
      </c>
      <c r="D47" s="2">
        <v>7</v>
      </c>
      <c r="E47" s="2">
        <v>60</v>
      </c>
      <c r="F47" s="2" t="s">
        <v>141</v>
      </c>
      <c r="G47" s="2" t="s">
        <v>61</v>
      </c>
      <c r="H47" s="2" t="s">
        <v>142</v>
      </c>
      <c r="I47" s="2">
        <v>99</v>
      </c>
      <c r="J47" s="2" t="s">
        <v>143</v>
      </c>
      <c r="M47" s="2" t="s">
        <v>63</v>
      </c>
      <c r="O47" s="2">
        <v>1</v>
      </c>
      <c r="P47" s="2" t="s">
        <v>64</v>
      </c>
      <c r="Q47" s="2">
        <v>999</v>
      </c>
      <c r="R47" s="2" t="s">
        <v>168</v>
      </c>
      <c r="U47" s="2" t="s">
        <v>169</v>
      </c>
      <c r="V47" s="2" t="s">
        <v>139</v>
      </c>
      <c r="W47" s="2">
        <v>34040007</v>
      </c>
      <c r="X47" s="9" t="s">
        <v>170</v>
      </c>
      <c r="Y47" s="2" t="s">
        <v>89</v>
      </c>
      <c r="Z47" s="2" t="s">
        <v>90</v>
      </c>
      <c r="AA47" s="2" t="s">
        <v>91</v>
      </c>
    </row>
    <row r="48" spans="1:29">
      <c r="A48" s="2">
        <v>34040008</v>
      </c>
      <c r="B48" s="2" t="s">
        <v>171</v>
      </c>
      <c r="C48" s="2" t="s">
        <v>86</v>
      </c>
      <c r="D48" s="2">
        <v>8</v>
      </c>
      <c r="E48" s="2">
        <v>60</v>
      </c>
      <c r="F48" s="2" t="s">
        <v>141</v>
      </c>
      <c r="G48" s="2" t="s">
        <v>61</v>
      </c>
      <c r="H48" s="2" t="s">
        <v>142</v>
      </c>
      <c r="I48" s="2">
        <v>99</v>
      </c>
      <c r="J48" s="2" t="s">
        <v>143</v>
      </c>
      <c r="M48" s="2" t="s">
        <v>63</v>
      </c>
      <c r="O48" s="2">
        <v>1</v>
      </c>
      <c r="P48" s="2" t="s">
        <v>64</v>
      </c>
      <c r="Q48" s="2">
        <v>99</v>
      </c>
      <c r="U48" s="2" t="s">
        <v>172</v>
      </c>
      <c r="V48" s="2" t="s">
        <v>139</v>
      </c>
      <c r="W48" s="2">
        <v>34040008</v>
      </c>
      <c r="X48" s="9" t="s">
        <v>173</v>
      </c>
      <c r="Y48" s="2" t="s">
        <v>89</v>
      </c>
      <c r="Z48" s="2" t="s">
        <v>90</v>
      </c>
      <c r="AA48" s="2" t="s">
        <v>91</v>
      </c>
    </row>
    <row r="49" spans="1:29">
      <c r="A49" s="2">
        <v>34040009</v>
      </c>
      <c r="B49" s="2" t="s">
        <v>174</v>
      </c>
      <c r="C49" s="2" t="s">
        <v>86</v>
      </c>
      <c r="D49" s="2">
        <v>9</v>
      </c>
      <c r="E49" s="2">
        <v>60</v>
      </c>
      <c r="F49" s="2" t="s">
        <v>141</v>
      </c>
      <c r="G49" s="2" t="s">
        <v>61</v>
      </c>
      <c r="H49" s="2" t="s">
        <v>142</v>
      </c>
      <c r="I49" s="2">
        <v>99</v>
      </c>
      <c r="J49" s="2" t="s">
        <v>143</v>
      </c>
      <c r="M49" s="2" t="s">
        <v>63</v>
      </c>
      <c r="O49" s="2">
        <v>1</v>
      </c>
      <c r="P49" s="2" t="s">
        <v>64</v>
      </c>
      <c r="Q49" s="2">
        <v>99</v>
      </c>
      <c r="U49" s="2" t="s">
        <v>175</v>
      </c>
      <c r="V49" s="2" t="s">
        <v>139</v>
      </c>
      <c r="W49" s="2">
        <v>34040009</v>
      </c>
      <c r="X49" s="9" t="s">
        <v>176</v>
      </c>
      <c r="Y49" s="2" t="s">
        <v>89</v>
      </c>
      <c r="Z49" s="2" t="s">
        <v>90</v>
      </c>
      <c r="AA49" s="2" t="s">
        <v>91</v>
      </c>
    </row>
    <row r="50" spans="1:29">
      <c r="A50" s="2">
        <v>34040010</v>
      </c>
      <c r="B50" s="2" t="s">
        <v>177</v>
      </c>
      <c r="C50" s="2" t="s">
        <v>86</v>
      </c>
      <c r="D50" s="2">
        <v>10</v>
      </c>
      <c r="E50" s="2">
        <v>60</v>
      </c>
      <c r="F50" s="2" t="s">
        <v>141</v>
      </c>
      <c r="G50" s="2" t="s">
        <v>61</v>
      </c>
      <c r="H50" s="2" t="s">
        <v>142</v>
      </c>
      <c r="I50" s="2">
        <v>1</v>
      </c>
      <c r="J50" s="2" t="s">
        <v>143</v>
      </c>
      <c r="L50" s="2">
        <v>60000</v>
      </c>
      <c r="M50" s="2" t="s">
        <v>101</v>
      </c>
      <c r="O50" s="2">
        <v>1</v>
      </c>
      <c r="P50" s="2" t="s">
        <v>64</v>
      </c>
      <c r="Q50" s="2">
        <v>999</v>
      </c>
      <c r="R50" s="2" t="s">
        <v>178</v>
      </c>
      <c r="U50" s="2" t="s">
        <v>179</v>
      </c>
      <c r="V50" s="2" t="s">
        <v>180</v>
      </c>
      <c r="W50" s="2">
        <v>34040010</v>
      </c>
      <c r="X50" s="9" t="s">
        <v>181</v>
      </c>
      <c r="Y50" s="2" t="s">
        <v>89</v>
      </c>
      <c r="Z50" s="2" t="s">
        <v>90</v>
      </c>
      <c r="AA50" s="2" t="s">
        <v>91</v>
      </c>
    </row>
    <row r="51" spans="1:29">
      <c r="A51" s="2">
        <v>34040011</v>
      </c>
      <c r="B51" s="2" t="s">
        <v>182</v>
      </c>
      <c r="C51" s="2" t="s">
        <v>86</v>
      </c>
      <c r="D51" s="2">
        <v>11</v>
      </c>
      <c r="E51" s="2">
        <v>60</v>
      </c>
      <c r="F51" s="2" t="s">
        <v>141</v>
      </c>
      <c r="G51" s="2" t="s">
        <v>61</v>
      </c>
      <c r="H51" s="2" t="s">
        <v>142</v>
      </c>
      <c r="I51" s="2">
        <v>1</v>
      </c>
      <c r="J51" s="2" t="s">
        <v>143</v>
      </c>
      <c r="L51" s="2">
        <v>30000</v>
      </c>
      <c r="M51" s="2" t="s">
        <v>101</v>
      </c>
      <c r="O51" s="2">
        <v>1</v>
      </c>
      <c r="P51" s="2" t="s">
        <v>64</v>
      </c>
      <c r="Q51" s="2">
        <v>999</v>
      </c>
      <c r="R51" s="2" t="s">
        <v>183</v>
      </c>
      <c r="U51" s="2" t="s">
        <v>184</v>
      </c>
      <c r="V51" s="2" t="s">
        <v>139</v>
      </c>
      <c r="W51" s="2">
        <v>34040011</v>
      </c>
      <c r="X51" s="10" t="s">
        <v>185</v>
      </c>
      <c r="Y51" s="2" t="s">
        <v>89</v>
      </c>
      <c r="Z51" s="2" t="s">
        <v>90</v>
      </c>
      <c r="AA51" s="2" t="s">
        <v>91</v>
      </c>
      <c r="AB51" s="7" t="s">
        <v>108</v>
      </c>
      <c r="AC51" s="8" t="s">
        <v>182</v>
      </c>
    </row>
    <row r="52" spans="1:29">
      <c r="A52" s="2">
        <v>34040012</v>
      </c>
      <c r="B52" s="2" t="s">
        <v>186</v>
      </c>
      <c r="C52" s="2" t="s">
        <v>86</v>
      </c>
      <c r="D52" s="2">
        <v>12</v>
      </c>
      <c r="E52" s="2">
        <v>60</v>
      </c>
      <c r="F52" s="2" t="s">
        <v>141</v>
      </c>
      <c r="G52" s="2" t="s">
        <v>61</v>
      </c>
      <c r="H52" s="2" t="s">
        <v>142</v>
      </c>
      <c r="I52" s="2">
        <v>1</v>
      </c>
      <c r="J52" s="2" t="s">
        <v>143</v>
      </c>
      <c r="L52" s="2">
        <v>30000</v>
      </c>
      <c r="M52" s="2" t="s">
        <v>101</v>
      </c>
      <c r="O52" s="2">
        <v>1</v>
      </c>
      <c r="P52" s="2" t="s">
        <v>64</v>
      </c>
      <c r="Q52" s="2">
        <v>999</v>
      </c>
      <c r="R52" s="2" t="s">
        <v>183</v>
      </c>
      <c r="U52" s="2" t="s">
        <v>187</v>
      </c>
      <c r="V52" s="2" t="s">
        <v>139</v>
      </c>
      <c r="W52" s="2">
        <v>34040012</v>
      </c>
      <c r="X52" s="2" t="s">
        <v>188</v>
      </c>
      <c r="Y52" s="2" t="s">
        <v>89</v>
      </c>
      <c r="Z52" s="2" t="s">
        <v>90</v>
      </c>
      <c r="AA52" s="2" t="s">
        <v>91</v>
      </c>
      <c r="AB52" s="7" t="s">
        <v>108</v>
      </c>
      <c r="AC52" s="8" t="s">
        <v>186</v>
      </c>
    </row>
    <row r="53" spans="1:29">
      <c r="A53" s="2">
        <v>34040013</v>
      </c>
      <c r="B53" s="2" t="s">
        <v>189</v>
      </c>
      <c r="C53" s="2" t="s">
        <v>86</v>
      </c>
      <c r="D53" s="2">
        <v>13</v>
      </c>
      <c r="E53" s="2">
        <v>60</v>
      </c>
      <c r="F53" s="2" t="s">
        <v>141</v>
      </c>
      <c r="G53" s="2" t="s">
        <v>61</v>
      </c>
      <c r="H53" s="2" t="s">
        <v>142</v>
      </c>
      <c r="I53" s="2">
        <v>1</v>
      </c>
      <c r="J53" s="2" t="s">
        <v>143</v>
      </c>
      <c r="L53" s="2">
        <v>30000</v>
      </c>
      <c r="M53" s="2" t="s">
        <v>101</v>
      </c>
      <c r="O53" s="2">
        <v>1</v>
      </c>
      <c r="P53" s="2" t="s">
        <v>64</v>
      </c>
      <c r="Q53" s="2">
        <v>999</v>
      </c>
      <c r="R53" s="2" t="s">
        <v>183</v>
      </c>
      <c r="U53" s="2" t="s">
        <v>190</v>
      </c>
      <c r="V53" s="2" t="s">
        <v>139</v>
      </c>
      <c r="W53" s="2">
        <v>34040013</v>
      </c>
      <c r="X53" s="2" t="s">
        <v>191</v>
      </c>
      <c r="Y53" s="2" t="s">
        <v>89</v>
      </c>
      <c r="Z53" s="2" t="s">
        <v>90</v>
      </c>
      <c r="AA53" s="2" t="s">
        <v>91</v>
      </c>
      <c r="AB53" s="7" t="s">
        <v>108</v>
      </c>
      <c r="AC53" s="8" t="s">
        <v>189</v>
      </c>
    </row>
    <row r="54" spans="1:29">
      <c r="A54" s="2">
        <v>34040014</v>
      </c>
      <c r="B54" s="2" t="s">
        <v>192</v>
      </c>
      <c r="C54" s="2" t="s">
        <v>86</v>
      </c>
      <c r="D54" s="2">
        <v>14</v>
      </c>
      <c r="E54" s="2">
        <v>60</v>
      </c>
      <c r="F54" s="2" t="s">
        <v>141</v>
      </c>
      <c r="G54" s="2" t="s">
        <v>61</v>
      </c>
      <c r="H54" s="2" t="s">
        <v>142</v>
      </c>
      <c r="I54" s="2">
        <v>1</v>
      </c>
      <c r="J54" s="2" t="s">
        <v>143</v>
      </c>
      <c r="L54" s="2">
        <v>30000</v>
      </c>
      <c r="M54" s="2" t="s">
        <v>101</v>
      </c>
      <c r="O54" s="2">
        <v>1</v>
      </c>
      <c r="P54" s="2" t="s">
        <v>64</v>
      </c>
      <c r="Q54" s="2">
        <v>999</v>
      </c>
      <c r="R54" s="2" t="s">
        <v>183</v>
      </c>
      <c r="U54" s="2" t="s">
        <v>193</v>
      </c>
      <c r="V54" s="2" t="s">
        <v>139</v>
      </c>
      <c r="W54" s="2">
        <v>34040014</v>
      </c>
      <c r="X54" s="2" t="s">
        <v>194</v>
      </c>
      <c r="Y54" s="2" t="s">
        <v>89</v>
      </c>
      <c r="Z54" s="2" t="s">
        <v>90</v>
      </c>
      <c r="AA54" s="2" t="s">
        <v>91</v>
      </c>
      <c r="AB54" s="7" t="s">
        <v>108</v>
      </c>
      <c r="AC54" s="8" t="s">
        <v>192</v>
      </c>
    </row>
    <row r="55" spans="1:29">
      <c r="A55" s="2">
        <v>34040015</v>
      </c>
      <c r="B55" s="2" t="s">
        <v>195</v>
      </c>
      <c r="C55" s="2" t="s">
        <v>86</v>
      </c>
      <c r="D55" s="2">
        <v>15</v>
      </c>
      <c r="E55" s="2">
        <v>60</v>
      </c>
      <c r="F55" s="2" t="s">
        <v>141</v>
      </c>
      <c r="G55" s="2" t="s">
        <v>61</v>
      </c>
      <c r="H55" s="2" t="s">
        <v>142</v>
      </c>
      <c r="I55" s="2">
        <v>1</v>
      </c>
      <c r="J55" s="2" t="s">
        <v>143</v>
      </c>
      <c r="L55" s="2">
        <v>30000</v>
      </c>
      <c r="M55" s="2" t="s">
        <v>101</v>
      </c>
      <c r="O55" s="2">
        <v>1</v>
      </c>
      <c r="P55" s="2" t="s">
        <v>64</v>
      </c>
      <c r="Q55" s="2">
        <v>999</v>
      </c>
      <c r="R55" s="2" t="s">
        <v>196</v>
      </c>
      <c r="U55" s="2" t="s">
        <v>197</v>
      </c>
      <c r="V55" s="2" t="s">
        <v>139</v>
      </c>
      <c r="W55" s="2">
        <v>34040015</v>
      </c>
      <c r="X55" s="2" t="s">
        <v>198</v>
      </c>
      <c r="Y55" s="2" t="s">
        <v>89</v>
      </c>
      <c r="Z55" s="2" t="s">
        <v>90</v>
      </c>
      <c r="AA55" s="2" t="s">
        <v>91</v>
      </c>
    </row>
    <row r="56" spans="1:29">
      <c r="A56" s="2">
        <v>34040016</v>
      </c>
      <c r="B56" s="2" t="s">
        <v>199</v>
      </c>
      <c r="C56" s="2" t="s">
        <v>86</v>
      </c>
      <c r="D56" s="2">
        <v>16</v>
      </c>
      <c r="E56" s="2">
        <v>60</v>
      </c>
      <c r="F56" s="2" t="s">
        <v>141</v>
      </c>
      <c r="G56" s="2" t="s">
        <v>61</v>
      </c>
      <c r="H56" s="2" t="s">
        <v>142</v>
      </c>
      <c r="I56" s="2">
        <v>1</v>
      </c>
      <c r="J56" s="2" t="s">
        <v>143</v>
      </c>
      <c r="L56" s="2">
        <v>30000</v>
      </c>
      <c r="M56" s="2" t="s">
        <v>101</v>
      </c>
      <c r="O56" s="2">
        <v>1</v>
      </c>
      <c r="P56" s="2" t="s">
        <v>64</v>
      </c>
      <c r="Q56" s="2">
        <v>999</v>
      </c>
      <c r="R56" s="2" t="s">
        <v>200</v>
      </c>
      <c r="U56" s="2" t="s">
        <v>201</v>
      </c>
      <c r="V56" s="2" t="s">
        <v>202</v>
      </c>
      <c r="W56" s="2">
        <v>34040016</v>
      </c>
      <c r="X56" s="2" t="s">
        <v>203</v>
      </c>
      <c r="Y56" s="2" t="s">
        <v>89</v>
      </c>
      <c r="Z56" s="2" t="s">
        <v>90</v>
      </c>
      <c r="AA56" s="2" t="s">
        <v>91</v>
      </c>
    </row>
    <row r="57" spans="1:29">
      <c r="A57" s="2">
        <f>30000000+INDEX(编号表!$B:$B,MATCH(F57,编号表!$A:$A,0))*10000+D57</f>
        <v>30070000</v>
      </c>
      <c r="B57" s="2" t="s">
        <v>204</v>
      </c>
      <c r="C57" s="2" t="s">
        <v>86</v>
      </c>
      <c r="D57" s="2">
        <v>0</v>
      </c>
      <c r="E57" s="2">
        <v>60</v>
      </c>
      <c r="F57" s="2" t="s">
        <v>205</v>
      </c>
      <c r="G57" s="2" t="s">
        <v>61</v>
      </c>
      <c r="H57" s="2" t="s">
        <v>142</v>
      </c>
      <c r="I57" s="2">
        <v>1</v>
      </c>
      <c r="J57" s="2" t="s">
        <v>143</v>
      </c>
      <c r="L57" s="2">
        <v>30000</v>
      </c>
      <c r="M57" s="2" t="s">
        <v>101</v>
      </c>
      <c r="O57" s="2">
        <v>1</v>
      </c>
      <c r="P57" s="2" t="s">
        <v>64</v>
      </c>
      <c r="Q57" s="2">
        <v>999</v>
      </c>
      <c r="R57" s="2" t="s">
        <v>206</v>
      </c>
      <c r="U57" s="2" t="s">
        <v>207</v>
      </c>
      <c r="V57" s="2" t="s">
        <v>115</v>
      </c>
      <c r="W57" s="2">
        <v>34040017</v>
      </c>
      <c r="X57" s="11" t="s">
        <v>208</v>
      </c>
      <c r="Y57" s="2" t="s">
        <v>89</v>
      </c>
      <c r="Z57" s="2" t="s">
        <v>90</v>
      </c>
      <c r="AA57" s="2" t="s">
        <v>91</v>
      </c>
      <c r="AB57" s="7" t="s">
        <v>108</v>
      </c>
      <c r="AC57" s="8" t="s">
        <v>209</v>
      </c>
    </row>
    <row r="58" spans="1:29">
      <c r="A58" s="2">
        <f>30000000+INDEX(编号表!$B:$B,MATCH(F58,编号表!$A:$A,0))*10000+D58</f>
        <v>30070001</v>
      </c>
      <c r="B58" s="2" t="s">
        <v>210</v>
      </c>
      <c r="C58" s="2" t="s">
        <v>86</v>
      </c>
      <c r="D58" s="2">
        <v>1</v>
      </c>
      <c r="E58" s="2">
        <v>60</v>
      </c>
      <c r="F58" s="2" t="s">
        <v>205</v>
      </c>
      <c r="G58" s="2" t="s">
        <v>61</v>
      </c>
      <c r="H58" s="2" t="s">
        <v>142</v>
      </c>
      <c r="I58" s="2">
        <v>1</v>
      </c>
      <c r="J58" s="2" t="s">
        <v>143</v>
      </c>
      <c r="L58" s="2">
        <v>30000</v>
      </c>
      <c r="M58" s="2" t="s">
        <v>101</v>
      </c>
      <c r="O58" s="2">
        <v>1</v>
      </c>
      <c r="P58" s="2" t="s">
        <v>64</v>
      </c>
      <c r="Q58" s="2">
        <v>999</v>
      </c>
      <c r="R58" s="2" t="s">
        <v>206</v>
      </c>
      <c r="U58" s="2" t="s">
        <v>211</v>
      </c>
      <c r="V58" s="2" t="s">
        <v>115</v>
      </c>
      <c r="W58" s="2">
        <v>34040018</v>
      </c>
      <c r="X58" s="11" t="s">
        <v>212</v>
      </c>
      <c r="Y58" s="2" t="s">
        <v>89</v>
      </c>
      <c r="Z58" s="2" t="s">
        <v>90</v>
      </c>
      <c r="AA58" s="2" t="s">
        <v>91</v>
      </c>
      <c r="AB58" s="7" t="s">
        <v>108</v>
      </c>
      <c r="AC58" s="8" t="s">
        <v>209</v>
      </c>
    </row>
    <row r="59" spans="1:29">
      <c r="A59" s="2">
        <f>30000000+INDEX(编号表!$B:$B,MATCH(F59,编号表!$A:$A,0))*10000+D59</f>
        <v>30070002</v>
      </c>
      <c r="B59" s="2" t="s">
        <v>213</v>
      </c>
      <c r="C59" s="2" t="s">
        <v>86</v>
      </c>
      <c r="D59" s="2">
        <v>2</v>
      </c>
      <c r="E59" s="2">
        <v>60</v>
      </c>
      <c r="F59" s="2" t="s">
        <v>205</v>
      </c>
      <c r="G59" s="2" t="s">
        <v>61</v>
      </c>
      <c r="H59" s="2" t="s">
        <v>142</v>
      </c>
      <c r="I59" s="2">
        <v>1</v>
      </c>
      <c r="J59" s="2" t="s">
        <v>143</v>
      </c>
      <c r="L59" s="2">
        <v>30000</v>
      </c>
      <c r="M59" s="2" t="s">
        <v>101</v>
      </c>
      <c r="O59" s="2">
        <v>1</v>
      </c>
      <c r="P59" s="2" t="s">
        <v>64</v>
      </c>
      <c r="Q59" s="2">
        <v>999</v>
      </c>
      <c r="R59" s="2" t="s">
        <v>206</v>
      </c>
      <c r="U59" s="2" t="s">
        <v>214</v>
      </c>
      <c r="V59" s="2" t="s">
        <v>115</v>
      </c>
      <c r="W59" s="2">
        <v>34040019</v>
      </c>
      <c r="X59" s="11" t="s">
        <v>215</v>
      </c>
      <c r="Y59" s="2" t="s">
        <v>89</v>
      </c>
      <c r="Z59" s="2" t="s">
        <v>90</v>
      </c>
      <c r="AA59" s="2" t="s">
        <v>91</v>
      </c>
      <c r="AB59" s="7" t="s">
        <v>108</v>
      </c>
      <c r="AC59" s="8" t="s">
        <v>209</v>
      </c>
    </row>
    <row r="60" spans="1:29">
      <c r="A60" s="2">
        <f>30000000+INDEX(编号表!$B:$B,MATCH(F60,编号表!$A:$A,0))*10000+D60</f>
        <v>30070003</v>
      </c>
      <c r="B60" s="2" t="s">
        <v>216</v>
      </c>
      <c r="C60" s="2" t="s">
        <v>86</v>
      </c>
      <c r="D60" s="2">
        <v>3</v>
      </c>
      <c r="E60" s="2">
        <v>60</v>
      </c>
      <c r="F60" s="2" t="s">
        <v>205</v>
      </c>
      <c r="G60" s="2" t="s">
        <v>61</v>
      </c>
      <c r="H60" s="2" t="s">
        <v>142</v>
      </c>
      <c r="I60" s="2">
        <v>1</v>
      </c>
      <c r="J60" s="2" t="s">
        <v>143</v>
      </c>
      <c r="L60" s="2">
        <v>30000</v>
      </c>
      <c r="M60" s="2" t="s">
        <v>101</v>
      </c>
      <c r="O60" s="2">
        <v>1</v>
      </c>
      <c r="P60" s="2" t="s">
        <v>64</v>
      </c>
      <c r="Q60" s="2">
        <v>999</v>
      </c>
      <c r="R60" s="2" t="s">
        <v>206</v>
      </c>
      <c r="U60" s="2" t="s">
        <v>217</v>
      </c>
      <c r="V60" s="2" t="s">
        <v>115</v>
      </c>
      <c r="W60" s="2">
        <v>34040020</v>
      </c>
      <c r="X60" s="11" t="s">
        <v>218</v>
      </c>
      <c r="Y60" s="2" t="s">
        <v>89</v>
      </c>
      <c r="Z60" s="2" t="s">
        <v>90</v>
      </c>
      <c r="AA60" s="2" t="s">
        <v>91</v>
      </c>
      <c r="AB60" s="7" t="s">
        <v>108</v>
      </c>
      <c r="AC60" s="8" t="s">
        <v>209</v>
      </c>
    </row>
    <row r="61" spans="1:29">
      <c r="A61" s="2">
        <f>30000000+INDEX(编号表!$B:$B,MATCH(F61,编号表!$A:$A,0))*10000+D61</f>
        <v>30070004</v>
      </c>
      <c r="B61" s="2" t="s">
        <v>219</v>
      </c>
      <c r="C61" s="2" t="s">
        <v>86</v>
      </c>
      <c r="D61" s="2">
        <v>4</v>
      </c>
      <c r="E61" s="2">
        <v>60</v>
      </c>
      <c r="F61" s="2" t="s">
        <v>205</v>
      </c>
      <c r="G61" s="2" t="s">
        <v>61</v>
      </c>
      <c r="H61" s="2" t="s">
        <v>142</v>
      </c>
      <c r="I61" s="2">
        <v>1</v>
      </c>
      <c r="J61" s="2" t="s">
        <v>143</v>
      </c>
      <c r="L61" s="2">
        <v>30000</v>
      </c>
      <c r="M61" s="2" t="s">
        <v>101</v>
      </c>
      <c r="O61" s="2">
        <v>1</v>
      </c>
      <c r="P61" s="2" t="s">
        <v>64</v>
      </c>
      <c r="Q61" s="2">
        <v>999</v>
      </c>
      <c r="R61" s="2" t="s">
        <v>206</v>
      </c>
      <c r="U61" s="2" t="s">
        <v>220</v>
      </c>
      <c r="V61" s="2" t="s">
        <v>115</v>
      </c>
      <c r="W61" s="2">
        <v>34040021</v>
      </c>
      <c r="X61" s="11" t="s">
        <v>221</v>
      </c>
      <c r="Y61" s="2" t="s">
        <v>89</v>
      </c>
      <c r="Z61" s="2" t="s">
        <v>90</v>
      </c>
      <c r="AA61" s="2" t="s">
        <v>91</v>
      </c>
      <c r="AB61" s="7" t="s">
        <v>108</v>
      </c>
      <c r="AC61" s="8" t="s">
        <v>209</v>
      </c>
    </row>
    <row r="62" spans="1:29">
      <c r="A62" s="2">
        <f>30000000+INDEX(编号表!$B:$B,MATCH(F62,编号表!$A:$A,0))*10000+D62</f>
        <v>30070005</v>
      </c>
      <c r="B62" s="2" t="s">
        <v>222</v>
      </c>
      <c r="C62" s="2" t="s">
        <v>86</v>
      </c>
      <c r="D62" s="2">
        <v>5</v>
      </c>
      <c r="E62" s="2">
        <v>60</v>
      </c>
      <c r="F62" s="2" t="s">
        <v>205</v>
      </c>
      <c r="G62" s="2" t="s">
        <v>61</v>
      </c>
      <c r="H62" s="2" t="s">
        <v>142</v>
      </c>
      <c r="I62" s="2">
        <v>1</v>
      </c>
      <c r="J62" s="2" t="s">
        <v>143</v>
      </c>
      <c r="L62" s="2">
        <v>30000</v>
      </c>
      <c r="M62" s="2" t="s">
        <v>101</v>
      </c>
      <c r="O62" s="2">
        <v>1</v>
      </c>
      <c r="P62" s="2" t="s">
        <v>64</v>
      </c>
      <c r="Q62" s="2">
        <v>999</v>
      </c>
      <c r="R62" s="2" t="s">
        <v>206</v>
      </c>
      <c r="U62" s="2" t="s">
        <v>223</v>
      </c>
      <c r="V62" s="2" t="s">
        <v>115</v>
      </c>
      <c r="W62" s="2">
        <v>34040022</v>
      </c>
      <c r="X62" s="11" t="s">
        <v>224</v>
      </c>
      <c r="Y62" s="2" t="s">
        <v>89</v>
      </c>
      <c r="Z62" s="2" t="s">
        <v>90</v>
      </c>
      <c r="AA62" s="2" t="s">
        <v>91</v>
      </c>
      <c r="AB62" s="7" t="s">
        <v>108</v>
      </c>
      <c r="AC62" s="8" t="s">
        <v>209</v>
      </c>
    </row>
    <row r="63" spans="1:29">
      <c r="A63" s="2">
        <f>30000000+INDEX(编号表!$B:$B,MATCH(F63,编号表!$A:$A,0))*10000+D63</f>
        <v>30070006</v>
      </c>
      <c r="B63" s="2" t="s">
        <v>225</v>
      </c>
      <c r="C63" s="2" t="s">
        <v>86</v>
      </c>
      <c r="D63" s="2">
        <v>6</v>
      </c>
      <c r="E63" s="2">
        <v>60</v>
      </c>
      <c r="F63" s="2" t="s">
        <v>205</v>
      </c>
      <c r="G63" s="2" t="s">
        <v>61</v>
      </c>
      <c r="H63" s="2" t="s">
        <v>142</v>
      </c>
      <c r="I63" s="2">
        <v>1</v>
      </c>
      <c r="J63" s="2" t="s">
        <v>143</v>
      </c>
      <c r="L63" s="2">
        <v>30000</v>
      </c>
      <c r="M63" s="2" t="s">
        <v>101</v>
      </c>
      <c r="O63" s="2">
        <v>1</v>
      </c>
      <c r="P63" s="2" t="s">
        <v>64</v>
      </c>
      <c r="Q63" s="2">
        <v>999</v>
      </c>
      <c r="R63" s="2" t="s">
        <v>206</v>
      </c>
      <c r="U63" s="2" t="s">
        <v>226</v>
      </c>
      <c r="V63" s="2" t="s">
        <v>115</v>
      </c>
      <c r="W63" s="2">
        <v>34040023</v>
      </c>
      <c r="X63" s="11" t="s">
        <v>227</v>
      </c>
      <c r="Y63" s="2" t="s">
        <v>89</v>
      </c>
      <c r="Z63" s="2" t="s">
        <v>90</v>
      </c>
      <c r="AA63" s="2" t="s">
        <v>91</v>
      </c>
      <c r="AB63" s="7" t="s">
        <v>108</v>
      </c>
      <c r="AC63" s="8" t="s">
        <v>209</v>
      </c>
    </row>
    <row r="64" spans="1:29">
      <c r="A64" s="2">
        <f>30000000+INDEX(编号表!$B:$B,MATCH(F64,编号表!$A:$A,0))*10000+D64</f>
        <v>30070007</v>
      </c>
      <c r="B64" s="2" t="s">
        <v>228</v>
      </c>
      <c r="C64" s="2" t="s">
        <v>86</v>
      </c>
      <c r="D64" s="2">
        <v>7</v>
      </c>
      <c r="E64" s="2">
        <v>60</v>
      </c>
      <c r="F64" s="2" t="s">
        <v>205</v>
      </c>
      <c r="G64" s="2" t="s">
        <v>61</v>
      </c>
      <c r="H64" s="2" t="s">
        <v>142</v>
      </c>
      <c r="I64" s="2">
        <v>1</v>
      </c>
      <c r="J64" s="2" t="s">
        <v>143</v>
      </c>
      <c r="L64" s="2">
        <v>30000</v>
      </c>
      <c r="M64" s="2" t="s">
        <v>101</v>
      </c>
      <c r="O64" s="2">
        <v>1</v>
      </c>
      <c r="P64" s="2" t="s">
        <v>64</v>
      </c>
      <c r="Q64" s="2">
        <v>999</v>
      </c>
      <c r="R64" s="2" t="s">
        <v>206</v>
      </c>
      <c r="U64" s="2" t="s">
        <v>229</v>
      </c>
      <c r="V64" s="2" t="s">
        <v>115</v>
      </c>
      <c r="W64" s="2">
        <v>34040024</v>
      </c>
      <c r="X64" s="11" t="s">
        <v>230</v>
      </c>
      <c r="Y64" s="2" t="s">
        <v>89</v>
      </c>
      <c r="Z64" s="2" t="s">
        <v>90</v>
      </c>
      <c r="AA64" s="2" t="s">
        <v>91</v>
      </c>
      <c r="AB64" s="7" t="s">
        <v>108</v>
      </c>
      <c r="AC64" s="8" t="s">
        <v>209</v>
      </c>
    </row>
    <row r="65" spans="1:29">
      <c r="A65" s="2">
        <f>30000000+INDEX(编号表!$B:$B,MATCH(F65,编号表!$A:$A,0))*10000+D65</f>
        <v>30070008</v>
      </c>
      <c r="B65" s="2" t="s">
        <v>231</v>
      </c>
      <c r="C65" s="2" t="s">
        <v>86</v>
      </c>
      <c r="D65" s="2">
        <v>8</v>
      </c>
      <c r="E65" s="2">
        <v>60</v>
      </c>
      <c r="F65" s="2" t="s">
        <v>205</v>
      </c>
      <c r="G65" s="2" t="s">
        <v>61</v>
      </c>
      <c r="H65" s="2" t="s">
        <v>142</v>
      </c>
      <c r="I65" s="2">
        <v>1</v>
      </c>
      <c r="J65" s="2" t="s">
        <v>143</v>
      </c>
      <c r="L65" s="2">
        <v>30000</v>
      </c>
      <c r="M65" s="2" t="s">
        <v>101</v>
      </c>
      <c r="O65" s="2">
        <v>1</v>
      </c>
      <c r="P65" s="2" t="s">
        <v>64</v>
      </c>
      <c r="Q65" s="2">
        <v>999</v>
      </c>
      <c r="R65" s="2" t="s">
        <v>206</v>
      </c>
      <c r="U65" s="2" t="s">
        <v>232</v>
      </c>
      <c r="V65" s="2" t="s">
        <v>233</v>
      </c>
      <c r="W65" s="2">
        <v>34040025</v>
      </c>
      <c r="X65" s="11" t="s">
        <v>234</v>
      </c>
      <c r="Y65" s="2" t="s">
        <v>89</v>
      </c>
      <c r="Z65" s="2" t="s">
        <v>90</v>
      </c>
      <c r="AA65" s="2" t="s">
        <v>91</v>
      </c>
      <c r="AB65" s="7" t="s">
        <v>108</v>
      </c>
      <c r="AC65" s="8" t="s">
        <v>209</v>
      </c>
    </row>
    <row r="66" spans="1:29">
      <c r="A66" s="2">
        <f>30000000+INDEX(编号表!$B:$B,MATCH(F66,编号表!$A:$A,0))*10000+D66</f>
        <v>30070009</v>
      </c>
      <c r="B66" s="2" t="s">
        <v>235</v>
      </c>
      <c r="C66" s="2" t="s">
        <v>86</v>
      </c>
      <c r="D66" s="2">
        <v>9</v>
      </c>
      <c r="E66" s="2">
        <v>60</v>
      </c>
      <c r="F66" s="2" t="s">
        <v>205</v>
      </c>
      <c r="G66" s="2" t="s">
        <v>61</v>
      </c>
      <c r="H66" s="2" t="s">
        <v>142</v>
      </c>
      <c r="I66" s="2">
        <v>1</v>
      </c>
      <c r="J66" s="2" t="s">
        <v>143</v>
      </c>
      <c r="L66" s="2">
        <v>30000</v>
      </c>
      <c r="M66" s="2" t="s">
        <v>101</v>
      </c>
      <c r="O66" s="2">
        <v>1</v>
      </c>
      <c r="P66" s="2" t="s">
        <v>64</v>
      </c>
      <c r="Q66" s="2">
        <v>999</v>
      </c>
      <c r="R66" s="2" t="s">
        <v>206</v>
      </c>
      <c r="U66" s="2" t="s">
        <v>236</v>
      </c>
      <c r="V66" s="2" t="s">
        <v>237</v>
      </c>
      <c r="W66" s="2">
        <v>34040026</v>
      </c>
      <c r="X66" s="11" t="s">
        <v>238</v>
      </c>
      <c r="Y66" s="2" t="s">
        <v>89</v>
      </c>
      <c r="Z66" s="2" t="s">
        <v>90</v>
      </c>
      <c r="AA66" s="2" t="s">
        <v>91</v>
      </c>
      <c r="AB66" s="7" t="s">
        <v>108</v>
      </c>
      <c r="AC66" s="8" t="s">
        <v>239</v>
      </c>
    </row>
    <row r="67" spans="1:29">
      <c r="A67" s="2">
        <f>30000000+INDEX(编号表!$B:$B,MATCH(F67,编号表!$A:$A,0))*10000+D67</f>
        <v>30070010</v>
      </c>
      <c r="B67" s="2" t="s">
        <v>240</v>
      </c>
      <c r="C67" s="2" t="s">
        <v>86</v>
      </c>
      <c r="D67" s="2">
        <v>10</v>
      </c>
      <c r="E67" s="2">
        <v>60</v>
      </c>
      <c r="F67" s="2" t="s">
        <v>205</v>
      </c>
      <c r="G67" s="2" t="s">
        <v>61</v>
      </c>
      <c r="H67" s="2" t="s">
        <v>142</v>
      </c>
      <c r="I67" s="2">
        <v>1</v>
      </c>
      <c r="J67" s="2" t="s">
        <v>143</v>
      </c>
      <c r="L67" s="2">
        <v>30000</v>
      </c>
      <c r="M67" s="2" t="s">
        <v>101</v>
      </c>
      <c r="O67" s="2">
        <v>1</v>
      </c>
      <c r="P67" s="2" t="s">
        <v>64</v>
      </c>
      <c r="Q67" s="2">
        <v>999</v>
      </c>
      <c r="R67" s="2" t="s">
        <v>206</v>
      </c>
      <c r="U67" s="2" t="s">
        <v>236</v>
      </c>
      <c r="V67" s="2" t="s">
        <v>237</v>
      </c>
      <c r="W67" s="2">
        <v>34040027</v>
      </c>
      <c r="X67" s="11" t="s">
        <v>241</v>
      </c>
      <c r="Y67" s="2" t="s">
        <v>89</v>
      </c>
      <c r="Z67" s="2" t="s">
        <v>90</v>
      </c>
      <c r="AA67" s="2" t="s">
        <v>91</v>
      </c>
      <c r="AB67" s="7" t="s">
        <v>108</v>
      </c>
      <c r="AC67" s="8" t="s">
        <v>239</v>
      </c>
    </row>
    <row r="68" spans="1:29">
      <c r="A68" s="2">
        <f>30000000+INDEX(编号表!$B:$B,MATCH(F68,编号表!$A:$A,0))*10000+D68</f>
        <v>30070011</v>
      </c>
      <c r="B68" s="2" t="s">
        <v>242</v>
      </c>
      <c r="C68" s="2" t="s">
        <v>86</v>
      </c>
      <c r="D68" s="2">
        <v>11</v>
      </c>
      <c r="E68" s="2">
        <v>60</v>
      </c>
      <c r="F68" s="2" t="s">
        <v>205</v>
      </c>
      <c r="G68" s="2" t="s">
        <v>61</v>
      </c>
      <c r="H68" s="2" t="s">
        <v>142</v>
      </c>
      <c r="I68" s="2">
        <v>1</v>
      </c>
      <c r="J68" s="2" t="s">
        <v>143</v>
      </c>
      <c r="L68" s="2">
        <v>30000</v>
      </c>
      <c r="M68" s="2" t="s">
        <v>101</v>
      </c>
      <c r="O68" s="2">
        <v>1</v>
      </c>
      <c r="P68" s="2" t="s">
        <v>64</v>
      </c>
      <c r="Q68" s="2">
        <v>999</v>
      </c>
      <c r="R68" s="2" t="s">
        <v>206</v>
      </c>
      <c r="U68" s="2" t="s">
        <v>236</v>
      </c>
      <c r="V68" s="2" t="s">
        <v>237</v>
      </c>
      <c r="W68" s="2">
        <v>34040028</v>
      </c>
      <c r="X68" s="11" t="s">
        <v>243</v>
      </c>
      <c r="Y68" s="2" t="s">
        <v>89</v>
      </c>
      <c r="Z68" s="2" t="s">
        <v>90</v>
      </c>
      <c r="AA68" s="2" t="s">
        <v>91</v>
      </c>
      <c r="AB68" s="7" t="s">
        <v>108</v>
      </c>
      <c r="AC68" s="8" t="s">
        <v>239</v>
      </c>
    </row>
    <row r="69" spans="1:29">
      <c r="A69" s="2">
        <f>30000000+INDEX(编号表!$B:$B,MATCH(F69,编号表!$A:$A,0))*10000+D69</f>
        <v>30070012</v>
      </c>
      <c r="B69" s="2" t="s">
        <v>244</v>
      </c>
      <c r="C69" s="2" t="s">
        <v>86</v>
      </c>
      <c r="D69" s="2">
        <v>12</v>
      </c>
      <c r="E69" s="2">
        <v>60</v>
      </c>
      <c r="F69" s="2" t="s">
        <v>205</v>
      </c>
      <c r="G69" s="2" t="s">
        <v>61</v>
      </c>
      <c r="H69" s="2" t="s">
        <v>142</v>
      </c>
      <c r="I69" s="2">
        <v>1</v>
      </c>
      <c r="J69" s="2" t="s">
        <v>143</v>
      </c>
      <c r="L69" s="2">
        <v>30000</v>
      </c>
      <c r="M69" s="2" t="s">
        <v>101</v>
      </c>
      <c r="O69" s="2">
        <v>1</v>
      </c>
      <c r="P69" s="2" t="s">
        <v>64</v>
      </c>
      <c r="Q69" s="2">
        <v>999</v>
      </c>
      <c r="R69" s="2" t="s">
        <v>206</v>
      </c>
      <c r="U69" s="2" t="s">
        <v>236</v>
      </c>
      <c r="V69" s="2" t="s">
        <v>237</v>
      </c>
      <c r="W69" s="2">
        <v>34040029</v>
      </c>
      <c r="X69" s="11" t="s">
        <v>245</v>
      </c>
      <c r="Y69" s="2" t="s">
        <v>89</v>
      </c>
      <c r="Z69" s="2" t="s">
        <v>90</v>
      </c>
      <c r="AA69" s="2" t="s">
        <v>91</v>
      </c>
      <c r="AB69" s="7" t="s">
        <v>108</v>
      </c>
      <c r="AC69" s="8" t="s">
        <v>239</v>
      </c>
    </row>
    <row r="70" spans="1:29">
      <c r="A70" s="2">
        <f>30000000+INDEX(编号表!$B:$B,MATCH(F70,编号表!$A:$A,0))*10000+D70</f>
        <v>30070013</v>
      </c>
      <c r="B70" s="2" t="s">
        <v>246</v>
      </c>
      <c r="C70" s="2" t="s">
        <v>86</v>
      </c>
      <c r="D70" s="2">
        <v>13</v>
      </c>
      <c r="E70" s="2">
        <v>60</v>
      </c>
      <c r="F70" s="2" t="s">
        <v>205</v>
      </c>
      <c r="G70" s="2" t="s">
        <v>61</v>
      </c>
      <c r="H70" s="2" t="s">
        <v>142</v>
      </c>
      <c r="I70" s="2">
        <v>1</v>
      </c>
      <c r="J70" s="2" t="s">
        <v>143</v>
      </c>
      <c r="L70" s="2">
        <v>30000</v>
      </c>
      <c r="M70" s="2" t="s">
        <v>101</v>
      </c>
      <c r="O70" s="2">
        <v>1</v>
      </c>
      <c r="P70" s="2" t="s">
        <v>64</v>
      </c>
      <c r="Q70" s="2">
        <v>999</v>
      </c>
      <c r="R70" s="2" t="s">
        <v>206</v>
      </c>
      <c r="U70" s="2" t="s">
        <v>236</v>
      </c>
      <c r="V70" s="2" t="s">
        <v>237</v>
      </c>
      <c r="W70" s="2">
        <v>34040030</v>
      </c>
      <c r="X70" s="11" t="s">
        <v>247</v>
      </c>
      <c r="Y70" s="2" t="s">
        <v>89</v>
      </c>
      <c r="Z70" s="2" t="s">
        <v>90</v>
      </c>
      <c r="AA70" s="2" t="s">
        <v>91</v>
      </c>
      <c r="AB70" s="7" t="s">
        <v>108</v>
      </c>
      <c r="AC70" s="8" t="s">
        <v>239</v>
      </c>
    </row>
    <row r="71" spans="1:29">
      <c r="A71" s="2">
        <f>30000000+INDEX(编号表!$B:$B,MATCH(F71,编号表!$A:$A,0))*10000+D71</f>
        <v>30070014</v>
      </c>
      <c r="B71" s="2" t="s">
        <v>248</v>
      </c>
      <c r="C71" s="2" t="s">
        <v>86</v>
      </c>
      <c r="D71" s="2">
        <v>14</v>
      </c>
      <c r="E71" s="2">
        <v>60</v>
      </c>
      <c r="F71" s="2" t="s">
        <v>205</v>
      </c>
      <c r="G71" s="2" t="s">
        <v>61</v>
      </c>
      <c r="H71" s="2" t="s">
        <v>142</v>
      </c>
      <c r="I71" s="2">
        <v>1</v>
      </c>
      <c r="J71" s="2" t="s">
        <v>143</v>
      </c>
      <c r="L71" s="2">
        <v>30000</v>
      </c>
      <c r="M71" s="2" t="s">
        <v>101</v>
      </c>
      <c r="O71" s="2">
        <v>1</v>
      </c>
      <c r="P71" s="2" t="s">
        <v>64</v>
      </c>
      <c r="Q71" s="2">
        <v>999</v>
      </c>
      <c r="R71" s="2" t="s">
        <v>206</v>
      </c>
      <c r="U71" s="2" t="s">
        <v>236</v>
      </c>
      <c r="V71" s="2" t="s">
        <v>237</v>
      </c>
      <c r="W71" s="2">
        <v>34040031</v>
      </c>
      <c r="X71" s="11" t="s">
        <v>249</v>
      </c>
      <c r="Y71" s="2" t="s">
        <v>89</v>
      </c>
      <c r="Z71" s="2" t="s">
        <v>90</v>
      </c>
      <c r="AA71" s="2" t="s">
        <v>91</v>
      </c>
      <c r="AB71" s="7" t="s">
        <v>108</v>
      </c>
      <c r="AC71" s="8" t="s">
        <v>239</v>
      </c>
    </row>
    <row r="72" spans="1:29">
      <c r="A72" s="2">
        <f>30000000+INDEX(编号表!$B:$B,MATCH(F72,编号表!$A:$A,0))*10000+D72</f>
        <v>30070015</v>
      </c>
      <c r="B72" s="2" t="s">
        <v>250</v>
      </c>
      <c r="C72" s="2" t="s">
        <v>86</v>
      </c>
      <c r="D72" s="2">
        <v>15</v>
      </c>
      <c r="E72" s="2">
        <v>60</v>
      </c>
      <c r="F72" s="2" t="s">
        <v>205</v>
      </c>
      <c r="G72" s="2" t="s">
        <v>61</v>
      </c>
      <c r="H72" s="2" t="s">
        <v>142</v>
      </c>
      <c r="I72" s="2">
        <v>1</v>
      </c>
      <c r="J72" s="2" t="s">
        <v>143</v>
      </c>
      <c r="L72" s="2">
        <v>30000</v>
      </c>
      <c r="M72" s="2" t="s">
        <v>101</v>
      </c>
      <c r="O72" s="2">
        <v>1</v>
      </c>
      <c r="P72" s="2" t="s">
        <v>64</v>
      </c>
      <c r="Q72" s="2">
        <v>999</v>
      </c>
      <c r="R72" s="2" t="s">
        <v>206</v>
      </c>
      <c r="U72" s="2" t="s">
        <v>236</v>
      </c>
      <c r="V72" s="2" t="s">
        <v>237</v>
      </c>
      <c r="W72" s="2">
        <v>34040032</v>
      </c>
      <c r="X72" s="11" t="s">
        <v>251</v>
      </c>
      <c r="Y72" s="2" t="s">
        <v>89</v>
      </c>
      <c r="Z72" s="2" t="s">
        <v>90</v>
      </c>
      <c r="AA72" s="2" t="s">
        <v>91</v>
      </c>
      <c r="AB72" s="7" t="s">
        <v>108</v>
      </c>
      <c r="AC72" s="8" t="s">
        <v>239</v>
      </c>
    </row>
    <row r="73" spans="1:29">
      <c r="A73" s="2">
        <f>30000000+INDEX(编号表!$B:$B,MATCH(F73,编号表!$A:$A,0))*10000+D73</f>
        <v>30070016</v>
      </c>
      <c r="B73" s="2" t="s">
        <v>252</v>
      </c>
      <c r="C73" s="2" t="s">
        <v>86</v>
      </c>
      <c r="D73" s="2">
        <v>16</v>
      </c>
      <c r="E73" s="2">
        <v>60</v>
      </c>
      <c r="F73" s="2" t="s">
        <v>205</v>
      </c>
      <c r="G73" s="2" t="s">
        <v>61</v>
      </c>
      <c r="H73" s="2" t="s">
        <v>142</v>
      </c>
      <c r="I73" s="2">
        <v>1</v>
      </c>
      <c r="J73" s="2" t="s">
        <v>143</v>
      </c>
      <c r="L73" s="2">
        <v>30000</v>
      </c>
      <c r="M73" s="2" t="s">
        <v>101</v>
      </c>
      <c r="O73" s="2">
        <v>1</v>
      </c>
      <c r="P73" s="2" t="s">
        <v>64</v>
      </c>
      <c r="Q73" s="2">
        <v>999</v>
      </c>
      <c r="R73" s="2" t="s">
        <v>206</v>
      </c>
      <c r="U73" s="2" t="s">
        <v>236</v>
      </c>
      <c r="V73" s="2" t="s">
        <v>237</v>
      </c>
      <c r="W73" s="2">
        <v>34040033</v>
      </c>
      <c r="X73" s="11" t="s">
        <v>253</v>
      </c>
      <c r="Y73" s="2" t="s">
        <v>89</v>
      </c>
      <c r="Z73" s="2" t="s">
        <v>90</v>
      </c>
      <c r="AA73" s="2" t="s">
        <v>91</v>
      </c>
      <c r="AB73" s="7" t="s">
        <v>108</v>
      </c>
      <c r="AC73" s="8" t="s">
        <v>239</v>
      </c>
    </row>
    <row r="74" spans="1:29">
      <c r="A74" s="2">
        <f>30000000+INDEX(编号表!$B:$B,MATCH(F74,编号表!$A:$A,0))*10000+D74</f>
        <v>30070017</v>
      </c>
      <c r="B74" s="2" t="s">
        <v>254</v>
      </c>
      <c r="C74" s="2" t="s">
        <v>86</v>
      </c>
      <c r="D74" s="2">
        <v>17</v>
      </c>
      <c r="E74" s="2">
        <v>60</v>
      </c>
      <c r="F74" s="2" t="s">
        <v>205</v>
      </c>
      <c r="G74" s="2" t="s">
        <v>61</v>
      </c>
      <c r="H74" s="2" t="s">
        <v>142</v>
      </c>
      <c r="I74" s="2">
        <v>1</v>
      </c>
      <c r="J74" s="2" t="s">
        <v>143</v>
      </c>
      <c r="L74" s="2">
        <v>30000</v>
      </c>
      <c r="M74" s="2" t="s">
        <v>101</v>
      </c>
      <c r="O74" s="2">
        <v>1</v>
      </c>
      <c r="P74" s="2" t="s">
        <v>64</v>
      </c>
      <c r="Q74" s="2">
        <v>999</v>
      </c>
      <c r="R74" s="2" t="s">
        <v>206</v>
      </c>
      <c r="U74" s="2" t="s">
        <v>255</v>
      </c>
      <c r="V74" s="2" t="s">
        <v>233</v>
      </c>
      <c r="W74" s="2">
        <v>34040034</v>
      </c>
      <c r="X74" s="11" t="s">
        <v>256</v>
      </c>
      <c r="Y74" s="2" t="s">
        <v>89</v>
      </c>
      <c r="Z74" s="2" t="s">
        <v>90</v>
      </c>
      <c r="AA74" s="2" t="s">
        <v>91</v>
      </c>
      <c r="AB74" s="7" t="s">
        <v>108</v>
      </c>
      <c r="AC74" s="8" t="s">
        <v>239</v>
      </c>
    </row>
    <row r="75" spans="1:29">
      <c r="A75" s="2">
        <f>30000000+INDEX(编号表!$B:$B,MATCH(F75,编号表!$A:$A,0))*10000+D75</f>
        <v>30070018</v>
      </c>
      <c r="B75" s="2" t="s">
        <v>257</v>
      </c>
      <c r="C75" s="2" t="s">
        <v>86</v>
      </c>
      <c r="D75" s="2">
        <v>18</v>
      </c>
      <c r="E75" s="2">
        <v>60</v>
      </c>
      <c r="F75" s="2" t="s">
        <v>205</v>
      </c>
      <c r="G75" s="2" t="s">
        <v>61</v>
      </c>
      <c r="H75" s="2" t="s">
        <v>142</v>
      </c>
      <c r="I75" s="2">
        <v>1</v>
      </c>
      <c r="J75" s="2" t="s">
        <v>143</v>
      </c>
      <c r="L75" s="2">
        <v>30000</v>
      </c>
      <c r="M75" s="2" t="s">
        <v>101</v>
      </c>
      <c r="O75" s="2">
        <v>1</v>
      </c>
      <c r="P75" s="2" t="s">
        <v>64</v>
      </c>
      <c r="Q75" s="2">
        <v>999</v>
      </c>
      <c r="R75" s="2" t="s">
        <v>206</v>
      </c>
      <c r="U75" s="2" t="s">
        <v>236</v>
      </c>
      <c r="V75" s="2" t="s">
        <v>237</v>
      </c>
      <c r="W75" s="2">
        <v>34040035</v>
      </c>
      <c r="X75" s="11" t="s">
        <v>258</v>
      </c>
      <c r="Y75" s="2" t="s">
        <v>89</v>
      </c>
      <c r="Z75" s="2" t="s">
        <v>90</v>
      </c>
      <c r="AA75" s="2" t="s">
        <v>91</v>
      </c>
      <c r="AB75" s="7" t="s">
        <v>108</v>
      </c>
      <c r="AC75" s="8" t="s">
        <v>259</v>
      </c>
    </row>
    <row r="76" spans="1:29">
      <c r="A76" s="2">
        <f>30000000+INDEX(编号表!$B:$B,MATCH(F76,编号表!$A:$A,0))*10000+D76</f>
        <v>30070019</v>
      </c>
      <c r="B76" s="2" t="s">
        <v>260</v>
      </c>
      <c r="C76" s="2" t="s">
        <v>86</v>
      </c>
      <c r="D76" s="2">
        <v>19</v>
      </c>
      <c r="E76" s="2">
        <v>60</v>
      </c>
      <c r="F76" s="2" t="s">
        <v>205</v>
      </c>
      <c r="G76" s="2" t="s">
        <v>61</v>
      </c>
      <c r="H76" s="2" t="s">
        <v>142</v>
      </c>
      <c r="I76" s="2">
        <v>1</v>
      </c>
      <c r="J76" s="2" t="s">
        <v>143</v>
      </c>
      <c r="L76" s="2">
        <v>30000</v>
      </c>
      <c r="M76" s="2" t="s">
        <v>101</v>
      </c>
      <c r="O76" s="2">
        <v>1</v>
      </c>
      <c r="P76" s="2" t="s">
        <v>64</v>
      </c>
      <c r="Q76" s="2">
        <v>999</v>
      </c>
      <c r="R76" s="2" t="s">
        <v>206</v>
      </c>
      <c r="U76" s="2" t="s">
        <v>236</v>
      </c>
      <c r="V76" s="2" t="s">
        <v>237</v>
      </c>
      <c r="W76" s="2">
        <v>34040036</v>
      </c>
      <c r="X76" s="11" t="s">
        <v>261</v>
      </c>
      <c r="Y76" s="2" t="s">
        <v>89</v>
      </c>
      <c r="Z76" s="2" t="s">
        <v>90</v>
      </c>
      <c r="AA76" s="2" t="s">
        <v>91</v>
      </c>
      <c r="AB76" s="7" t="s">
        <v>108</v>
      </c>
      <c r="AC76" s="8" t="s">
        <v>259</v>
      </c>
    </row>
    <row r="77" spans="1:29">
      <c r="A77" s="2">
        <f>30000000+INDEX(编号表!$B:$B,MATCH(F77,编号表!$A:$A,0))*10000+D77</f>
        <v>30070020</v>
      </c>
      <c r="B77" s="2" t="s">
        <v>262</v>
      </c>
      <c r="C77" s="2" t="s">
        <v>86</v>
      </c>
      <c r="D77" s="2">
        <v>20</v>
      </c>
      <c r="E77" s="2">
        <v>60</v>
      </c>
      <c r="F77" s="2" t="s">
        <v>205</v>
      </c>
      <c r="G77" s="2" t="s">
        <v>61</v>
      </c>
      <c r="H77" s="2" t="s">
        <v>142</v>
      </c>
      <c r="I77" s="2">
        <v>1</v>
      </c>
      <c r="J77" s="2" t="s">
        <v>143</v>
      </c>
      <c r="L77" s="2">
        <v>30000</v>
      </c>
      <c r="M77" s="2" t="s">
        <v>101</v>
      </c>
      <c r="O77" s="2">
        <v>1</v>
      </c>
      <c r="P77" s="2" t="s">
        <v>64</v>
      </c>
      <c r="Q77" s="2">
        <v>999</v>
      </c>
      <c r="R77" s="2" t="s">
        <v>206</v>
      </c>
      <c r="U77" s="2" t="s">
        <v>236</v>
      </c>
      <c r="V77" s="2" t="s">
        <v>237</v>
      </c>
      <c r="W77" s="2">
        <v>34040037</v>
      </c>
      <c r="X77" s="11" t="s">
        <v>263</v>
      </c>
      <c r="Y77" s="2" t="s">
        <v>89</v>
      </c>
      <c r="Z77" s="2" t="s">
        <v>90</v>
      </c>
      <c r="AA77" s="2" t="s">
        <v>91</v>
      </c>
      <c r="AB77" s="7" t="s">
        <v>108</v>
      </c>
      <c r="AC77" s="8" t="s">
        <v>259</v>
      </c>
    </row>
    <row r="78" spans="1:29">
      <c r="A78" s="2">
        <f>30000000+INDEX(编号表!$B:$B,MATCH(F78,编号表!$A:$A,0))*10000+D78</f>
        <v>30070021</v>
      </c>
      <c r="B78" s="2" t="s">
        <v>264</v>
      </c>
      <c r="C78" s="2" t="s">
        <v>86</v>
      </c>
      <c r="D78" s="2">
        <v>21</v>
      </c>
      <c r="E78" s="2">
        <v>60</v>
      </c>
      <c r="F78" s="2" t="s">
        <v>205</v>
      </c>
      <c r="G78" s="2" t="s">
        <v>61</v>
      </c>
      <c r="H78" s="2" t="s">
        <v>142</v>
      </c>
      <c r="I78" s="2">
        <v>1</v>
      </c>
      <c r="J78" s="2" t="s">
        <v>143</v>
      </c>
      <c r="L78" s="2">
        <v>30000</v>
      </c>
      <c r="M78" s="2" t="s">
        <v>101</v>
      </c>
      <c r="O78" s="2">
        <v>1</v>
      </c>
      <c r="P78" s="2" t="s">
        <v>64</v>
      </c>
      <c r="Q78" s="2">
        <v>999</v>
      </c>
      <c r="R78" s="2" t="s">
        <v>206</v>
      </c>
      <c r="U78" s="2" t="s">
        <v>236</v>
      </c>
      <c r="V78" s="2" t="s">
        <v>237</v>
      </c>
      <c r="W78" s="2">
        <v>34040038</v>
      </c>
      <c r="X78" s="11" t="s">
        <v>265</v>
      </c>
      <c r="Y78" s="2" t="s">
        <v>89</v>
      </c>
      <c r="Z78" s="2" t="s">
        <v>90</v>
      </c>
      <c r="AA78" s="2" t="s">
        <v>91</v>
      </c>
      <c r="AB78" s="7" t="s">
        <v>108</v>
      </c>
      <c r="AC78" s="8" t="s">
        <v>259</v>
      </c>
    </row>
    <row r="79" spans="1:29">
      <c r="A79" s="2">
        <f>30000000+INDEX(编号表!$B:$B,MATCH(F79,编号表!$A:$A,0))*10000+D79</f>
        <v>30070022</v>
      </c>
      <c r="B79" s="2" t="s">
        <v>266</v>
      </c>
      <c r="C79" s="2" t="s">
        <v>86</v>
      </c>
      <c r="D79" s="2">
        <v>22</v>
      </c>
      <c r="E79" s="2">
        <v>60</v>
      </c>
      <c r="F79" s="2" t="s">
        <v>205</v>
      </c>
      <c r="G79" s="2" t="s">
        <v>61</v>
      </c>
      <c r="H79" s="2" t="s">
        <v>142</v>
      </c>
      <c r="I79" s="2">
        <v>1</v>
      </c>
      <c r="J79" s="2" t="s">
        <v>143</v>
      </c>
      <c r="L79" s="2">
        <v>30000</v>
      </c>
      <c r="M79" s="2" t="s">
        <v>101</v>
      </c>
      <c r="O79" s="2">
        <v>1</v>
      </c>
      <c r="P79" s="2" t="s">
        <v>64</v>
      </c>
      <c r="Q79" s="2">
        <v>999</v>
      </c>
      <c r="R79" s="2" t="s">
        <v>206</v>
      </c>
      <c r="U79" s="2" t="s">
        <v>236</v>
      </c>
      <c r="V79" s="2" t="s">
        <v>237</v>
      </c>
      <c r="W79" s="2">
        <v>34040039</v>
      </c>
      <c r="X79" s="11" t="s">
        <v>267</v>
      </c>
      <c r="Y79" s="2" t="s">
        <v>89</v>
      </c>
      <c r="Z79" s="2" t="s">
        <v>90</v>
      </c>
      <c r="AA79" s="2" t="s">
        <v>91</v>
      </c>
      <c r="AB79" s="7" t="s">
        <v>108</v>
      </c>
      <c r="AC79" s="8" t="s">
        <v>259</v>
      </c>
    </row>
    <row r="80" spans="1:29">
      <c r="A80" s="2">
        <f>30000000+INDEX(编号表!$B:$B,MATCH(F80,编号表!$A:$A,0))*10000+D80</f>
        <v>30070023</v>
      </c>
      <c r="B80" s="2" t="s">
        <v>268</v>
      </c>
      <c r="C80" s="2" t="s">
        <v>86</v>
      </c>
      <c r="D80" s="2">
        <v>23</v>
      </c>
      <c r="E80" s="2">
        <v>60</v>
      </c>
      <c r="F80" s="2" t="s">
        <v>205</v>
      </c>
      <c r="G80" s="2" t="s">
        <v>61</v>
      </c>
      <c r="H80" s="2" t="s">
        <v>142</v>
      </c>
      <c r="I80" s="2">
        <v>1</v>
      </c>
      <c r="J80" s="2" t="s">
        <v>143</v>
      </c>
      <c r="L80" s="2">
        <v>30000</v>
      </c>
      <c r="M80" s="2" t="s">
        <v>101</v>
      </c>
      <c r="O80" s="2">
        <v>1</v>
      </c>
      <c r="P80" s="2" t="s">
        <v>64</v>
      </c>
      <c r="Q80" s="2">
        <v>999</v>
      </c>
      <c r="R80" s="2" t="s">
        <v>206</v>
      </c>
      <c r="U80" s="2" t="s">
        <v>236</v>
      </c>
      <c r="V80" s="2" t="s">
        <v>237</v>
      </c>
      <c r="W80" s="2">
        <v>34040040</v>
      </c>
      <c r="X80" s="11" t="s">
        <v>269</v>
      </c>
      <c r="Y80" s="2" t="s">
        <v>89</v>
      </c>
      <c r="Z80" s="2" t="s">
        <v>90</v>
      </c>
      <c r="AA80" s="2" t="s">
        <v>91</v>
      </c>
      <c r="AB80" s="7" t="s">
        <v>108</v>
      </c>
      <c r="AC80" s="8" t="s">
        <v>259</v>
      </c>
    </row>
    <row r="81" spans="1:29">
      <c r="A81" s="2">
        <f>30000000+INDEX(编号表!$B:$B,MATCH(F81,编号表!$A:$A,0))*10000+D81</f>
        <v>30070024</v>
      </c>
      <c r="B81" s="2" t="s">
        <v>270</v>
      </c>
      <c r="C81" s="2" t="s">
        <v>86</v>
      </c>
      <c r="D81" s="2">
        <v>24</v>
      </c>
      <c r="E81" s="2">
        <v>60</v>
      </c>
      <c r="F81" s="2" t="s">
        <v>205</v>
      </c>
      <c r="G81" s="2" t="s">
        <v>61</v>
      </c>
      <c r="H81" s="2" t="s">
        <v>142</v>
      </c>
      <c r="I81" s="2">
        <v>1</v>
      </c>
      <c r="J81" s="2" t="s">
        <v>143</v>
      </c>
      <c r="L81" s="2">
        <v>30000</v>
      </c>
      <c r="M81" s="2" t="s">
        <v>101</v>
      </c>
      <c r="O81" s="2">
        <v>1</v>
      </c>
      <c r="P81" s="2" t="s">
        <v>64</v>
      </c>
      <c r="Q81" s="2">
        <v>999</v>
      </c>
      <c r="R81" s="2" t="s">
        <v>206</v>
      </c>
      <c r="U81" s="2" t="s">
        <v>236</v>
      </c>
      <c r="V81" s="2" t="s">
        <v>237</v>
      </c>
      <c r="W81" s="2">
        <v>34040041</v>
      </c>
      <c r="X81" s="11" t="s">
        <v>271</v>
      </c>
      <c r="Y81" s="2" t="s">
        <v>89</v>
      </c>
      <c r="Z81" s="2" t="s">
        <v>90</v>
      </c>
      <c r="AA81" s="2" t="s">
        <v>91</v>
      </c>
      <c r="AB81" s="7" t="s">
        <v>108</v>
      </c>
      <c r="AC81" s="8" t="s">
        <v>259</v>
      </c>
    </row>
    <row r="82" spans="1:29">
      <c r="A82" s="2">
        <f>30000000+INDEX(编号表!$B:$B,MATCH(F82,编号表!$A:$A,0))*10000+D82</f>
        <v>30070025</v>
      </c>
      <c r="B82" s="2" t="s">
        <v>272</v>
      </c>
      <c r="C82" s="2" t="s">
        <v>86</v>
      </c>
      <c r="D82" s="2">
        <v>25</v>
      </c>
      <c r="E82" s="2">
        <v>60</v>
      </c>
      <c r="F82" s="2" t="s">
        <v>205</v>
      </c>
      <c r="G82" s="2" t="s">
        <v>61</v>
      </c>
      <c r="H82" s="2" t="s">
        <v>142</v>
      </c>
      <c r="I82" s="2">
        <v>1</v>
      </c>
      <c r="J82" s="2" t="s">
        <v>143</v>
      </c>
      <c r="L82" s="2">
        <v>30000</v>
      </c>
      <c r="M82" s="2" t="s">
        <v>101</v>
      </c>
      <c r="O82" s="2">
        <v>1</v>
      </c>
      <c r="P82" s="2" t="s">
        <v>64</v>
      </c>
      <c r="Q82" s="2">
        <v>999</v>
      </c>
      <c r="R82" s="2" t="s">
        <v>206</v>
      </c>
      <c r="U82" s="2" t="s">
        <v>236</v>
      </c>
      <c r="V82" s="2" t="s">
        <v>237</v>
      </c>
      <c r="W82" s="2">
        <v>34040042</v>
      </c>
      <c r="X82" s="11" t="s">
        <v>273</v>
      </c>
      <c r="Y82" s="2" t="s">
        <v>89</v>
      </c>
      <c r="Z82" s="2" t="s">
        <v>90</v>
      </c>
      <c r="AA82" s="2" t="s">
        <v>91</v>
      </c>
      <c r="AB82" s="7" t="s">
        <v>108</v>
      </c>
      <c r="AC82" s="8" t="s">
        <v>259</v>
      </c>
    </row>
    <row r="83" spans="1:29">
      <c r="A83" s="2">
        <f>30000000+INDEX(编号表!$B:$B,MATCH(F83,编号表!$A:$A,0))*10000+D83</f>
        <v>30070026</v>
      </c>
      <c r="B83" s="2" t="s">
        <v>274</v>
      </c>
      <c r="C83" s="2" t="s">
        <v>86</v>
      </c>
      <c r="D83" s="2">
        <v>26</v>
      </c>
      <c r="E83" s="2">
        <v>60</v>
      </c>
      <c r="F83" s="2" t="s">
        <v>205</v>
      </c>
      <c r="G83" s="2" t="s">
        <v>61</v>
      </c>
      <c r="H83" s="2" t="s">
        <v>142</v>
      </c>
      <c r="I83" s="2">
        <v>1</v>
      </c>
      <c r="J83" s="2" t="s">
        <v>143</v>
      </c>
      <c r="L83" s="2">
        <v>30000</v>
      </c>
      <c r="M83" s="2" t="s">
        <v>101</v>
      </c>
      <c r="O83" s="2">
        <v>1</v>
      </c>
      <c r="P83" s="2" t="s">
        <v>64</v>
      </c>
      <c r="Q83" s="2">
        <v>999</v>
      </c>
      <c r="R83" s="2" t="s">
        <v>206</v>
      </c>
      <c r="U83" s="2" t="s">
        <v>236</v>
      </c>
      <c r="V83" s="2" t="s">
        <v>237</v>
      </c>
      <c r="W83" s="2">
        <v>34040043</v>
      </c>
      <c r="X83" s="11" t="s">
        <v>275</v>
      </c>
      <c r="Y83" s="2" t="s">
        <v>89</v>
      </c>
      <c r="Z83" s="2" t="s">
        <v>90</v>
      </c>
      <c r="AA83" s="2" t="s">
        <v>91</v>
      </c>
      <c r="AB83" s="7" t="s">
        <v>108</v>
      </c>
      <c r="AC83" s="8" t="s">
        <v>259</v>
      </c>
    </row>
    <row r="84" spans="1:29">
      <c r="A84" s="2">
        <f>30000000+INDEX(编号表!$B:$B,MATCH(F84,编号表!$A:$A,0))*10000+D84</f>
        <v>30070027</v>
      </c>
      <c r="B84" s="2" t="s">
        <v>276</v>
      </c>
      <c r="C84" s="2" t="s">
        <v>86</v>
      </c>
      <c r="D84" s="2">
        <v>27</v>
      </c>
      <c r="E84" s="2">
        <v>60</v>
      </c>
      <c r="F84" s="2" t="s">
        <v>205</v>
      </c>
      <c r="G84" s="2" t="s">
        <v>61</v>
      </c>
      <c r="H84" s="2" t="s">
        <v>142</v>
      </c>
      <c r="I84" s="2">
        <v>1</v>
      </c>
      <c r="J84" s="2" t="s">
        <v>143</v>
      </c>
      <c r="L84" s="2">
        <v>30000</v>
      </c>
      <c r="M84" s="2" t="s">
        <v>101</v>
      </c>
      <c r="O84" s="2">
        <v>1</v>
      </c>
      <c r="P84" s="2" t="s">
        <v>64</v>
      </c>
      <c r="Q84" s="2">
        <v>999</v>
      </c>
      <c r="R84" s="2" t="s">
        <v>206</v>
      </c>
      <c r="U84" s="2" t="s">
        <v>277</v>
      </c>
      <c r="V84" s="2" t="s">
        <v>233</v>
      </c>
      <c r="W84" s="2">
        <v>34040044</v>
      </c>
      <c r="X84" s="11" t="s">
        <v>278</v>
      </c>
      <c r="Y84" s="2" t="s">
        <v>89</v>
      </c>
      <c r="Z84" s="2" t="s">
        <v>90</v>
      </c>
      <c r="AA84" s="2" t="s">
        <v>91</v>
      </c>
      <c r="AB84" s="7" t="s">
        <v>108</v>
      </c>
      <c r="AC84" s="8" t="s">
        <v>259</v>
      </c>
    </row>
    <row r="85" spans="1:29">
      <c r="A85" s="2">
        <v>31060000</v>
      </c>
      <c r="B85" s="2" t="s">
        <v>279</v>
      </c>
      <c r="C85" s="2" t="s">
        <v>59</v>
      </c>
      <c r="D85" s="2">
        <v>0</v>
      </c>
      <c r="E85" s="2">
        <v>60</v>
      </c>
      <c r="F85" s="2" t="s">
        <v>280</v>
      </c>
      <c r="G85" s="2" t="s">
        <v>61</v>
      </c>
      <c r="H85" s="2" t="s">
        <v>142</v>
      </c>
      <c r="I85" s="2">
        <v>1</v>
      </c>
      <c r="J85" s="2" t="s">
        <v>143</v>
      </c>
      <c r="L85" s="2">
        <v>30000</v>
      </c>
      <c r="M85" s="2" t="s">
        <v>101</v>
      </c>
      <c r="O85" s="2">
        <v>1</v>
      </c>
      <c r="P85" s="2" t="s">
        <v>64</v>
      </c>
      <c r="Q85" s="2">
        <v>999</v>
      </c>
      <c r="R85" s="2" t="s">
        <v>196</v>
      </c>
      <c r="U85" s="2" t="s">
        <v>281</v>
      </c>
      <c r="V85" s="2" t="s">
        <v>139</v>
      </c>
      <c r="W85" s="2">
        <v>34040045</v>
      </c>
      <c r="X85" s="2" t="s">
        <v>282</v>
      </c>
      <c r="AB85" s="7" t="s">
        <v>108</v>
      </c>
      <c r="AC85" s="2" t="s">
        <v>283</v>
      </c>
    </row>
    <row r="86" spans="1:29">
      <c r="A86" s="2">
        <v>31060001</v>
      </c>
      <c r="B86" s="2" t="s">
        <v>284</v>
      </c>
      <c r="C86" s="2" t="s">
        <v>59</v>
      </c>
      <c r="D86" s="2">
        <v>1</v>
      </c>
      <c r="E86" s="2">
        <v>60</v>
      </c>
      <c r="F86" s="2" t="s">
        <v>280</v>
      </c>
      <c r="G86" s="2" t="s">
        <v>61</v>
      </c>
      <c r="H86" s="2" t="s">
        <v>142</v>
      </c>
      <c r="I86" s="2">
        <v>1</v>
      </c>
      <c r="J86" s="2" t="s">
        <v>143</v>
      </c>
      <c r="L86" s="2">
        <v>30000</v>
      </c>
      <c r="M86" s="2" t="s">
        <v>101</v>
      </c>
      <c r="O86" s="2">
        <v>1</v>
      </c>
      <c r="P86" s="2" t="s">
        <v>64</v>
      </c>
      <c r="Q86" s="2">
        <v>999</v>
      </c>
      <c r="R86" s="2" t="s">
        <v>196</v>
      </c>
      <c r="U86" s="2" t="s">
        <v>281</v>
      </c>
      <c r="V86" s="2" t="s">
        <v>139</v>
      </c>
      <c r="W86" s="2">
        <v>34040046</v>
      </c>
      <c r="X86" s="2" t="s">
        <v>285</v>
      </c>
      <c r="AB86" s="7" t="s">
        <v>108</v>
      </c>
      <c r="AC86" s="2" t="s">
        <v>283</v>
      </c>
    </row>
    <row r="87" spans="1:29">
      <c r="A87" s="2">
        <v>31060002</v>
      </c>
      <c r="B87" s="2" t="s">
        <v>286</v>
      </c>
      <c r="C87" s="2" t="s">
        <v>59</v>
      </c>
      <c r="D87" s="2">
        <v>2</v>
      </c>
      <c r="E87" s="2">
        <v>60</v>
      </c>
      <c r="F87" s="2" t="s">
        <v>280</v>
      </c>
      <c r="G87" s="2" t="s">
        <v>61</v>
      </c>
      <c r="H87" s="2" t="s">
        <v>142</v>
      </c>
      <c r="I87" s="2">
        <v>1</v>
      </c>
      <c r="J87" s="2" t="s">
        <v>143</v>
      </c>
      <c r="L87" s="2">
        <v>30000</v>
      </c>
      <c r="M87" s="2" t="s">
        <v>101</v>
      </c>
      <c r="O87" s="2">
        <v>1</v>
      </c>
      <c r="P87" s="2" t="s">
        <v>64</v>
      </c>
      <c r="Q87" s="2">
        <v>999</v>
      </c>
      <c r="R87" s="2" t="s">
        <v>196</v>
      </c>
      <c r="U87" s="2" t="s">
        <v>281</v>
      </c>
      <c r="V87" s="2" t="s">
        <v>139</v>
      </c>
      <c r="W87" s="2">
        <v>34040047</v>
      </c>
      <c r="X87" s="2" t="s">
        <v>287</v>
      </c>
      <c r="AB87" s="7" t="s">
        <v>108</v>
      </c>
      <c r="AC87" s="2" t="s">
        <v>283</v>
      </c>
    </row>
    <row r="88" spans="1:29">
      <c r="A88" s="2">
        <v>31060003</v>
      </c>
      <c r="B88" s="2" t="s">
        <v>288</v>
      </c>
      <c r="C88" s="2" t="s">
        <v>59</v>
      </c>
      <c r="D88" s="2">
        <v>3</v>
      </c>
      <c r="E88" s="2">
        <v>60</v>
      </c>
      <c r="F88" s="2" t="s">
        <v>280</v>
      </c>
      <c r="G88" s="2" t="s">
        <v>61</v>
      </c>
      <c r="H88" s="2" t="s">
        <v>142</v>
      </c>
      <c r="I88" s="2">
        <v>1</v>
      </c>
      <c r="J88" s="2" t="s">
        <v>143</v>
      </c>
      <c r="L88" s="2">
        <v>30000</v>
      </c>
      <c r="M88" s="2" t="s">
        <v>101</v>
      </c>
      <c r="O88" s="2">
        <v>1</v>
      </c>
      <c r="P88" s="2" t="s">
        <v>64</v>
      </c>
      <c r="Q88" s="2">
        <v>999</v>
      </c>
      <c r="R88" s="2" t="s">
        <v>196</v>
      </c>
      <c r="U88" s="2" t="s">
        <v>281</v>
      </c>
      <c r="V88" s="2" t="s">
        <v>139</v>
      </c>
      <c r="W88" s="2">
        <v>34040048</v>
      </c>
      <c r="X88" s="2" t="s">
        <v>289</v>
      </c>
      <c r="AB88" s="7" t="s">
        <v>108</v>
      </c>
      <c r="AC88" s="2" t="s">
        <v>283</v>
      </c>
    </row>
    <row r="89" spans="1:29">
      <c r="A89" s="2">
        <v>34050001</v>
      </c>
      <c r="B89" s="2" t="s">
        <v>290</v>
      </c>
      <c r="C89" s="2" t="s">
        <v>59</v>
      </c>
      <c r="D89" s="2">
        <v>1</v>
      </c>
      <c r="E89" s="2">
        <v>60</v>
      </c>
      <c r="F89" s="2" t="s">
        <v>291</v>
      </c>
      <c r="G89" s="2" t="s">
        <v>61</v>
      </c>
      <c r="H89" s="2" t="s">
        <v>292</v>
      </c>
      <c r="I89" s="2">
        <v>1</v>
      </c>
      <c r="J89" s="2" t="s">
        <v>291</v>
      </c>
      <c r="L89" s="2">
        <v>30000</v>
      </c>
      <c r="M89" s="2" t="s">
        <v>101</v>
      </c>
      <c r="O89" s="2">
        <v>1</v>
      </c>
      <c r="P89" s="2" t="s">
        <v>64</v>
      </c>
      <c r="Q89" s="2">
        <v>999</v>
      </c>
      <c r="R89" s="2" t="s">
        <v>293</v>
      </c>
      <c r="S89" s="2">
        <v>21001801</v>
      </c>
      <c r="U89" s="2" t="s">
        <v>294</v>
      </c>
      <c r="V89" s="2" t="s">
        <v>103</v>
      </c>
      <c r="W89" s="2">
        <v>34050001</v>
      </c>
      <c r="X89" s="9" t="s">
        <v>181</v>
      </c>
      <c r="AB89" s="8" t="s">
        <v>295</v>
      </c>
      <c r="AC89" s="8" t="s">
        <v>290</v>
      </c>
    </row>
    <row r="90" spans="1:29">
      <c r="A90" s="2">
        <v>34050002</v>
      </c>
      <c r="B90" s="2" t="s">
        <v>296</v>
      </c>
      <c r="C90" s="2" t="s">
        <v>59</v>
      </c>
      <c r="D90" s="2">
        <v>2</v>
      </c>
      <c r="E90" s="2">
        <v>60</v>
      </c>
      <c r="F90" s="2" t="s">
        <v>291</v>
      </c>
      <c r="G90" s="2" t="s">
        <v>61</v>
      </c>
      <c r="H90" s="2" t="s">
        <v>292</v>
      </c>
      <c r="I90" s="2">
        <v>1</v>
      </c>
      <c r="J90" s="2" t="s">
        <v>291</v>
      </c>
      <c r="L90" s="2">
        <v>30000</v>
      </c>
      <c r="M90" s="2" t="s">
        <v>101</v>
      </c>
      <c r="O90" s="2">
        <v>10</v>
      </c>
      <c r="P90" s="2" t="s">
        <v>64</v>
      </c>
      <c r="Q90" s="2">
        <v>999</v>
      </c>
      <c r="R90" s="2" t="s">
        <v>293</v>
      </c>
      <c r="S90" s="2">
        <v>21001802</v>
      </c>
      <c r="U90" s="2" t="s">
        <v>297</v>
      </c>
      <c r="V90" s="2" t="s">
        <v>112</v>
      </c>
      <c r="W90" s="2">
        <v>34050002</v>
      </c>
      <c r="X90" s="9" t="s">
        <v>298</v>
      </c>
      <c r="AB90" s="8" t="s">
        <v>295</v>
      </c>
      <c r="AC90" s="8" t="s">
        <v>296</v>
      </c>
    </row>
    <row r="91" spans="1:29">
      <c r="A91" s="2">
        <v>34050003</v>
      </c>
      <c r="B91" s="2" t="s">
        <v>299</v>
      </c>
      <c r="C91" s="2" t="s">
        <v>59</v>
      </c>
      <c r="D91" s="2">
        <v>3</v>
      </c>
      <c r="E91" s="2">
        <v>60</v>
      </c>
      <c r="F91" s="2" t="s">
        <v>291</v>
      </c>
      <c r="G91" s="2" t="s">
        <v>61</v>
      </c>
      <c r="H91" s="2" t="s">
        <v>292</v>
      </c>
      <c r="I91" s="2">
        <v>1</v>
      </c>
      <c r="J91" s="2" t="s">
        <v>291</v>
      </c>
      <c r="L91" s="2">
        <v>30000</v>
      </c>
      <c r="M91" s="2" t="s">
        <v>101</v>
      </c>
      <c r="O91" s="2">
        <v>20</v>
      </c>
      <c r="P91" s="2" t="s">
        <v>64</v>
      </c>
      <c r="Q91" s="2">
        <v>999</v>
      </c>
      <c r="R91" s="2" t="s">
        <v>293</v>
      </c>
      <c r="S91" s="2">
        <v>21001803</v>
      </c>
      <c r="U91" s="2" t="s">
        <v>300</v>
      </c>
      <c r="V91" s="2" t="s">
        <v>115</v>
      </c>
      <c r="W91" s="2">
        <v>34050003</v>
      </c>
      <c r="X91" s="9" t="s">
        <v>301</v>
      </c>
      <c r="AB91" s="8" t="s">
        <v>295</v>
      </c>
      <c r="AC91" s="8" t="s">
        <v>299</v>
      </c>
    </row>
    <row r="92" ht="16.5" spans="1:29">
      <c r="A92" s="2">
        <v>34050004</v>
      </c>
      <c r="B92" s="2" t="s">
        <v>302</v>
      </c>
      <c r="C92" s="2" t="s">
        <v>59</v>
      </c>
      <c r="D92" s="2">
        <v>4</v>
      </c>
      <c r="E92" s="2">
        <v>60</v>
      </c>
      <c r="F92" s="2" t="s">
        <v>291</v>
      </c>
      <c r="G92" s="2" t="s">
        <v>61</v>
      </c>
      <c r="H92" s="2" t="s">
        <v>292</v>
      </c>
      <c r="I92" s="2">
        <v>1</v>
      </c>
      <c r="J92" s="2" t="s">
        <v>291</v>
      </c>
      <c r="L92" s="2">
        <v>30000</v>
      </c>
      <c r="M92" s="2" t="s">
        <v>101</v>
      </c>
      <c r="O92" s="2">
        <v>1</v>
      </c>
      <c r="P92" s="2" t="s">
        <v>64</v>
      </c>
      <c r="Q92" s="2">
        <v>999</v>
      </c>
      <c r="R92" s="2" t="s">
        <v>303</v>
      </c>
      <c r="S92" s="2">
        <v>21001701</v>
      </c>
      <c r="U92" s="2" t="s">
        <v>304</v>
      </c>
      <c r="V92" s="2" t="s">
        <v>103</v>
      </c>
      <c r="W92" s="2">
        <v>34050004</v>
      </c>
      <c r="X92" s="12" t="s">
        <v>305</v>
      </c>
      <c r="AB92" s="8" t="s">
        <v>295</v>
      </c>
      <c r="AC92" s="8" t="s">
        <v>306</v>
      </c>
    </row>
    <row r="93" ht="16.5" spans="1:29">
      <c r="A93" s="2">
        <v>34050005</v>
      </c>
      <c r="B93" s="2" t="s">
        <v>307</v>
      </c>
      <c r="C93" s="2" t="s">
        <v>59</v>
      </c>
      <c r="D93" s="2">
        <v>5</v>
      </c>
      <c r="E93" s="2">
        <v>60</v>
      </c>
      <c r="F93" s="2" t="s">
        <v>291</v>
      </c>
      <c r="G93" s="2" t="s">
        <v>61</v>
      </c>
      <c r="H93" s="2" t="s">
        <v>292</v>
      </c>
      <c r="I93" s="2">
        <v>1</v>
      </c>
      <c r="J93" s="2" t="s">
        <v>291</v>
      </c>
      <c r="L93" s="2">
        <v>30000</v>
      </c>
      <c r="M93" s="2" t="s">
        <v>101</v>
      </c>
      <c r="O93" s="2">
        <v>10</v>
      </c>
      <c r="P93" s="2" t="s">
        <v>64</v>
      </c>
      <c r="Q93" s="2">
        <v>999</v>
      </c>
      <c r="R93" s="2" t="s">
        <v>303</v>
      </c>
      <c r="S93" s="2">
        <v>21001702</v>
      </c>
      <c r="U93" s="2" t="s">
        <v>308</v>
      </c>
      <c r="V93" s="2" t="s">
        <v>112</v>
      </c>
      <c r="W93" s="2">
        <v>34050005</v>
      </c>
      <c r="X93" s="12" t="s">
        <v>309</v>
      </c>
      <c r="AB93" s="8" t="s">
        <v>295</v>
      </c>
      <c r="AC93" s="8" t="s">
        <v>310</v>
      </c>
    </row>
    <row r="94" ht="16.5" spans="1:29">
      <c r="A94" s="2">
        <v>34050006</v>
      </c>
      <c r="B94" s="2" t="s">
        <v>311</v>
      </c>
      <c r="C94" s="2" t="s">
        <v>59</v>
      </c>
      <c r="D94" s="2">
        <v>6</v>
      </c>
      <c r="E94" s="2">
        <v>60</v>
      </c>
      <c r="F94" s="2" t="s">
        <v>291</v>
      </c>
      <c r="G94" s="2" t="s">
        <v>61</v>
      </c>
      <c r="H94" s="2" t="s">
        <v>292</v>
      </c>
      <c r="I94" s="2">
        <v>1</v>
      </c>
      <c r="J94" s="2" t="s">
        <v>291</v>
      </c>
      <c r="L94" s="2">
        <v>30000</v>
      </c>
      <c r="M94" s="2" t="s">
        <v>101</v>
      </c>
      <c r="O94" s="2">
        <v>20</v>
      </c>
      <c r="P94" s="2" t="s">
        <v>64</v>
      </c>
      <c r="Q94" s="2">
        <v>999</v>
      </c>
      <c r="R94" s="2" t="s">
        <v>303</v>
      </c>
      <c r="S94" s="2">
        <v>21001703</v>
      </c>
      <c r="U94" s="2" t="s">
        <v>312</v>
      </c>
      <c r="V94" s="2" t="s">
        <v>115</v>
      </c>
      <c r="W94" s="2">
        <v>34050006</v>
      </c>
      <c r="X94" s="12" t="s">
        <v>313</v>
      </c>
      <c r="AB94" s="8" t="s">
        <v>295</v>
      </c>
      <c r="AC94" s="8" t="s">
        <v>314</v>
      </c>
    </row>
    <row r="95" ht="16.5" spans="1:29">
      <c r="A95" s="2">
        <v>34050007</v>
      </c>
      <c r="B95" s="2" t="s">
        <v>306</v>
      </c>
      <c r="C95" s="2" t="s">
        <v>59</v>
      </c>
      <c r="D95" s="2">
        <v>7</v>
      </c>
      <c r="E95" s="2">
        <v>60</v>
      </c>
      <c r="F95" s="2" t="s">
        <v>291</v>
      </c>
      <c r="G95" s="2" t="s">
        <v>61</v>
      </c>
      <c r="H95" s="2" t="s">
        <v>292</v>
      </c>
      <c r="I95" s="2">
        <v>1</v>
      </c>
      <c r="J95" s="2" t="s">
        <v>291</v>
      </c>
      <c r="L95" s="2">
        <v>60000</v>
      </c>
      <c r="M95" s="2" t="s">
        <v>101</v>
      </c>
      <c r="O95" s="2">
        <v>20</v>
      </c>
      <c r="P95" s="2" t="s">
        <v>64</v>
      </c>
      <c r="Q95" s="2">
        <v>999</v>
      </c>
      <c r="R95" s="2" t="s">
        <v>303</v>
      </c>
      <c r="S95" s="2">
        <v>21003701</v>
      </c>
      <c r="U95" s="2" t="s">
        <v>315</v>
      </c>
      <c r="V95" s="2" t="s">
        <v>115</v>
      </c>
      <c r="W95" s="2">
        <v>34050007</v>
      </c>
      <c r="X95" s="12" t="s">
        <v>316</v>
      </c>
      <c r="AB95" s="8" t="s">
        <v>295</v>
      </c>
      <c r="AC95" s="8" t="s">
        <v>306</v>
      </c>
    </row>
    <row r="96" ht="16.5" spans="1:29">
      <c r="A96" s="2">
        <v>34050008</v>
      </c>
      <c r="B96" s="2" t="s">
        <v>310</v>
      </c>
      <c r="C96" s="2" t="s">
        <v>59</v>
      </c>
      <c r="D96" s="2">
        <v>8</v>
      </c>
      <c r="E96" s="2">
        <v>60</v>
      </c>
      <c r="F96" s="2" t="s">
        <v>291</v>
      </c>
      <c r="G96" s="2" t="s">
        <v>61</v>
      </c>
      <c r="H96" s="2" t="s">
        <v>292</v>
      </c>
      <c r="I96" s="2">
        <v>1</v>
      </c>
      <c r="J96" s="2" t="s">
        <v>291</v>
      </c>
      <c r="L96" s="2">
        <v>60000</v>
      </c>
      <c r="M96" s="2" t="s">
        <v>101</v>
      </c>
      <c r="O96" s="2">
        <v>20</v>
      </c>
      <c r="P96" s="2" t="s">
        <v>64</v>
      </c>
      <c r="Q96" s="2">
        <v>999</v>
      </c>
      <c r="R96" s="2" t="s">
        <v>303</v>
      </c>
      <c r="S96" s="2">
        <v>21003702</v>
      </c>
      <c r="U96" s="2" t="s">
        <v>315</v>
      </c>
      <c r="V96" s="2" t="s">
        <v>115</v>
      </c>
      <c r="W96" s="2">
        <v>34050008</v>
      </c>
      <c r="X96" s="12" t="s">
        <v>317</v>
      </c>
      <c r="AB96" s="8" t="s">
        <v>295</v>
      </c>
      <c r="AC96" s="8" t="s">
        <v>310</v>
      </c>
    </row>
    <row r="97" ht="16.5" spans="1:29">
      <c r="A97" s="2">
        <v>34050009</v>
      </c>
      <c r="B97" s="2" t="s">
        <v>314</v>
      </c>
      <c r="C97" s="2" t="s">
        <v>59</v>
      </c>
      <c r="D97" s="2">
        <v>9</v>
      </c>
      <c r="E97" s="2">
        <v>60</v>
      </c>
      <c r="F97" s="2" t="s">
        <v>291</v>
      </c>
      <c r="G97" s="2" t="s">
        <v>61</v>
      </c>
      <c r="H97" s="2" t="s">
        <v>292</v>
      </c>
      <c r="I97" s="2">
        <v>1</v>
      </c>
      <c r="J97" s="2" t="s">
        <v>291</v>
      </c>
      <c r="L97" s="2">
        <v>60000</v>
      </c>
      <c r="M97" s="2" t="s">
        <v>101</v>
      </c>
      <c r="O97" s="2">
        <v>20</v>
      </c>
      <c r="P97" s="2" t="s">
        <v>64</v>
      </c>
      <c r="Q97" s="2">
        <v>999</v>
      </c>
      <c r="R97" s="2" t="s">
        <v>303</v>
      </c>
      <c r="S97" s="2">
        <v>21003703</v>
      </c>
      <c r="U97" s="2" t="s">
        <v>315</v>
      </c>
      <c r="V97" s="2" t="s">
        <v>115</v>
      </c>
      <c r="W97" s="2">
        <v>34050009</v>
      </c>
      <c r="X97" s="12" t="s">
        <v>318</v>
      </c>
      <c r="AB97" s="8" t="s">
        <v>295</v>
      </c>
      <c r="AC97" s="8" t="s">
        <v>314</v>
      </c>
    </row>
    <row r="98" ht="16.5" spans="1:29">
      <c r="A98" s="2">
        <v>34050010</v>
      </c>
      <c r="B98" s="2" t="s">
        <v>319</v>
      </c>
      <c r="C98" s="2" t="s">
        <v>59</v>
      </c>
      <c r="D98" s="2">
        <v>10</v>
      </c>
      <c r="E98" s="2">
        <v>60</v>
      </c>
      <c r="F98" s="2" t="s">
        <v>291</v>
      </c>
      <c r="G98" s="2" t="s">
        <v>61</v>
      </c>
      <c r="H98" s="2" t="s">
        <v>292</v>
      </c>
      <c r="I98" s="2">
        <v>1</v>
      </c>
      <c r="J98" s="2" t="s">
        <v>291</v>
      </c>
      <c r="L98" s="2">
        <v>60000</v>
      </c>
      <c r="M98" s="2" t="s">
        <v>101</v>
      </c>
      <c r="O98" s="2">
        <v>20</v>
      </c>
      <c r="P98" s="2" t="s">
        <v>64</v>
      </c>
      <c r="Q98" s="2">
        <v>999</v>
      </c>
      <c r="R98" s="2" t="s">
        <v>303</v>
      </c>
      <c r="S98" s="2">
        <v>21003704</v>
      </c>
      <c r="U98" s="2" t="s">
        <v>315</v>
      </c>
      <c r="V98" s="2" t="s">
        <v>115</v>
      </c>
      <c r="W98" s="2">
        <v>34050010</v>
      </c>
      <c r="X98" s="12" t="s">
        <v>320</v>
      </c>
      <c r="AB98" s="8" t="s">
        <v>295</v>
      </c>
      <c r="AC98" s="8" t="s">
        <v>319</v>
      </c>
    </row>
    <row r="99" ht="14" customHeight="1" spans="1:29">
      <c r="A99" s="2">
        <f>30000000+INDEX(编号表!$B:$B,MATCH(F99,编号表!$A:$A,0))*10000+D99</f>
        <v>30080000</v>
      </c>
      <c r="B99" s="2" t="s">
        <v>321</v>
      </c>
      <c r="C99" s="2" t="s">
        <v>97</v>
      </c>
      <c r="D99" s="2">
        <v>0</v>
      </c>
      <c r="E99" s="2">
        <v>60</v>
      </c>
      <c r="F99" s="2" t="s">
        <v>322</v>
      </c>
      <c r="G99" s="2" t="s">
        <v>61</v>
      </c>
      <c r="H99" s="2" t="s">
        <v>323</v>
      </c>
      <c r="I99" s="2">
        <v>0</v>
      </c>
      <c r="J99" s="2" t="s">
        <v>322</v>
      </c>
      <c r="L99" s="2">
        <v>60000</v>
      </c>
      <c r="M99" s="2" t="s">
        <v>63</v>
      </c>
      <c r="O99" s="2">
        <v>1</v>
      </c>
      <c r="P99" s="2" t="s">
        <v>64</v>
      </c>
      <c r="Q99" s="2">
        <v>1</v>
      </c>
      <c r="U99" s="2" t="s">
        <v>324</v>
      </c>
      <c r="V99" s="2" t="s">
        <v>88</v>
      </c>
      <c r="W99" s="2">
        <v>30080000</v>
      </c>
      <c r="X99" s="12" t="s">
        <v>325</v>
      </c>
      <c r="Y99" s="2" t="s">
        <v>105</v>
      </c>
      <c r="Z99" s="2" t="s">
        <v>106</v>
      </c>
      <c r="AA99" s="2" t="s">
        <v>107</v>
      </c>
      <c r="AB99" s="8"/>
      <c r="AC99" s="8"/>
    </row>
    <row r="100" ht="14" customHeight="1" spans="1:29">
      <c r="A100" s="2">
        <f>30000000+INDEX(编号表!$B:$B,MATCH(F100,编号表!$A:$A,0))*10000+D100</f>
        <v>30080001</v>
      </c>
      <c r="B100" s="2" t="s">
        <v>326</v>
      </c>
      <c r="C100" s="2" t="s">
        <v>97</v>
      </c>
      <c r="D100" s="2">
        <v>1</v>
      </c>
      <c r="E100" s="2">
        <v>60</v>
      </c>
      <c r="F100" s="2" t="s">
        <v>322</v>
      </c>
      <c r="G100" s="2" t="s">
        <v>61</v>
      </c>
      <c r="H100" s="2" t="s">
        <v>323</v>
      </c>
      <c r="I100" s="2">
        <v>0</v>
      </c>
      <c r="J100" s="2" t="s">
        <v>322</v>
      </c>
      <c r="L100" s="2">
        <v>60000</v>
      </c>
      <c r="M100" s="2" t="s">
        <v>63</v>
      </c>
      <c r="O100" s="2">
        <v>1</v>
      </c>
      <c r="P100" s="2" t="s">
        <v>64</v>
      </c>
      <c r="Q100" s="2">
        <v>1</v>
      </c>
      <c r="U100" s="2" t="s">
        <v>324</v>
      </c>
      <c r="V100" s="2" t="s">
        <v>88</v>
      </c>
      <c r="W100" s="2">
        <v>30080001</v>
      </c>
      <c r="X100" s="12" t="s">
        <v>325</v>
      </c>
      <c r="Y100" s="2" t="s">
        <v>105</v>
      </c>
      <c r="Z100" s="2" t="s">
        <v>106</v>
      </c>
      <c r="AA100" s="2" t="s">
        <v>107</v>
      </c>
      <c r="AB100" s="8"/>
      <c r="AC100" s="8"/>
    </row>
    <row r="101" ht="14" customHeight="1" spans="1:29">
      <c r="A101" s="2">
        <f>30000000+INDEX(编号表!$B:$B,MATCH(F101,编号表!$A:$A,0))*10000+D101</f>
        <v>30080002</v>
      </c>
      <c r="B101" s="2" t="s">
        <v>327</v>
      </c>
      <c r="C101" s="2" t="s">
        <v>97</v>
      </c>
      <c r="D101" s="2">
        <v>2</v>
      </c>
      <c r="E101" s="2">
        <v>60</v>
      </c>
      <c r="F101" s="2" t="s">
        <v>322</v>
      </c>
      <c r="G101" s="2" t="s">
        <v>61</v>
      </c>
      <c r="H101" s="2" t="s">
        <v>323</v>
      </c>
      <c r="I101" s="2">
        <v>0</v>
      </c>
      <c r="J101" s="2" t="s">
        <v>322</v>
      </c>
      <c r="L101" s="2">
        <v>60000</v>
      </c>
      <c r="M101" s="2" t="s">
        <v>63</v>
      </c>
      <c r="O101" s="2">
        <v>1</v>
      </c>
      <c r="P101" s="2" t="s">
        <v>64</v>
      </c>
      <c r="Q101" s="2">
        <v>1</v>
      </c>
      <c r="U101" s="2" t="s">
        <v>324</v>
      </c>
      <c r="V101" s="2" t="s">
        <v>88</v>
      </c>
      <c r="W101" s="2">
        <v>30080002</v>
      </c>
      <c r="X101" s="12" t="s">
        <v>325</v>
      </c>
      <c r="Y101" s="2" t="s">
        <v>105</v>
      </c>
      <c r="Z101" s="2" t="s">
        <v>106</v>
      </c>
      <c r="AA101" s="2" t="s">
        <v>107</v>
      </c>
      <c r="AB101" s="8"/>
      <c r="AC101" s="8"/>
    </row>
    <row r="102" ht="14" customHeight="1" spans="1:29">
      <c r="A102" s="2">
        <f>30000000+INDEX(编号表!$B:$B,MATCH(F102,编号表!$A:$A,0))*10000+D102</f>
        <v>30080003</v>
      </c>
      <c r="B102" s="2" t="s">
        <v>328</v>
      </c>
      <c r="C102" s="2" t="s">
        <v>97</v>
      </c>
      <c r="D102" s="2">
        <v>3</v>
      </c>
      <c r="E102" s="2">
        <v>60</v>
      </c>
      <c r="F102" s="2" t="s">
        <v>322</v>
      </c>
      <c r="G102" s="2" t="s">
        <v>61</v>
      </c>
      <c r="H102" s="2" t="s">
        <v>323</v>
      </c>
      <c r="I102" s="2">
        <v>0</v>
      </c>
      <c r="J102" s="2" t="s">
        <v>322</v>
      </c>
      <c r="L102" s="2">
        <v>60000</v>
      </c>
      <c r="M102" s="2" t="s">
        <v>63</v>
      </c>
      <c r="O102" s="2">
        <v>1</v>
      </c>
      <c r="P102" s="2" t="s">
        <v>64</v>
      </c>
      <c r="Q102" s="2">
        <v>1</v>
      </c>
      <c r="U102" s="2" t="s">
        <v>324</v>
      </c>
      <c r="V102" s="2" t="s">
        <v>88</v>
      </c>
      <c r="W102" s="2">
        <v>30080003</v>
      </c>
      <c r="X102" s="12" t="s">
        <v>325</v>
      </c>
      <c r="Y102" s="2" t="s">
        <v>105</v>
      </c>
      <c r="Z102" s="2" t="s">
        <v>106</v>
      </c>
      <c r="AA102" s="2" t="s">
        <v>107</v>
      </c>
      <c r="AB102" s="8"/>
      <c r="AC102" s="8"/>
    </row>
    <row r="103" ht="14" customHeight="1" spans="1:29">
      <c r="A103" s="2">
        <f>30000000+INDEX(编号表!$B:$B,MATCH(F103,编号表!$A:$A,0))*10000+D103</f>
        <v>30080004</v>
      </c>
      <c r="B103" s="2" t="s">
        <v>329</v>
      </c>
      <c r="C103" s="2" t="s">
        <v>97</v>
      </c>
      <c r="D103" s="2">
        <v>4</v>
      </c>
      <c r="E103" s="2">
        <v>60</v>
      </c>
      <c r="F103" s="2" t="s">
        <v>322</v>
      </c>
      <c r="G103" s="2" t="s">
        <v>61</v>
      </c>
      <c r="H103" s="2" t="s">
        <v>323</v>
      </c>
      <c r="I103" s="2">
        <v>0</v>
      </c>
      <c r="J103" s="2" t="s">
        <v>322</v>
      </c>
      <c r="L103" s="2">
        <v>60000</v>
      </c>
      <c r="M103" s="2" t="s">
        <v>63</v>
      </c>
      <c r="O103" s="2">
        <v>1</v>
      </c>
      <c r="P103" s="2" t="s">
        <v>64</v>
      </c>
      <c r="Q103" s="2">
        <v>1</v>
      </c>
      <c r="U103" s="2" t="s">
        <v>324</v>
      </c>
      <c r="V103" s="2" t="s">
        <v>88</v>
      </c>
      <c r="W103" s="2">
        <v>30080004</v>
      </c>
      <c r="X103" s="12" t="s">
        <v>325</v>
      </c>
      <c r="Y103" s="2" t="s">
        <v>105</v>
      </c>
      <c r="Z103" s="2" t="s">
        <v>106</v>
      </c>
      <c r="AA103" s="2" t="s">
        <v>107</v>
      </c>
      <c r="AB103" s="8"/>
      <c r="AC103" s="8"/>
    </row>
    <row r="104" ht="16.5" spans="1:29">
      <c r="A104" s="2">
        <f>30000000+INDEX(编号表!$B:$B,MATCH(F104,编号表!$A:$A,0))*10000+D104</f>
        <v>30080005</v>
      </c>
      <c r="B104" s="2" t="s">
        <v>330</v>
      </c>
      <c r="C104" s="2" t="s">
        <v>97</v>
      </c>
      <c r="D104" s="2">
        <v>5</v>
      </c>
      <c r="E104" s="2">
        <v>60</v>
      </c>
      <c r="F104" s="2" t="s">
        <v>322</v>
      </c>
      <c r="G104" s="2" t="s">
        <v>61</v>
      </c>
      <c r="H104" s="2" t="s">
        <v>323</v>
      </c>
      <c r="I104" s="2">
        <v>0</v>
      </c>
      <c r="J104" s="2" t="s">
        <v>322</v>
      </c>
      <c r="L104" s="2">
        <v>60000</v>
      </c>
      <c r="M104" s="2" t="s">
        <v>63</v>
      </c>
      <c r="O104" s="2">
        <v>1</v>
      </c>
      <c r="P104" s="2" t="s">
        <v>64</v>
      </c>
      <c r="Q104" s="2">
        <v>1</v>
      </c>
      <c r="U104" s="2" t="s">
        <v>324</v>
      </c>
      <c r="V104" s="2" t="s">
        <v>88</v>
      </c>
      <c r="W104" s="2">
        <v>30080005</v>
      </c>
      <c r="X104" s="13" t="s">
        <v>325</v>
      </c>
      <c r="Y104" s="2" t="s">
        <v>105</v>
      </c>
      <c r="Z104" s="2" t="s">
        <v>106</v>
      </c>
      <c r="AA104" s="2" t="s">
        <v>107</v>
      </c>
    </row>
    <row r="105" ht="16.5" spans="1:29">
      <c r="A105" s="2">
        <f>30000000+INDEX(编号表!$B:$B,MATCH(F105,编号表!$A:$A,0))*10000+D105</f>
        <v>30080006</v>
      </c>
      <c r="B105" s="2" t="s">
        <v>331</v>
      </c>
      <c r="C105" s="2" t="s">
        <v>97</v>
      </c>
      <c r="D105" s="2">
        <v>6</v>
      </c>
      <c r="E105" s="2">
        <v>60</v>
      </c>
      <c r="F105" s="2" t="s">
        <v>322</v>
      </c>
      <c r="G105" s="2" t="s">
        <v>61</v>
      </c>
      <c r="H105" s="2" t="s">
        <v>323</v>
      </c>
      <c r="I105" s="2">
        <v>0</v>
      </c>
      <c r="J105" s="2" t="s">
        <v>322</v>
      </c>
      <c r="L105" s="2">
        <v>60000</v>
      </c>
      <c r="M105" s="2" t="s">
        <v>63</v>
      </c>
      <c r="O105" s="2">
        <v>1</v>
      </c>
      <c r="P105" s="2" t="s">
        <v>64</v>
      </c>
      <c r="Q105" s="2">
        <v>1</v>
      </c>
      <c r="U105" s="2" t="s">
        <v>324</v>
      </c>
      <c r="V105" s="2" t="s">
        <v>88</v>
      </c>
      <c r="W105" s="2">
        <v>30080006</v>
      </c>
      <c r="X105" s="13" t="s">
        <v>325</v>
      </c>
      <c r="Y105" s="2" t="s">
        <v>105</v>
      </c>
      <c r="Z105" s="2" t="s">
        <v>106</v>
      </c>
      <c r="AA105" s="2" t="s">
        <v>107</v>
      </c>
    </row>
    <row r="106" ht="16.5" spans="1:29">
      <c r="A106" s="2">
        <f>30000000+INDEX(编号表!$B:$B,MATCH(F106,编号表!$A:$A,0))*10000+D106</f>
        <v>30080007</v>
      </c>
      <c r="B106" s="2" t="s">
        <v>332</v>
      </c>
      <c r="C106" s="2" t="s">
        <v>97</v>
      </c>
      <c r="D106" s="2">
        <v>7</v>
      </c>
      <c r="E106" s="2">
        <v>60</v>
      </c>
      <c r="F106" s="2" t="s">
        <v>322</v>
      </c>
      <c r="G106" s="2" t="s">
        <v>61</v>
      </c>
      <c r="H106" s="2" t="s">
        <v>323</v>
      </c>
      <c r="I106" s="2">
        <v>0</v>
      </c>
      <c r="J106" s="2" t="s">
        <v>322</v>
      </c>
      <c r="L106" s="2">
        <v>60000</v>
      </c>
      <c r="M106" s="2" t="s">
        <v>63</v>
      </c>
      <c r="O106" s="2">
        <v>1</v>
      </c>
      <c r="P106" s="2" t="s">
        <v>64</v>
      </c>
      <c r="Q106" s="2">
        <v>1</v>
      </c>
      <c r="U106" s="2" t="s">
        <v>324</v>
      </c>
      <c r="V106" s="2" t="s">
        <v>88</v>
      </c>
      <c r="W106" s="2">
        <v>30080007</v>
      </c>
      <c r="X106" s="13" t="s">
        <v>325</v>
      </c>
      <c r="Y106" s="2" t="s">
        <v>105</v>
      </c>
      <c r="Z106" s="2" t="s">
        <v>106</v>
      </c>
      <c r="AA106" s="2" t="s">
        <v>107</v>
      </c>
    </row>
    <row r="107" ht="16.5" spans="1:29">
      <c r="A107" s="2">
        <f>30000000+INDEX(编号表!$B:$B,MATCH(F107,编号表!$A:$A,0))*10000+D107</f>
        <v>30080008</v>
      </c>
      <c r="B107" s="2" t="s">
        <v>333</v>
      </c>
      <c r="C107" s="2" t="s">
        <v>97</v>
      </c>
      <c r="D107" s="2">
        <v>8</v>
      </c>
      <c r="E107" s="2">
        <v>60</v>
      </c>
      <c r="F107" s="2" t="s">
        <v>322</v>
      </c>
      <c r="G107" s="2" t="s">
        <v>61</v>
      </c>
      <c r="H107" s="2" t="s">
        <v>323</v>
      </c>
      <c r="I107" s="2">
        <v>0</v>
      </c>
      <c r="J107" s="2" t="s">
        <v>322</v>
      </c>
      <c r="L107" s="2">
        <v>60000</v>
      </c>
      <c r="M107" s="2" t="s">
        <v>63</v>
      </c>
      <c r="O107" s="2">
        <v>1</v>
      </c>
      <c r="P107" s="2" t="s">
        <v>64</v>
      </c>
      <c r="Q107" s="2">
        <v>1</v>
      </c>
      <c r="U107" s="2" t="s">
        <v>324</v>
      </c>
      <c r="V107" s="2" t="s">
        <v>88</v>
      </c>
      <c r="W107" s="2">
        <v>30080008</v>
      </c>
      <c r="X107" s="13" t="s">
        <v>325</v>
      </c>
      <c r="Y107" s="2" t="s">
        <v>105</v>
      </c>
      <c r="Z107" s="2" t="s">
        <v>106</v>
      </c>
      <c r="AA107" s="2" t="s">
        <v>107</v>
      </c>
    </row>
    <row r="108" ht="16.5" spans="1:29">
      <c r="A108" s="2">
        <f>30000000+INDEX(编号表!$B:$B,MATCH(F108,编号表!$A:$A,0))*10000+D108</f>
        <v>30080009</v>
      </c>
      <c r="B108" s="2" t="s">
        <v>334</v>
      </c>
      <c r="C108" s="2" t="s">
        <v>97</v>
      </c>
      <c r="D108" s="2">
        <v>9</v>
      </c>
      <c r="E108" s="2">
        <v>60</v>
      </c>
      <c r="F108" s="2" t="s">
        <v>322</v>
      </c>
      <c r="G108" s="2" t="s">
        <v>61</v>
      </c>
      <c r="H108" s="2" t="s">
        <v>323</v>
      </c>
      <c r="I108" s="2">
        <v>0</v>
      </c>
      <c r="J108" s="2" t="s">
        <v>322</v>
      </c>
      <c r="L108" s="2">
        <v>60000</v>
      </c>
      <c r="M108" s="2" t="s">
        <v>63</v>
      </c>
      <c r="O108" s="2">
        <v>1</v>
      </c>
      <c r="P108" s="2" t="s">
        <v>64</v>
      </c>
      <c r="Q108" s="2">
        <v>1</v>
      </c>
      <c r="U108" s="2" t="s">
        <v>324</v>
      </c>
      <c r="V108" s="2" t="s">
        <v>88</v>
      </c>
      <c r="W108" s="2">
        <v>30080009</v>
      </c>
      <c r="X108" s="13" t="s">
        <v>325</v>
      </c>
      <c r="Y108" s="2" t="s">
        <v>105</v>
      </c>
      <c r="Z108" s="2" t="s">
        <v>106</v>
      </c>
      <c r="AA108" s="2" t="s">
        <v>107</v>
      </c>
    </row>
    <row r="109" ht="16.5" spans="1:29">
      <c r="A109" s="2">
        <f>30000000+INDEX(编号表!$B:$B,MATCH(F109,编号表!$A:$A,0))*10000+D109</f>
        <v>30080010</v>
      </c>
      <c r="B109" s="2" t="s">
        <v>335</v>
      </c>
      <c r="C109" s="2" t="s">
        <v>97</v>
      </c>
      <c r="D109" s="2">
        <v>10</v>
      </c>
      <c r="E109" s="2">
        <v>60</v>
      </c>
      <c r="F109" s="2" t="s">
        <v>322</v>
      </c>
      <c r="G109" s="2" t="s">
        <v>61</v>
      </c>
      <c r="H109" s="2" t="s">
        <v>323</v>
      </c>
      <c r="I109" s="2">
        <v>0</v>
      </c>
      <c r="J109" s="2" t="s">
        <v>322</v>
      </c>
      <c r="L109" s="2">
        <v>60000</v>
      </c>
      <c r="M109" s="2" t="s">
        <v>63</v>
      </c>
      <c r="O109" s="2">
        <v>1</v>
      </c>
      <c r="P109" s="2" t="s">
        <v>64</v>
      </c>
      <c r="Q109" s="2">
        <v>1</v>
      </c>
      <c r="U109" s="2" t="s">
        <v>336</v>
      </c>
      <c r="V109" s="2" t="s">
        <v>88</v>
      </c>
      <c r="W109" s="14" t="s">
        <v>337</v>
      </c>
      <c r="X109" s="13" t="s">
        <v>325</v>
      </c>
      <c r="Y109" s="2" t="s">
        <v>105</v>
      </c>
      <c r="Z109" s="2" t="s">
        <v>106</v>
      </c>
      <c r="AA109" s="2" t="s">
        <v>107</v>
      </c>
    </row>
    <row r="110" ht="16.5" spans="1:29">
      <c r="A110" s="2">
        <f>30000000+INDEX(编号表!$B:$B,MATCH(F110,编号表!$A:$A,0))*10000+D110</f>
        <v>30080011</v>
      </c>
      <c r="B110" s="2" t="s">
        <v>338</v>
      </c>
      <c r="C110" s="2" t="s">
        <v>97</v>
      </c>
      <c r="D110" s="2">
        <v>11</v>
      </c>
      <c r="E110" s="2">
        <v>60</v>
      </c>
      <c r="F110" s="2" t="s">
        <v>322</v>
      </c>
      <c r="G110" s="2" t="s">
        <v>61</v>
      </c>
      <c r="H110" s="2" t="s">
        <v>323</v>
      </c>
      <c r="I110" s="2">
        <v>0</v>
      </c>
      <c r="J110" s="2" t="s">
        <v>322</v>
      </c>
      <c r="L110" s="2">
        <v>60000</v>
      </c>
      <c r="M110" s="2" t="s">
        <v>63</v>
      </c>
      <c r="O110" s="2">
        <v>1</v>
      </c>
      <c r="P110" s="2" t="s">
        <v>64</v>
      </c>
      <c r="Q110" s="2">
        <v>1</v>
      </c>
      <c r="U110" s="2" t="s">
        <v>339</v>
      </c>
      <c r="V110" s="2" t="s">
        <v>88</v>
      </c>
      <c r="W110" s="14" t="s">
        <v>340</v>
      </c>
      <c r="X110" s="13" t="s">
        <v>325</v>
      </c>
      <c r="Y110" s="2" t="s">
        <v>105</v>
      </c>
      <c r="Z110" s="2" t="s">
        <v>106</v>
      </c>
      <c r="AA110" s="2" t="s">
        <v>107</v>
      </c>
    </row>
    <row r="111" spans="1:29">
      <c r="A111" s="2">
        <f>30000000+INDEX(编号表!$B:$B,MATCH(F111,编号表!$A:$A,0))*10000+D111</f>
        <v>30080012</v>
      </c>
      <c r="B111" s="2" t="s">
        <v>341</v>
      </c>
      <c r="C111" s="2" t="s">
        <v>97</v>
      </c>
      <c r="D111" s="2">
        <v>12</v>
      </c>
      <c r="E111" s="2">
        <v>60</v>
      </c>
      <c r="F111" s="2" t="s">
        <v>322</v>
      </c>
      <c r="G111" s="2" t="s">
        <v>61</v>
      </c>
      <c r="H111" s="2" t="s">
        <v>323</v>
      </c>
      <c r="I111" s="2">
        <v>0</v>
      </c>
      <c r="J111" s="2" t="s">
        <v>322</v>
      </c>
      <c r="L111" s="2">
        <v>60000</v>
      </c>
      <c r="M111" s="2" t="s">
        <v>63</v>
      </c>
      <c r="O111" s="2">
        <v>1</v>
      </c>
      <c r="P111" s="2" t="s">
        <v>64</v>
      </c>
      <c r="Q111" s="2">
        <v>1</v>
      </c>
      <c r="U111" s="2" t="s">
        <v>342</v>
      </c>
      <c r="W111" s="15">
        <v>30080012</v>
      </c>
      <c r="X111" s="16" t="s">
        <v>343</v>
      </c>
      <c r="Y111" s="2" t="s">
        <v>105</v>
      </c>
      <c r="Z111" s="2" t="s">
        <v>106</v>
      </c>
      <c r="AA111" s="2" t="s">
        <v>107</v>
      </c>
    </row>
    <row r="112" spans="1:29">
      <c r="A112" s="2">
        <f>30000000+INDEX(编号表!$B:$B,MATCH(F112,编号表!$A:$A,0))*10000+D112</f>
        <v>30090000</v>
      </c>
      <c r="B112" s="2" t="s">
        <v>344</v>
      </c>
      <c r="C112" s="2" t="s">
        <v>86</v>
      </c>
      <c r="D112" s="2">
        <v>0</v>
      </c>
      <c r="E112" s="2">
        <v>60</v>
      </c>
      <c r="F112" s="2" t="s">
        <v>345</v>
      </c>
      <c r="G112" s="2" t="s">
        <v>61</v>
      </c>
      <c r="H112" s="2" t="s">
        <v>142</v>
      </c>
      <c r="I112" s="2">
        <v>0</v>
      </c>
      <c r="J112" s="2" t="s">
        <v>345</v>
      </c>
      <c r="L112" s="2">
        <v>60000</v>
      </c>
      <c r="M112" s="2" t="s">
        <v>63</v>
      </c>
      <c r="O112" s="2">
        <v>1</v>
      </c>
      <c r="P112" s="2" t="s">
        <v>64</v>
      </c>
      <c r="Q112" s="2">
        <v>999</v>
      </c>
      <c r="U112" s="2" t="s">
        <v>346</v>
      </c>
      <c r="V112" s="2" t="s">
        <v>237</v>
      </c>
      <c r="W112" s="2">
        <v>34090000</v>
      </c>
      <c r="X112" s="2" t="s">
        <v>347</v>
      </c>
      <c r="Y112" s="2" t="s">
        <v>89</v>
      </c>
      <c r="Z112" s="2" t="s">
        <v>90</v>
      </c>
      <c r="AA112" s="2" t="s">
        <v>91</v>
      </c>
    </row>
    <row r="113" spans="1:27">
      <c r="A113" s="2">
        <f>30000000+INDEX(编号表!$B:$B,MATCH(F113,编号表!$A:$A,0))*10000+D113</f>
        <v>30090001</v>
      </c>
      <c r="B113" s="2" t="s">
        <v>348</v>
      </c>
      <c r="C113" s="2" t="s">
        <v>86</v>
      </c>
      <c r="D113" s="2">
        <v>1</v>
      </c>
      <c r="E113" s="2">
        <v>60</v>
      </c>
      <c r="F113" s="2" t="s">
        <v>345</v>
      </c>
      <c r="G113" s="2" t="s">
        <v>61</v>
      </c>
      <c r="H113" s="2" t="s">
        <v>142</v>
      </c>
      <c r="J113" s="2" t="s">
        <v>345</v>
      </c>
      <c r="L113" s="2">
        <v>60000</v>
      </c>
      <c r="M113" s="2" t="s">
        <v>63</v>
      </c>
      <c r="O113" s="2">
        <v>1</v>
      </c>
      <c r="P113" s="2" t="s">
        <v>64</v>
      </c>
      <c r="Q113" s="2">
        <v>999</v>
      </c>
      <c r="U113" s="2" t="s">
        <v>349</v>
      </c>
      <c r="V113" s="2" t="s">
        <v>237</v>
      </c>
      <c r="W113" s="2">
        <v>34090001</v>
      </c>
      <c r="X113" s="2" t="s">
        <v>350</v>
      </c>
      <c r="Y113" s="2" t="s">
        <v>89</v>
      </c>
      <c r="Z113" s="2" t="s">
        <v>90</v>
      </c>
      <c r="AA113" s="2" t="s">
        <v>91</v>
      </c>
    </row>
    <row r="114" spans="1:27">
      <c r="A114" s="2">
        <f>30000000+INDEX(编号表!$B:$B,MATCH(F114,编号表!$A:$A,0))*10000+D114</f>
        <v>30090002</v>
      </c>
      <c r="B114" s="2" t="s">
        <v>351</v>
      </c>
      <c r="C114" s="2" t="s">
        <v>86</v>
      </c>
      <c r="D114" s="2">
        <v>2</v>
      </c>
      <c r="E114" s="2">
        <v>60</v>
      </c>
      <c r="F114" s="2" t="s">
        <v>345</v>
      </c>
      <c r="G114" s="2" t="s">
        <v>61</v>
      </c>
      <c r="H114" s="2" t="s">
        <v>142</v>
      </c>
      <c r="I114" s="2">
        <v>0</v>
      </c>
      <c r="J114" s="2" t="s">
        <v>345</v>
      </c>
      <c r="L114" s="2">
        <v>60000</v>
      </c>
      <c r="M114" s="2" t="s">
        <v>63</v>
      </c>
      <c r="O114" s="2">
        <v>1</v>
      </c>
      <c r="P114" s="2" t="s">
        <v>64</v>
      </c>
      <c r="Q114" s="2">
        <v>999</v>
      </c>
      <c r="U114" s="2" t="s">
        <v>352</v>
      </c>
      <c r="V114" s="2" t="s">
        <v>237</v>
      </c>
      <c r="W114" s="2">
        <v>34090002</v>
      </c>
      <c r="X114" s="2" t="s">
        <v>353</v>
      </c>
      <c r="Y114" s="2" t="s">
        <v>89</v>
      </c>
      <c r="Z114" s="2" t="s">
        <v>90</v>
      </c>
      <c r="AA114" s="2" t="s">
        <v>91</v>
      </c>
    </row>
    <row r="115" spans="1:27">
      <c r="A115" s="2">
        <f>30000000+INDEX(编号表!$B:$B,MATCH(F115,编号表!$A:$A,0))*10000+D115</f>
        <v>30090003</v>
      </c>
      <c r="B115" s="2" t="s">
        <v>354</v>
      </c>
      <c r="C115" s="2" t="s">
        <v>86</v>
      </c>
      <c r="D115" s="2">
        <v>3</v>
      </c>
      <c r="E115" s="2">
        <v>60</v>
      </c>
      <c r="F115" s="2" t="s">
        <v>345</v>
      </c>
      <c r="G115" s="2" t="s">
        <v>61</v>
      </c>
      <c r="H115" s="2" t="s">
        <v>142</v>
      </c>
      <c r="I115" s="2">
        <v>0</v>
      </c>
      <c r="J115" s="2" t="s">
        <v>345</v>
      </c>
      <c r="L115" s="2">
        <v>60000</v>
      </c>
      <c r="M115" s="2" t="s">
        <v>63</v>
      </c>
      <c r="O115" s="2">
        <v>1</v>
      </c>
      <c r="P115" s="2" t="s">
        <v>64</v>
      </c>
      <c r="Q115" s="2">
        <v>999</v>
      </c>
      <c r="U115" s="2" t="s">
        <v>352</v>
      </c>
      <c r="V115" s="2" t="s">
        <v>237</v>
      </c>
      <c r="W115" s="2">
        <v>34090003</v>
      </c>
      <c r="X115" s="2" t="s">
        <v>355</v>
      </c>
      <c r="Y115" s="2" t="s">
        <v>89</v>
      </c>
      <c r="Z115" s="2" t="s">
        <v>90</v>
      </c>
      <c r="AA115" s="2" t="s">
        <v>91</v>
      </c>
    </row>
    <row r="116" spans="1:27">
      <c r="A116" s="2">
        <f>30000000+INDEX(编号表!$B:$B,MATCH(F116,编号表!$A:$A,0))*10000+D116</f>
        <v>30090004</v>
      </c>
      <c r="B116" s="2" t="s">
        <v>356</v>
      </c>
      <c r="C116" s="2" t="s">
        <v>86</v>
      </c>
      <c r="D116" s="2">
        <v>4</v>
      </c>
      <c r="E116" s="2">
        <v>60</v>
      </c>
      <c r="F116" s="2" t="s">
        <v>345</v>
      </c>
      <c r="G116" s="2" t="s">
        <v>61</v>
      </c>
      <c r="H116" s="2" t="s">
        <v>142</v>
      </c>
      <c r="I116" s="2">
        <v>1</v>
      </c>
      <c r="J116" s="2" t="s">
        <v>345</v>
      </c>
      <c r="L116" s="2">
        <v>60000</v>
      </c>
      <c r="M116" s="2" t="s">
        <v>63</v>
      </c>
      <c r="O116" s="2">
        <v>1</v>
      </c>
      <c r="P116" s="2" t="s">
        <v>64</v>
      </c>
      <c r="Q116" s="2">
        <v>999</v>
      </c>
      <c r="U116" s="2" t="s">
        <v>352</v>
      </c>
      <c r="V116" s="2" t="s">
        <v>237</v>
      </c>
      <c r="W116" s="2">
        <v>34090004</v>
      </c>
      <c r="X116" s="2" t="s">
        <v>357</v>
      </c>
      <c r="Y116" s="2" t="s">
        <v>89</v>
      </c>
      <c r="Z116" s="2" t="s">
        <v>90</v>
      </c>
      <c r="AA116" s="2" t="s">
        <v>91</v>
      </c>
    </row>
    <row r="117" spans="1:27">
      <c r="A117" s="2">
        <f>30000000+INDEX(编号表!$B:$B,MATCH(F117,编号表!$A:$A,0))*10000+D117</f>
        <v>30090005</v>
      </c>
      <c r="B117" s="2" t="s">
        <v>358</v>
      </c>
      <c r="C117" s="2" t="s">
        <v>86</v>
      </c>
      <c r="D117" s="2">
        <v>5</v>
      </c>
      <c r="E117" s="2">
        <v>60</v>
      </c>
      <c r="F117" s="2" t="s">
        <v>345</v>
      </c>
      <c r="G117" s="2" t="s">
        <v>61</v>
      </c>
      <c r="H117" s="2" t="s">
        <v>142</v>
      </c>
      <c r="I117" s="2">
        <v>1</v>
      </c>
      <c r="J117" s="2" t="s">
        <v>345</v>
      </c>
      <c r="L117" s="2">
        <v>60000</v>
      </c>
      <c r="M117" s="2" t="s">
        <v>63</v>
      </c>
      <c r="O117" s="2">
        <v>1</v>
      </c>
      <c r="P117" s="2" t="s">
        <v>64</v>
      </c>
      <c r="Q117" s="2">
        <v>999</v>
      </c>
      <c r="U117" s="2" t="s">
        <v>352</v>
      </c>
      <c r="V117" s="2" t="s">
        <v>237</v>
      </c>
      <c r="W117" s="2">
        <v>34090005</v>
      </c>
      <c r="X117" s="2" t="s">
        <v>359</v>
      </c>
      <c r="Y117" s="2" t="s">
        <v>89</v>
      </c>
      <c r="Z117" s="2" t="s">
        <v>90</v>
      </c>
      <c r="AA117" s="2" t="s">
        <v>91</v>
      </c>
    </row>
    <row r="118" spans="1:27">
      <c r="A118" s="2">
        <f>30000000+INDEX(编号表!$B:$B,MATCH(F118,编号表!$A:$A,0))*10000+D118</f>
        <v>30090006</v>
      </c>
      <c r="B118" s="2" t="s">
        <v>360</v>
      </c>
      <c r="C118" s="2" t="s">
        <v>86</v>
      </c>
      <c r="D118" s="2">
        <v>6</v>
      </c>
      <c r="E118" s="2">
        <v>60</v>
      </c>
      <c r="F118" s="2" t="s">
        <v>345</v>
      </c>
      <c r="G118" s="2" t="s">
        <v>61</v>
      </c>
      <c r="H118" s="2" t="s">
        <v>142</v>
      </c>
      <c r="I118" s="2">
        <v>1</v>
      </c>
      <c r="J118" s="2" t="s">
        <v>345</v>
      </c>
      <c r="L118" s="2">
        <v>60000</v>
      </c>
      <c r="M118" s="2" t="s">
        <v>63</v>
      </c>
      <c r="O118" s="2">
        <v>1</v>
      </c>
      <c r="P118" s="2" t="s">
        <v>64</v>
      </c>
      <c r="Q118" s="2">
        <v>999</v>
      </c>
      <c r="U118" s="2" t="s">
        <v>352</v>
      </c>
      <c r="V118" s="2" t="s">
        <v>237</v>
      </c>
      <c r="W118" s="2">
        <v>34090006</v>
      </c>
      <c r="X118" s="2" t="s">
        <v>361</v>
      </c>
      <c r="Y118" s="2" t="s">
        <v>89</v>
      </c>
      <c r="Z118" s="2" t="s">
        <v>90</v>
      </c>
      <c r="AA118" s="2" t="s">
        <v>91</v>
      </c>
    </row>
    <row r="119" spans="1:27">
      <c r="A119" s="2">
        <f>30000000+INDEX(编号表!$B:$B,MATCH(F119,编号表!$A:$A,0))*10000+D119</f>
        <v>30090007</v>
      </c>
      <c r="B119" s="2" t="s">
        <v>362</v>
      </c>
      <c r="C119" s="2" t="s">
        <v>86</v>
      </c>
      <c r="D119" s="2">
        <v>7</v>
      </c>
      <c r="E119" s="2">
        <v>60</v>
      </c>
      <c r="F119" s="2" t="s">
        <v>345</v>
      </c>
      <c r="G119" s="2" t="s">
        <v>61</v>
      </c>
      <c r="H119" s="2" t="s">
        <v>142</v>
      </c>
      <c r="I119" s="2">
        <v>1</v>
      </c>
      <c r="J119" s="2" t="s">
        <v>345</v>
      </c>
      <c r="L119" s="2">
        <v>60000</v>
      </c>
      <c r="M119" s="2" t="s">
        <v>63</v>
      </c>
      <c r="O119" s="2">
        <v>1</v>
      </c>
      <c r="P119" s="2" t="s">
        <v>64</v>
      </c>
      <c r="Q119" s="2">
        <v>999</v>
      </c>
      <c r="U119" s="2" t="s">
        <v>352</v>
      </c>
      <c r="V119" s="2" t="s">
        <v>237</v>
      </c>
      <c r="W119" s="2">
        <v>34090007</v>
      </c>
      <c r="X119" s="2" t="s">
        <v>363</v>
      </c>
      <c r="Y119" s="2" t="s">
        <v>89</v>
      </c>
      <c r="Z119" s="2" t="s">
        <v>90</v>
      </c>
      <c r="AA119" s="2" t="s">
        <v>91</v>
      </c>
    </row>
    <row r="120" spans="1:27">
      <c r="A120" s="2">
        <f>30000000+INDEX(编号表!$B:$B,MATCH(F120,编号表!$A:$A,0))*10000+D120</f>
        <v>30090008</v>
      </c>
      <c r="B120" s="2" t="s">
        <v>364</v>
      </c>
      <c r="C120" s="2" t="s">
        <v>86</v>
      </c>
      <c r="D120" s="2">
        <v>8</v>
      </c>
      <c r="E120" s="2">
        <v>60</v>
      </c>
      <c r="F120" s="2" t="s">
        <v>345</v>
      </c>
      <c r="G120" s="2" t="s">
        <v>61</v>
      </c>
      <c r="H120" s="2" t="s">
        <v>142</v>
      </c>
      <c r="I120" s="2">
        <v>1</v>
      </c>
      <c r="J120" s="2" t="s">
        <v>345</v>
      </c>
      <c r="L120" s="2">
        <v>60000</v>
      </c>
      <c r="M120" s="2" t="s">
        <v>63</v>
      </c>
      <c r="O120" s="2">
        <v>1</v>
      </c>
      <c r="P120" s="2" t="s">
        <v>64</v>
      </c>
      <c r="Q120" s="2">
        <v>999</v>
      </c>
      <c r="U120" s="2" t="s">
        <v>352</v>
      </c>
      <c r="V120" s="2" t="s">
        <v>237</v>
      </c>
      <c r="W120" s="2">
        <v>34090008</v>
      </c>
      <c r="X120" s="2" t="s">
        <v>365</v>
      </c>
      <c r="Y120" s="2" t="s">
        <v>89</v>
      </c>
      <c r="Z120" s="2" t="s">
        <v>90</v>
      </c>
      <c r="AA120" s="2" t="s">
        <v>91</v>
      </c>
    </row>
    <row r="121" spans="1:27">
      <c r="A121" s="2">
        <f>30000000+INDEX(编号表!$B:$B,MATCH(F121,编号表!$A:$A,0))*10000+D121</f>
        <v>30090009</v>
      </c>
      <c r="B121" s="2" t="s">
        <v>366</v>
      </c>
      <c r="C121" s="2" t="s">
        <v>86</v>
      </c>
      <c r="D121" s="2">
        <v>9</v>
      </c>
      <c r="E121" s="2">
        <v>60</v>
      </c>
      <c r="F121" s="2" t="s">
        <v>345</v>
      </c>
      <c r="G121" s="2" t="s">
        <v>61</v>
      </c>
      <c r="H121" s="2" t="s">
        <v>142</v>
      </c>
      <c r="I121" s="2">
        <v>1</v>
      </c>
      <c r="J121" s="2" t="s">
        <v>345</v>
      </c>
      <c r="L121" s="2">
        <v>60000</v>
      </c>
      <c r="M121" s="2" t="s">
        <v>63</v>
      </c>
      <c r="O121" s="2">
        <v>1</v>
      </c>
      <c r="P121" s="2" t="s">
        <v>64</v>
      </c>
      <c r="Q121" s="2">
        <v>999</v>
      </c>
      <c r="U121" s="2" t="s">
        <v>352</v>
      </c>
      <c r="V121" s="2" t="s">
        <v>237</v>
      </c>
      <c r="W121" s="2">
        <v>34090009</v>
      </c>
      <c r="X121" s="2" t="s">
        <v>367</v>
      </c>
      <c r="Y121" s="2" t="s">
        <v>89</v>
      </c>
      <c r="Z121" s="2" t="s">
        <v>90</v>
      </c>
      <c r="AA121" s="2" t="s">
        <v>91</v>
      </c>
    </row>
    <row r="122" spans="1:27">
      <c r="A122" s="2">
        <f>30000000+INDEX(编号表!$B:$B,MATCH(F122,编号表!$A:$A,0))*10000+D122</f>
        <v>30090010</v>
      </c>
      <c r="B122" s="2" t="s">
        <v>368</v>
      </c>
      <c r="C122" s="2" t="s">
        <v>86</v>
      </c>
      <c r="D122" s="2">
        <v>10</v>
      </c>
      <c r="E122" s="2">
        <v>60</v>
      </c>
      <c r="F122" s="2" t="s">
        <v>345</v>
      </c>
      <c r="G122" s="2" t="s">
        <v>61</v>
      </c>
      <c r="H122" s="2" t="s">
        <v>142</v>
      </c>
      <c r="I122" s="2">
        <v>1</v>
      </c>
      <c r="J122" s="2" t="s">
        <v>345</v>
      </c>
      <c r="L122" s="2">
        <v>60000</v>
      </c>
      <c r="M122" s="2" t="s">
        <v>63</v>
      </c>
      <c r="O122" s="2">
        <v>1</v>
      </c>
      <c r="P122" s="2" t="s">
        <v>64</v>
      </c>
      <c r="Q122" s="2">
        <v>999</v>
      </c>
      <c r="U122" s="2" t="s">
        <v>352</v>
      </c>
      <c r="V122" s="2" t="s">
        <v>237</v>
      </c>
      <c r="W122" s="2">
        <v>34090010</v>
      </c>
      <c r="X122" s="2" t="s">
        <v>369</v>
      </c>
      <c r="Y122" s="2" t="s">
        <v>89</v>
      </c>
      <c r="Z122" s="2" t="s">
        <v>90</v>
      </c>
      <c r="AA122" s="2" t="s">
        <v>91</v>
      </c>
    </row>
    <row r="123" spans="1:27">
      <c r="A123" s="2">
        <f>30000000+INDEX(编号表!$B:$B,MATCH(F123,编号表!$A:$A,0))*10000+D123</f>
        <v>30090011</v>
      </c>
      <c r="B123" s="2" t="s">
        <v>370</v>
      </c>
      <c r="C123" s="2" t="s">
        <v>86</v>
      </c>
      <c r="D123" s="2">
        <v>11</v>
      </c>
      <c r="E123" s="2">
        <v>60</v>
      </c>
      <c r="F123" s="2" t="s">
        <v>345</v>
      </c>
      <c r="G123" s="2" t="s">
        <v>61</v>
      </c>
      <c r="H123" s="2" t="s">
        <v>142</v>
      </c>
      <c r="I123" s="2">
        <v>1</v>
      </c>
      <c r="J123" s="2" t="s">
        <v>345</v>
      </c>
      <c r="L123" s="2">
        <v>60000</v>
      </c>
      <c r="M123" s="2" t="s">
        <v>63</v>
      </c>
      <c r="O123" s="2">
        <v>1</v>
      </c>
      <c r="P123" s="2" t="s">
        <v>64</v>
      </c>
      <c r="Q123" s="2">
        <v>999</v>
      </c>
      <c r="U123" s="2" t="s">
        <v>352</v>
      </c>
      <c r="V123" s="2" t="s">
        <v>237</v>
      </c>
      <c r="W123" s="2">
        <v>34090011</v>
      </c>
      <c r="X123" s="2" t="s">
        <v>371</v>
      </c>
      <c r="Y123" s="2" t="s">
        <v>89</v>
      </c>
      <c r="Z123" s="2" t="s">
        <v>90</v>
      </c>
      <c r="AA123" s="2" t="s">
        <v>91</v>
      </c>
    </row>
    <row r="124" spans="1:27">
      <c r="A124" s="2">
        <f>30000000+INDEX(编号表!$B:$B,MATCH(F124,编号表!$A:$A,0))*10000+D124</f>
        <v>30090012</v>
      </c>
      <c r="B124" s="2" t="s">
        <v>372</v>
      </c>
      <c r="C124" s="2" t="s">
        <v>86</v>
      </c>
      <c r="D124" s="2">
        <v>12</v>
      </c>
      <c r="E124" s="2">
        <v>60</v>
      </c>
      <c r="F124" s="2" t="s">
        <v>345</v>
      </c>
      <c r="G124" s="2" t="s">
        <v>61</v>
      </c>
      <c r="H124" s="2" t="s">
        <v>142</v>
      </c>
      <c r="I124" s="2">
        <v>1</v>
      </c>
      <c r="J124" s="2" t="s">
        <v>345</v>
      </c>
      <c r="L124" s="2">
        <v>60000</v>
      </c>
      <c r="M124" s="2" t="s">
        <v>63</v>
      </c>
      <c r="O124" s="2">
        <v>1</v>
      </c>
      <c r="P124" s="2" t="s">
        <v>64</v>
      </c>
      <c r="Q124" s="2">
        <v>999</v>
      </c>
      <c r="U124" s="2" t="s">
        <v>352</v>
      </c>
      <c r="V124" s="2" t="s">
        <v>237</v>
      </c>
      <c r="W124" s="2">
        <v>34090012</v>
      </c>
      <c r="X124" s="2" t="s">
        <v>373</v>
      </c>
      <c r="Y124" s="2" t="s">
        <v>89</v>
      </c>
      <c r="Z124" s="2" t="s">
        <v>90</v>
      </c>
      <c r="AA124" s="2" t="s">
        <v>91</v>
      </c>
    </row>
    <row r="125" spans="1:27">
      <c r="A125" s="2">
        <f>30000000+INDEX(编号表!$B:$B,MATCH(F125,编号表!$A:$A,0))*10000+D125</f>
        <v>30090013</v>
      </c>
      <c r="B125" s="2" t="s">
        <v>374</v>
      </c>
      <c r="C125" s="2" t="s">
        <v>86</v>
      </c>
      <c r="D125" s="2">
        <v>13</v>
      </c>
      <c r="E125" s="2">
        <v>60</v>
      </c>
      <c r="F125" s="2" t="s">
        <v>345</v>
      </c>
      <c r="G125" s="2" t="s">
        <v>61</v>
      </c>
      <c r="H125" s="2" t="s">
        <v>142</v>
      </c>
      <c r="I125" s="2">
        <v>1</v>
      </c>
      <c r="J125" s="2" t="s">
        <v>345</v>
      </c>
      <c r="L125" s="2">
        <v>60000</v>
      </c>
      <c r="M125" s="2" t="s">
        <v>63</v>
      </c>
      <c r="O125" s="2">
        <v>1</v>
      </c>
      <c r="P125" s="2" t="s">
        <v>64</v>
      </c>
      <c r="Q125" s="2">
        <v>999</v>
      </c>
      <c r="U125" s="2" t="s">
        <v>352</v>
      </c>
      <c r="V125" s="2" t="s">
        <v>237</v>
      </c>
      <c r="W125" s="2">
        <v>34090013</v>
      </c>
      <c r="X125" s="2" t="s">
        <v>375</v>
      </c>
      <c r="Y125" s="2" t="s">
        <v>89</v>
      </c>
      <c r="Z125" s="2" t="s">
        <v>90</v>
      </c>
      <c r="AA125" s="2" t="s">
        <v>91</v>
      </c>
    </row>
    <row r="126" spans="1:27">
      <c r="A126" s="2">
        <f>30000000+INDEX(编号表!$B:$B,MATCH(F126,编号表!$A:$A,0))*10000+D126</f>
        <v>30090014</v>
      </c>
      <c r="B126" s="2" t="s">
        <v>376</v>
      </c>
      <c r="C126" s="2" t="s">
        <v>86</v>
      </c>
      <c r="D126" s="2">
        <v>14</v>
      </c>
      <c r="E126" s="2">
        <v>60</v>
      </c>
      <c r="F126" s="2" t="s">
        <v>345</v>
      </c>
      <c r="G126" s="2" t="s">
        <v>61</v>
      </c>
      <c r="H126" s="2" t="s">
        <v>142</v>
      </c>
      <c r="I126" s="2">
        <v>1</v>
      </c>
      <c r="J126" s="2" t="s">
        <v>345</v>
      </c>
      <c r="L126" s="2">
        <v>60000</v>
      </c>
      <c r="M126" s="2" t="s">
        <v>63</v>
      </c>
      <c r="O126" s="2">
        <v>1</v>
      </c>
      <c r="P126" s="2" t="s">
        <v>64</v>
      </c>
      <c r="Q126" s="2">
        <v>999</v>
      </c>
      <c r="U126" s="2" t="s">
        <v>352</v>
      </c>
      <c r="V126" s="2" t="s">
        <v>237</v>
      </c>
      <c r="W126" s="2">
        <v>34090014</v>
      </c>
      <c r="X126" s="2" t="s">
        <v>377</v>
      </c>
      <c r="Y126" s="2" t="s">
        <v>89</v>
      </c>
      <c r="Z126" s="2" t="s">
        <v>90</v>
      </c>
      <c r="AA126" s="2" t="s">
        <v>91</v>
      </c>
    </row>
    <row r="127" spans="1:27">
      <c r="A127" s="2">
        <f>30000000+INDEX(编号表!$B:$B,MATCH(F127,编号表!$A:$A,0))*10000+D127</f>
        <v>30090015</v>
      </c>
      <c r="B127" s="2" t="s">
        <v>378</v>
      </c>
      <c r="C127" s="2" t="s">
        <v>379</v>
      </c>
      <c r="D127" s="2">
        <v>15</v>
      </c>
      <c r="E127" s="2">
        <v>60</v>
      </c>
      <c r="F127" s="2" t="s">
        <v>345</v>
      </c>
      <c r="G127" s="2" t="s">
        <v>61</v>
      </c>
      <c r="H127" s="2" t="s">
        <v>142</v>
      </c>
      <c r="I127" s="2">
        <v>1</v>
      </c>
      <c r="J127" s="2" t="s">
        <v>345</v>
      </c>
      <c r="L127" s="2">
        <v>60000</v>
      </c>
      <c r="M127" s="2" t="s">
        <v>63</v>
      </c>
      <c r="O127" s="2">
        <v>1</v>
      </c>
      <c r="P127" s="2" t="s">
        <v>64</v>
      </c>
      <c r="Q127" s="2">
        <v>1</v>
      </c>
      <c r="U127" s="2" t="s">
        <v>380</v>
      </c>
      <c r="V127" s="2" t="s">
        <v>381</v>
      </c>
      <c r="W127" s="17">
        <v>34090014</v>
      </c>
      <c r="X127" s="17" t="s">
        <v>377</v>
      </c>
      <c r="Y127" s="2" t="s">
        <v>382</v>
      </c>
      <c r="Z127" s="2" t="s">
        <v>383</v>
      </c>
      <c r="AA127" s="2" t="s">
        <v>384</v>
      </c>
    </row>
    <row r="128" spans="1:27">
      <c r="A128" s="2">
        <f>30000000+INDEX(编号表!$B:$B,MATCH(F128,编号表!$A:$A,0))*10000+D128</f>
        <v>30090016</v>
      </c>
      <c r="B128" s="2" t="s">
        <v>385</v>
      </c>
      <c r="C128" s="2" t="s">
        <v>379</v>
      </c>
      <c r="D128" s="2">
        <v>16</v>
      </c>
      <c r="E128" s="2">
        <v>60</v>
      </c>
      <c r="F128" s="2" t="s">
        <v>345</v>
      </c>
      <c r="G128" s="2" t="s">
        <v>61</v>
      </c>
      <c r="H128" s="2" t="s">
        <v>142</v>
      </c>
      <c r="I128" s="2">
        <v>1</v>
      </c>
      <c r="J128" s="2" t="s">
        <v>345</v>
      </c>
      <c r="L128" s="2">
        <v>60000</v>
      </c>
      <c r="M128" s="2" t="s">
        <v>63</v>
      </c>
      <c r="O128" s="2">
        <v>1</v>
      </c>
      <c r="P128" s="2" t="s">
        <v>64</v>
      </c>
      <c r="Q128" s="2">
        <v>1</v>
      </c>
      <c r="U128" s="2" t="s">
        <v>380</v>
      </c>
      <c r="V128" s="2" t="s">
        <v>381</v>
      </c>
      <c r="W128" s="17">
        <v>34090014</v>
      </c>
      <c r="X128" s="17" t="s">
        <v>377</v>
      </c>
      <c r="Y128" s="2" t="s">
        <v>382</v>
      </c>
      <c r="Z128" s="2" t="s">
        <v>383</v>
      </c>
      <c r="AA128" s="2" t="s">
        <v>384</v>
      </c>
    </row>
    <row r="129" spans="1:27">
      <c r="A129" s="2">
        <f>30000000+INDEX(编号表!$B:$B,MATCH(F129,编号表!$A:$A,0))*10000+D129</f>
        <v>30090017</v>
      </c>
      <c r="B129" s="2" t="s">
        <v>386</v>
      </c>
      <c r="C129" s="2" t="s">
        <v>379</v>
      </c>
      <c r="D129" s="2">
        <v>17</v>
      </c>
      <c r="E129" s="2">
        <v>60</v>
      </c>
      <c r="F129" s="2" t="s">
        <v>345</v>
      </c>
      <c r="G129" s="2" t="s">
        <v>61</v>
      </c>
      <c r="H129" s="2" t="s">
        <v>142</v>
      </c>
      <c r="I129" s="2">
        <v>1</v>
      </c>
      <c r="J129" s="2" t="s">
        <v>345</v>
      </c>
      <c r="L129" s="2">
        <v>60000</v>
      </c>
      <c r="M129" s="2" t="s">
        <v>63</v>
      </c>
      <c r="O129" s="2">
        <v>1</v>
      </c>
      <c r="P129" s="2" t="s">
        <v>64</v>
      </c>
      <c r="Q129" s="2">
        <v>1</v>
      </c>
      <c r="U129" s="2" t="s">
        <v>380</v>
      </c>
      <c r="V129" s="2" t="s">
        <v>381</v>
      </c>
      <c r="W129" s="17">
        <v>34090014</v>
      </c>
      <c r="X129" s="17" t="s">
        <v>377</v>
      </c>
      <c r="Y129" s="2" t="s">
        <v>382</v>
      </c>
      <c r="Z129" s="2" t="s">
        <v>383</v>
      </c>
      <c r="AA129" s="2" t="s">
        <v>384</v>
      </c>
    </row>
    <row r="130" spans="1:27">
      <c r="A130" s="2">
        <f>30000000+INDEX(编号表!$B:$B,MATCH(F130,编号表!$A:$A,0))*10000+D130</f>
        <v>30090018</v>
      </c>
      <c r="B130" s="2" t="s">
        <v>387</v>
      </c>
      <c r="C130" s="2" t="s">
        <v>379</v>
      </c>
      <c r="D130" s="2">
        <v>18</v>
      </c>
      <c r="E130" s="2">
        <v>60</v>
      </c>
      <c r="F130" s="2" t="s">
        <v>345</v>
      </c>
      <c r="G130" s="2" t="s">
        <v>61</v>
      </c>
      <c r="H130" s="2" t="s">
        <v>142</v>
      </c>
      <c r="I130" s="2">
        <v>1</v>
      </c>
      <c r="J130" s="2" t="s">
        <v>345</v>
      </c>
      <c r="L130" s="2">
        <v>60000</v>
      </c>
      <c r="M130" s="2" t="s">
        <v>63</v>
      </c>
      <c r="O130" s="2">
        <v>1</v>
      </c>
      <c r="P130" s="2" t="s">
        <v>64</v>
      </c>
      <c r="Q130" s="2">
        <v>1</v>
      </c>
      <c r="U130" s="2" t="s">
        <v>380</v>
      </c>
      <c r="V130" s="2" t="s">
        <v>381</v>
      </c>
      <c r="W130" s="17">
        <v>34090014</v>
      </c>
      <c r="X130" s="17" t="s">
        <v>377</v>
      </c>
      <c r="Y130" s="2" t="s">
        <v>382</v>
      </c>
      <c r="Z130" s="2" t="s">
        <v>383</v>
      </c>
      <c r="AA130" s="2" t="s">
        <v>384</v>
      </c>
    </row>
    <row r="131" spans="1:27">
      <c r="A131" s="2">
        <f>30000000+INDEX(编号表!$B:$B,MATCH(F131,编号表!$A:$A,0))*10000+D131</f>
        <v>30090019</v>
      </c>
      <c r="B131" s="2" t="s">
        <v>388</v>
      </c>
      <c r="C131" s="2" t="s">
        <v>379</v>
      </c>
      <c r="D131" s="2">
        <v>19</v>
      </c>
      <c r="E131" s="2">
        <v>60</v>
      </c>
      <c r="F131" s="2" t="s">
        <v>345</v>
      </c>
      <c r="G131" s="2" t="s">
        <v>61</v>
      </c>
      <c r="H131" s="2" t="s">
        <v>142</v>
      </c>
      <c r="I131" s="2">
        <v>1</v>
      </c>
      <c r="J131" s="2" t="s">
        <v>345</v>
      </c>
      <c r="L131" s="2">
        <v>60000</v>
      </c>
      <c r="M131" s="2" t="s">
        <v>63</v>
      </c>
      <c r="O131" s="2">
        <v>1</v>
      </c>
      <c r="P131" s="2" t="s">
        <v>64</v>
      </c>
      <c r="Q131" s="2">
        <v>1</v>
      </c>
      <c r="U131" s="2" t="s">
        <v>380</v>
      </c>
      <c r="V131" s="2" t="s">
        <v>381</v>
      </c>
      <c r="W131" s="17">
        <v>34090014</v>
      </c>
      <c r="X131" s="17" t="s">
        <v>377</v>
      </c>
      <c r="Y131" s="2" t="s">
        <v>382</v>
      </c>
      <c r="Z131" s="2" t="s">
        <v>383</v>
      </c>
      <c r="AA131" s="2" t="s">
        <v>384</v>
      </c>
    </row>
    <row r="132" spans="1:27">
      <c r="A132" s="2">
        <f>30000000+INDEX(编号表!$B:$B,MATCH(F132,编号表!$A:$A,0))*10000+D132</f>
        <v>30090020</v>
      </c>
      <c r="B132" s="2" t="s">
        <v>389</v>
      </c>
      <c r="C132" s="2" t="s">
        <v>379</v>
      </c>
      <c r="D132" s="2">
        <v>20</v>
      </c>
      <c r="E132" s="2">
        <v>60</v>
      </c>
      <c r="F132" s="2" t="s">
        <v>345</v>
      </c>
      <c r="G132" s="2" t="s">
        <v>61</v>
      </c>
      <c r="H132" s="2" t="s">
        <v>142</v>
      </c>
      <c r="I132" s="2">
        <v>1</v>
      </c>
      <c r="J132" s="2" t="s">
        <v>345</v>
      </c>
      <c r="L132" s="2">
        <v>60000</v>
      </c>
      <c r="M132" s="2" t="s">
        <v>63</v>
      </c>
      <c r="O132" s="2">
        <v>1</v>
      </c>
      <c r="P132" s="2" t="s">
        <v>64</v>
      </c>
      <c r="Q132" s="2">
        <v>1</v>
      </c>
      <c r="U132" s="2" t="s">
        <v>380</v>
      </c>
      <c r="V132" s="2" t="s">
        <v>381</v>
      </c>
      <c r="W132" s="17">
        <v>34090014</v>
      </c>
      <c r="X132" s="17" t="s">
        <v>377</v>
      </c>
      <c r="Y132" s="2" t="s">
        <v>382</v>
      </c>
      <c r="Z132" s="2" t="s">
        <v>383</v>
      </c>
      <c r="AA132" s="2" t="s">
        <v>384</v>
      </c>
    </row>
    <row r="133" spans="1:27">
      <c r="A133" s="2">
        <f>30000000+INDEX(编号表!$B:$B,MATCH(F133,编号表!$A:$A,0))*10000+D133</f>
        <v>30090021</v>
      </c>
      <c r="B133" s="2" t="s">
        <v>390</v>
      </c>
      <c r="C133" s="2" t="s">
        <v>379</v>
      </c>
      <c r="D133" s="2">
        <v>21</v>
      </c>
      <c r="E133" s="2">
        <v>60</v>
      </c>
      <c r="F133" s="2" t="s">
        <v>345</v>
      </c>
      <c r="G133" s="2" t="s">
        <v>61</v>
      </c>
      <c r="H133" s="2" t="s">
        <v>142</v>
      </c>
      <c r="I133" s="2">
        <v>1</v>
      </c>
      <c r="J133" s="2" t="s">
        <v>345</v>
      </c>
      <c r="L133" s="2">
        <v>60000</v>
      </c>
      <c r="M133" s="2" t="s">
        <v>63</v>
      </c>
      <c r="O133" s="2">
        <v>1</v>
      </c>
      <c r="P133" s="2" t="s">
        <v>64</v>
      </c>
      <c r="Q133" s="2">
        <v>1</v>
      </c>
      <c r="U133" s="2" t="s">
        <v>380</v>
      </c>
      <c r="V133" s="2" t="s">
        <v>381</v>
      </c>
      <c r="W133" s="17">
        <v>34090014</v>
      </c>
      <c r="X133" s="17" t="s">
        <v>377</v>
      </c>
      <c r="Y133" s="2" t="s">
        <v>382</v>
      </c>
      <c r="Z133" s="2" t="s">
        <v>383</v>
      </c>
      <c r="AA133" s="2" t="s">
        <v>384</v>
      </c>
    </row>
    <row r="134" spans="1:27">
      <c r="A134" s="2">
        <f>30000000+INDEX(编号表!$B:$B,MATCH(F134,编号表!$A:$A,0))*10000+D134</f>
        <v>30090022</v>
      </c>
      <c r="B134" s="2" t="s">
        <v>391</v>
      </c>
      <c r="C134" s="2" t="s">
        <v>379</v>
      </c>
      <c r="D134" s="2">
        <v>22</v>
      </c>
      <c r="E134" s="2">
        <v>60</v>
      </c>
      <c r="F134" s="2" t="s">
        <v>345</v>
      </c>
      <c r="G134" s="2" t="s">
        <v>61</v>
      </c>
      <c r="H134" s="2" t="s">
        <v>142</v>
      </c>
      <c r="I134" s="2">
        <v>1</v>
      </c>
      <c r="J134" s="2" t="s">
        <v>345</v>
      </c>
      <c r="L134" s="2">
        <v>60000</v>
      </c>
      <c r="M134" s="2" t="s">
        <v>63</v>
      </c>
      <c r="O134" s="2">
        <v>1</v>
      </c>
      <c r="P134" s="2" t="s">
        <v>64</v>
      </c>
      <c r="Q134" s="2">
        <v>1</v>
      </c>
      <c r="U134" s="2" t="s">
        <v>380</v>
      </c>
      <c r="V134" s="2" t="s">
        <v>381</v>
      </c>
      <c r="W134" s="17">
        <v>34090014</v>
      </c>
      <c r="X134" s="17" t="s">
        <v>377</v>
      </c>
      <c r="Y134" s="2" t="s">
        <v>382</v>
      </c>
      <c r="Z134" s="2" t="s">
        <v>383</v>
      </c>
      <c r="AA134" s="2" t="s">
        <v>384</v>
      </c>
    </row>
    <row r="135" spans="1:27">
      <c r="A135" s="2">
        <f>30000000+INDEX(编号表!$B:$B,MATCH(F135,编号表!$A:$A,0))*10000+D135</f>
        <v>30090023</v>
      </c>
      <c r="B135" s="2" t="s">
        <v>392</v>
      </c>
      <c r="C135" s="2" t="s">
        <v>379</v>
      </c>
      <c r="D135" s="2">
        <v>23</v>
      </c>
      <c r="E135" s="2">
        <v>60</v>
      </c>
      <c r="F135" s="2" t="s">
        <v>345</v>
      </c>
      <c r="G135" s="2" t="s">
        <v>61</v>
      </c>
      <c r="H135" s="2" t="s">
        <v>142</v>
      </c>
      <c r="I135" s="2">
        <v>1</v>
      </c>
      <c r="J135" s="2" t="s">
        <v>345</v>
      </c>
      <c r="L135" s="2">
        <v>60000</v>
      </c>
      <c r="M135" s="2" t="s">
        <v>63</v>
      </c>
      <c r="O135" s="2">
        <v>1</v>
      </c>
      <c r="P135" s="2" t="s">
        <v>64</v>
      </c>
      <c r="Q135" s="2">
        <v>1</v>
      </c>
      <c r="U135" s="2" t="s">
        <v>380</v>
      </c>
      <c r="V135" s="2" t="s">
        <v>381</v>
      </c>
      <c r="W135" s="17">
        <v>34090014</v>
      </c>
      <c r="X135" s="17" t="s">
        <v>377</v>
      </c>
      <c r="Y135" s="2" t="s">
        <v>382</v>
      </c>
      <c r="Z135" s="2" t="s">
        <v>383</v>
      </c>
      <c r="AA135" s="2" t="s">
        <v>384</v>
      </c>
    </row>
    <row r="136" spans="1:27">
      <c r="A136" s="2">
        <f>30000000+INDEX(编号表!$B:$B,MATCH(F136,编号表!$A:$A,0))*10000+D136</f>
        <v>30090024</v>
      </c>
      <c r="B136" s="2" t="s">
        <v>393</v>
      </c>
      <c r="C136" s="2" t="s">
        <v>379</v>
      </c>
      <c r="D136" s="2">
        <v>24</v>
      </c>
      <c r="E136" s="2">
        <v>60</v>
      </c>
      <c r="F136" s="2" t="s">
        <v>345</v>
      </c>
      <c r="G136" s="2" t="s">
        <v>61</v>
      </c>
      <c r="H136" s="2" t="s">
        <v>142</v>
      </c>
      <c r="I136" s="2">
        <v>1</v>
      </c>
      <c r="J136" s="2" t="s">
        <v>345</v>
      </c>
      <c r="L136" s="2">
        <v>60000</v>
      </c>
      <c r="M136" s="2" t="s">
        <v>63</v>
      </c>
      <c r="O136" s="2">
        <v>1</v>
      </c>
      <c r="P136" s="2" t="s">
        <v>64</v>
      </c>
      <c r="Q136" s="2">
        <v>1</v>
      </c>
      <c r="U136" s="2" t="s">
        <v>380</v>
      </c>
      <c r="V136" s="2" t="s">
        <v>381</v>
      </c>
      <c r="W136" s="17">
        <v>34090014</v>
      </c>
      <c r="X136" s="17" t="s">
        <v>377</v>
      </c>
      <c r="Y136" s="2" t="s">
        <v>382</v>
      </c>
      <c r="Z136" s="2" t="s">
        <v>383</v>
      </c>
      <c r="AA136" s="2" t="s">
        <v>384</v>
      </c>
    </row>
    <row r="137" spans="1:27">
      <c r="A137" s="2">
        <f>30000000+INDEX(编号表!$B:$B,MATCH(F137,编号表!$A:$A,0))*10000+D137</f>
        <v>30090025</v>
      </c>
      <c r="B137" s="2" t="s">
        <v>394</v>
      </c>
      <c r="C137" s="2" t="s">
        <v>379</v>
      </c>
      <c r="D137" s="2">
        <v>25</v>
      </c>
      <c r="E137" s="2">
        <v>60</v>
      </c>
      <c r="F137" s="2" t="s">
        <v>345</v>
      </c>
      <c r="G137" s="2" t="s">
        <v>61</v>
      </c>
      <c r="H137" s="2" t="s">
        <v>142</v>
      </c>
      <c r="I137" s="2">
        <v>1</v>
      </c>
      <c r="J137" s="2" t="s">
        <v>345</v>
      </c>
      <c r="L137" s="2">
        <v>60000</v>
      </c>
      <c r="M137" s="2" t="s">
        <v>63</v>
      </c>
      <c r="O137" s="2">
        <v>1</v>
      </c>
      <c r="P137" s="2" t="s">
        <v>64</v>
      </c>
      <c r="Q137" s="2">
        <v>1</v>
      </c>
      <c r="U137" s="2" t="s">
        <v>380</v>
      </c>
      <c r="V137" s="2" t="s">
        <v>381</v>
      </c>
      <c r="W137" s="17">
        <v>34090014</v>
      </c>
      <c r="X137" s="17" t="s">
        <v>377</v>
      </c>
      <c r="Y137" s="2" t="s">
        <v>382</v>
      </c>
      <c r="Z137" s="2" t="s">
        <v>383</v>
      </c>
      <c r="AA137" s="2" t="s">
        <v>384</v>
      </c>
    </row>
    <row r="138" spans="1:27">
      <c r="A138" s="2">
        <f>30000000+INDEX(编号表!$B:$B,MATCH(F138,编号表!$A:$A,0))*10000+D138</f>
        <v>30090026</v>
      </c>
      <c r="B138" s="2" t="s">
        <v>395</v>
      </c>
      <c r="C138" s="2" t="s">
        <v>379</v>
      </c>
      <c r="D138" s="2">
        <v>26</v>
      </c>
      <c r="E138" s="2">
        <v>60</v>
      </c>
      <c r="F138" s="2" t="s">
        <v>345</v>
      </c>
      <c r="G138" s="2" t="s">
        <v>61</v>
      </c>
      <c r="H138" s="2" t="s">
        <v>142</v>
      </c>
      <c r="I138" s="2">
        <v>1</v>
      </c>
      <c r="J138" s="2" t="s">
        <v>345</v>
      </c>
      <c r="L138" s="2">
        <v>60000</v>
      </c>
      <c r="M138" s="2" t="s">
        <v>63</v>
      </c>
      <c r="O138" s="2">
        <v>1</v>
      </c>
      <c r="P138" s="2" t="s">
        <v>64</v>
      </c>
      <c r="Q138" s="2">
        <v>1</v>
      </c>
      <c r="U138" s="2" t="s">
        <v>380</v>
      </c>
      <c r="V138" s="2" t="s">
        <v>381</v>
      </c>
      <c r="W138" s="17">
        <v>34090014</v>
      </c>
      <c r="X138" s="17" t="s">
        <v>377</v>
      </c>
      <c r="Y138" s="2" t="s">
        <v>382</v>
      </c>
      <c r="Z138" s="2" t="s">
        <v>383</v>
      </c>
      <c r="AA138" s="2" t="s">
        <v>384</v>
      </c>
    </row>
    <row r="139" spans="1:27">
      <c r="A139" s="2">
        <f>30000000+INDEX(编号表!$B:$B,MATCH(F139,编号表!$A:$A,0))*10000+D139</f>
        <v>30090027</v>
      </c>
      <c r="B139" s="2" t="s">
        <v>396</v>
      </c>
      <c r="C139" s="2" t="s">
        <v>397</v>
      </c>
      <c r="D139" s="2">
        <v>27</v>
      </c>
      <c r="E139" s="2">
        <v>60</v>
      </c>
      <c r="F139" s="2" t="s">
        <v>345</v>
      </c>
      <c r="G139" s="2" t="s">
        <v>61</v>
      </c>
      <c r="H139" s="2" t="s">
        <v>142</v>
      </c>
      <c r="I139" s="2">
        <v>1</v>
      </c>
      <c r="J139" s="2" t="s">
        <v>345</v>
      </c>
      <c r="L139" s="2">
        <v>60000</v>
      </c>
      <c r="M139" s="2" t="s">
        <v>63</v>
      </c>
      <c r="O139" s="2">
        <v>1</v>
      </c>
      <c r="P139" s="2" t="s">
        <v>64</v>
      </c>
      <c r="Q139" s="2">
        <v>1</v>
      </c>
      <c r="U139" s="2" t="s">
        <v>380</v>
      </c>
      <c r="V139" s="2" t="s">
        <v>381</v>
      </c>
      <c r="W139" s="17">
        <v>34090014</v>
      </c>
      <c r="X139" s="17" t="s">
        <v>377</v>
      </c>
      <c r="Y139" s="2" t="s">
        <v>398</v>
      </c>
      <c r="Z139" s="2" t="s">
        <v>399</v>
      </c>
      <c r="AA139" s="2" t="s">
        <v>400</v>
      </c>
    </row>
    <row r="140" spans="1:27">
      <c r="A140" s="2">
        <f>30000000+INDEX(编号表!$B:$B,MATCH(F140,编号表!$A:$A,0))*10000+D140</f>
        <v>30090028</v>
      </c>
      <c r="B140" s="2" t="s">
        <v>401</v>
      </c>
      <c r="C140" s="2" t="s">
        <v>397</v>
      </c>
      <c r="D140" s="2">
        <v>28</v>
      </c>
      <c r="E140" s="2">
        <v>60</v>
      </c>
      <c r="F140" s="2" t="s">
        <v>345</v>
      </c>
      <c r="G140" s="2" t="s">
        <v>61</v>
      </c>
      <c r="H140" s="2" t="s">
        <v>142</v>
      </c>
      <c r="I140" s="2">
        <v>1</v>
      </c>
      <c r="J140" s="2" t="s">
        <v>345</v>
      </c>
      <c r="L140" s="2">
        <v>60000</v>
      </c>
      <c r="M140" s="2" t="s">
        <v>63</v>
      </c>
      <c r="O140" s="2">
        <v>1</v>
      </c>
      <c r="P140" s="2" t="s">
        <v>64</v>
      </c>
      <c r="Q140" s="2">
        <v>1</v>
      </c>
      <c r="U140" s="2" t="s">
        <v>380</v>
      </c>
      <c r="V140" s="2" t="s">
        <v>381</v>
      </c>
      <c r="W140" s="17">
        <v>34090014</v>
      </c>
      <c r="X140" s="17" t="s">
        <v>377</v>
      </c>
      <c r="Y140" s="2" t="s">
        <v>398</v>
      </c>
      <c r="Z140" s="2" t="s">
        <v>399</v>
      </c>
      <c r="AA140" s="2" t="s">
        <v>400</v>
      </c>
    </row>
    <row r="141" spans="1:27">
      <c r="A141" s="2">
        <f>30000000+INDEX(编号表!$B:$B,MATCH(F141,编号表!$A:$A,0))*10000+D141</f>
        <v>30090029</v>
      </c>
      <c r="B141" s="2" t="s">
        <v>402</v>
      </c>
      <c r="C141" s="2" t="s">
        <v>397</v>
      </c>
      <c r="D141" s="2">
        <v>29</v>
      </c>
      <c r="E141" s="2">
        <v>60</v>
      </c>
      <c r="F141" s="2" t="s">
        <v>345</v>
      </c>
      <c r="G141" s="2" t="s">
        <v>61</v>
      </c>
      <c r="H141" s="2" t="s">
        <v>142</v>
      </c>
      <c r="I141" s="2">
        <v>1</v>
      </c>
      <c r="J141" s="2" t="s">
        <v>345</v>
      </c>
      <c r="L141" s="2">
        <v>60000</v>
      </c>
      <c r="M141" s="2" t="s">
        <v>63</v>
      </c>
      <c r="O141" s="2">
        <v>1</v>
      </c>
      <c r="P141" s="2" t="s">
        <v>64</v>
      </c>
      <c r="Q141" s="2">
        <v>1</v>
      </c>
      <c r="U141" s="2" t="s">
        <v>380</v>
      </c>
      <c r="V141" s="2" t="s">
        <v>381</v>
      </c>
      <c r="W141" s="17">
        <v>34090014</v>
      </c>
      <c r="X141" s="17" t="s">
        <v>377</v>
      </c>
      <c r="Y141" s="2" t="s">
        <v>398</v>
      </c>
      <c r="Z141" s="2" t="s">
        <v>399</v>
      </c>
      <c r="AA141" s="2" t="s">
        <v>400</v>
      </c>
    </row>
    <row r="142" spans="1:27">
      <c r="A142" s="2">
        <f>30000000+INDEX(编号表!$B:$B,MATCH(F142,编号表!$A:$A,0))*10000+D142</f>
        <v>30090030</v>
      </c>
      <c r="B142" s="2" t="s">
        <v>403</v>
      </c>
      <c r="C142" s="2" t="s">
        <v>397</v>
      </c>
      <c r="D142" s="2">
        <v>30</v>
      </c>
      <c r="E142" s="2">
        <v>60</v>
      </c>
      <c r="F142" s="2" t="s">
        <v>345</v>
      </c>
      <c r="G142" s="2" t="s">
        <v>61</v>
      </c>
      <c r="H142" s="2" t="s">
        <v>142</v>
      </c>
      <c r="I142" s="2">
        <v>1</v>
      </c>
      <c r="J142" s="2" t="s">
        <v>345</v>
      </c>
      <c r="L142" s="2">
        <v>60000</v>
      </c>
      <c r="M142" s="2" t="s">
        <v>63</v>
      </c>
      <c r="O142" s="2">
        <v>1</v>
      </c>
      <c r="P142" s="2" t="s">
        <v>64</v>
      </c>
      <c r="Q142" s="2">
        <v>1</v>
      </c>
      <c r="U142" s="2" t="s">
        <v>380</v>
      </c>
      <c r="V142" s="2" t="s">
        <v>381</v>
      </c>
      <c r="W142" s="17">
        <v>34090014</v>
      </c>
      <c r="X142" s="17" t="s">
        <v>377</v>
      </c>
      <c r="Y142" s="2" t="s">
        <v>398</v>
      </c>
      <c r="Z142" s="2" t="s">
        <v>399</v>
      </c>
      <c r="AA142" s="2" t="s">
        <v>400</v>
      </c>
    </row>
    <row r="143" spans="1:27">
      <c r="A143" s="2">
        <f>30000000+INDEX(编号表!$B:$B,MATCH(F143,编号表!$A:$A,0))*10000+D143</f>
        <v>30090031</v>
      </c>
      <c r="B143" s="2" t="s">
        <v>404</v>
      </c>
      <c r="C143" s="2" t="s">
        <v>397</v>
      </c>
      <c r="D143" s="2">
        <v>31</v>
      </c>
      <c r="E143" s="2">
        <v>60</v>
      </c>
      <c r="F143" s="2" t="s">
        <v>345</v>
      </c>
      <c r="G143" s="2" t="s">
        <v>61</v>
      </c>
      <c r="H143" s="2" t="s">
        <v>142</v>
      </c>
      <c r="I143" s="2">
        <v>1</v>
      </c>
      <c r="J143" s="2" t="s">
        <v>345</v>
      </c>
      <c r="L143" s="2">
        <v>60000</v>
      </c>
      <c r="M143" s="2" t="s">
        <v>63</v>
      </c>
      <c r="O143" s="2">
        <v>1</v>
      </c>
      <c r="P143" s="2" t="s">
        <v>64</v>
      </c>
      <c r="Q143" s="2">
        <v>1</v>
      </c>
      <c r="U143" s="2" t="s">
        <v>380</v>
      </c>
      <c r="V143" s="2" t="s">
        <v>381</v>
      </c>
      <c r="W143" s="17">
        <v>34090014</v>
      </c>
      <c r="X143" s="17" t="s">
        <v>377</v>
      </c>
      <c r="Y143" s="2" t="s">
        <v>398</v>
      </c>
      <c r="Z143" s="2" t="s">
        <v>399</v>
      </c>
      <c r="AA143" s="2" t="s">
        <v>400</v>
      </c>
    </row>
    <row r="144" spans="1:27">
      <c r="A144" s="2">
        <f>30000000+INDEX(编号表!$B:$B,MATCH(F144,编号表!$A:$A,0))*10000+D144</f>
        <v>30090032</v>
      </c>
      <c r="B144" s="2" t="s">
        <v>405</v>
      </c>
      <c r="C144" s="2" t="s">
        <v>397</v>
      </c>
      <c r="D144" s="2">
        <v>32</v>
      </c>
      <c r="E144" s="2">
        <v>60</v>
      </c>
      <c r="F144" s="2" t="s">
        <v>345</v>
      </c>
      <c r="G144" s="2" t="s">
        <v>61</v>
      </c>
      <c r="H144" s="2" t="s">
        <v>142</v>
      </c>
      <c r="I144" s="2">
        <v>1</v>
      </c>
      <c r="J144" s="2" t="s">
        <v>345</v>
      </c>
      <c r="L144" s="2">
        <v>60000</v>
      </c>
      <c r="M144" s="2" t="s">
        <v>63</v>
      </c>
      <c r="O144" s="2">
        <v>1</v>
      </c>
      <c r="P144" s="2" t="s">
        <v>64</v>
      </c>
      <c r="Q144" s="2">
        <v>1</v>
      </c>
      <c r="U144" s="2" t="s">
        <v>380</v>
      </c>
      <c r="V144" s="2" t="s">
        <v>381</v>
      </c>
      <c r="W144" s="17">
        <v>34090014</v>
      </c>
      <c r="X144" s="17" t="s">
        <v>377</v>
      </c>
      <c r="Y144" s="2" t="s">
        <v>398</v>
      </c>
      <c r="Z144" s="2" t="s">
        <v>399</v>
      </c>
      <c r="AA144" s="2" t="s">
        <v>400</v>
      </c>
    </row>
    <row r="145" spans="1:27">
      <c r="A145" s="2">
        <f>30000000+INDEX(编号表!$B:$B,MATCH(F145,编号表!$A:$A,0))*10000+D145</f>
        <v>30090033</v>
      </c>
      <c r="B145" s="2" t="s">
        <v>406</v>
      </c>
      <c r="C145" s="2" t="s">
        <v>397</v>
      </c>
      <c r="D145" s="2">
        <v>33</v>
      </c>
      <c r="E145" s="2">
        <v>60</v>
      </c>
      <c r="F145" s="2" t="s">
        <v>345</v>
      </c>
      <c r="G145" s="2" t="s">
        <v>61</v>
      </c>
      <c r="H145" s="2" t="s">
        <v>142</v>
      </c>
      <c r="I145" s="2">
        <v>1</v>
      </c>
      <c r="J145" s="2" t="s">
        <v>345</v>
      </c>
      <c r="L145" s="2">
        <v>60000</v>
      </c>
      <c r="M145" s="2" t="s">
        <v>63</v>
      </c>
      <c r="O145" s="2">
        <v>1</v>
      </c>
      <c r="P145" s="2" t="s">
        <v>64</v>
      </c>
      <c r="Q145" s="2">
        <v>1</v>
      </c>
      <c r="U145" s="2" t="s">
        <v>380</v>
      </c>
      <c r="V145" s="2" t="s">
        <v>381</v>
      </c>
      <c r="W145" s="17">
        <v>34090014</v>
      </c>
      <c r="X145" s="17" t="s">
        <v>377</v>
      </c>
      <c r="Y145" s="2" t="s">
        <v>398</v>
      </c>
      <c r="Z145" s="2" t="s">
        <v>399</v>
      </c>
      <c r="AA145" s="2" t="s">
        <v>400</v>
      </c>
    </row>
    <row r="146" spans="1:27">
      <c r="A146" s="2">
        <f>30000000+INDEX(编号表!$B:$B,MATCH(F146,编号表!$A:$A,0))*10000+D146</f>
        <v>30090034</v>
      </c>
      <c r="B146" s="2" t="s">
        <v>407</v>
      </c>
      <c r="C146" s="2" t="s">
        <v>397</v>
      </c>
      <c r="D146" s="2">
        <v>34</v>
      </c>
      <c r="E146" s="2">
        <v>60</v>
      </c>
      <c r="F146" s="2" t="s">
        <v>345</v>
      </c>
      <c r="G146" s="2" t="s">
        <v>61</v>
      </c>
      <c r="H146" s="2" t="s">
        <v>142</v>
      </c>
      <c r="I146" s="2">
        <v>1</v>
      </c>
      <c r="J146" s="2" t="s">
        <v>345</v>
      </c>
      <c r="L146" s="2">
        <v>60000</v>
      </c>
      <c r="M146" s="2" t="s">
        <v>63</v>
      </c>
      <c r="O146" s="2">
        <v>1</v>
      </c>
      <c r="P146" s="2" t="s">
        <v>64</v>
      </c>
      <c r="Q146" s="2">
        <v>1</v>
      </c>
      <c r="U146" s="2" t="s">
        <v>380</v>
      </c>
      <c r="V146" s="2" t="s">
        <v>381</v>
      </c>
      <c r="W146" s="17">
        <v>34090014</v>
      </c>
      <c r="X146" s="17" t="s">
        <v>377</v>
      </c>
      <c r="Y146" s="2" t="s">
        <v>398</v>
      </c>
      <c r="Z146" s="2" t="s">
        <v>399</v>
      </c>
      <c r="AA146" s="2" t="s">
        <v>400</v>
      </c>
    </row>
    <row r="147" spans="1:27">
      <c r="A147" s="2">
        <f>30000000+INDEX(编号表!$B:$B,MATCH(F147,编号表!$A:$A,0))*10000+D147</f>
        <v>30090035</v>
      </c>
      <c r="B147" s="2" t="s">
        <v>408</v>
      </c>
      <c r="C147" s="2" t="s">
        <v>397</v>
      </c>
      <c r="D147" s="2">
        <v>35</v>
      </c>
      <c r="E147" s="2">
        <v>60</v>
      </c>
      <c r="F147" s="2" t="s">
        <v>345</v>
      </c>
      <c r="G147" s="2" t="s">
        <v>61</v>
      </c>
      <c r="H147" s="2" t="s">
        <v>142</v>
      </c>
      <c r="I147" s="2">
        <v>1</v>
      </c>
      <c r="J147" s="2" t="s">
        <v>345</v>
      </c>
      <c r="L147" s="2">
        <v>60000</v>
      </c>
      <c r="M147" s="2" t="s">
        <v>63</v>
      </c>
      <c r="O147" s="2">
        <v>1</v>
      </c>
      <c r="P147" s="2" t="s">
        <v>64</v>
      </c>
      <c r="Q147" s="2">
        <v>1</v>
      </c>
      <c r="U147" s="2" t="s">
        <v>380</v>
      </c>
      <c r="V147" s="2" t="s">
        <v>381</v>
      </c>
      <c r="W147" s="17">
        <v>34090014</v>
      </c>
      <c r="X147" s="17" t="s">
        <v>377</v>
      </c>
      <c r="Y147" s="2" t="s">
        <v>398</v>
      </c>
      <c r="Z147" s="2" t="s">
        <v>399</v>
      </c>
      <c r="AA147" s="2" t="s">
        <v>400</v>
      </c>
    </row>
    <row r="148" spans="1:27">
      <c r="A148" s="2">
        <f>30000000+INDEX(编号表!$B:$B,MATCH(F148,编号表!$A:$A,0))*10000+D148</f>
        <v>30090036</v>
      </c>
      <c r="B148" s="2" t="s">
        <v>409</v>
      </c>
      <c r="C148" s="2" t="s">
        <v>397</v>
      </c>
      <c r="D148" s="2">
        <v>36</v>
      </c>
      <c r="E148" s="2">
        <v>60</v>
      </c>
      <c r="F148" s="2" t="s">
        <v>345</v>
      </c>
      <c r="G148" s="2" t="s">
        <v>61</v>
      </c>
      <c r="H148" s="2" t="s">
        <v>142</v>
      </c>
      <c r="I148" s="2">
        <v>1</v>
      </c>
      <c r="J148" s="2" t="s">
        <v>345</v>
      </c>
      <c r="L148" s="2">
        <v>60000</v>
      </c>
      <c r="M148" s="2" t="s">
        <v>63</v>
      </c>
      <c r="O148" s="2">
        <v>1</v>
      </c>
      <c r="P148" s="2" t="s">
        <v>64</v>
      </c>
      <c r="Q148" s="2">
        <v>1</v>
      </c>
      <c r="U148" s="2" t="s">
        <v>380</v>
      </c>
      <c r="V148" s="2" t="s">
        <v>381</v>
      </c>
      <c r="W148" s="17">
        <v>34090014</v>
      </c>
      <c r="X148" s="17" t="s">
        <v>377</v>
      </c>
      <c r="Y148" s="2" t="s">
        <v>398</v>
      </c>
      <c r="Z148" s="2" t="s">
        <v>399</v>
      </c>
      <c r="AA148" s="2" t="s">
        <v>400</v>
      </c>
    </row>
    <row r="149" spans="1:27">
      <c r="A149" s="2">
        <f>30000000+INDEX(编号表!$B:$B,MATCH(F149,编号表!$A:$A,0))*10000+D149</f>
        <v>30090037</v>
      </c>
      <c r="B149" s="2" t="s">
        <v>410</v>
      </c>
      <c r="C149" s="2" t="s">
        <v>397</v>
      </c>
      <c r="D149" s="2">
        <v>37</v>
      </c>
      <c r="E149" s="2">
        <v>60</v>
      </c>
      <c r="F149" s="2" t="s">
        <v>345</v>
      </c>
      <c r="G149" s="2" t="s">
        <v>61</v>
      </c>
      <c r="H149" s="2" t="s">
        <v>142</v>
      </c>
      <c r="I149" s="2">
        <v>1</v>
      </c>
      <c r="J149" s="2" t="s">
        <v>345</v>
      </c>
      <c r="L149" s="2">
        <v>60000</v>
      </c>
      <c r="M149" s="2" t="s">
        <v>63</v>
      </c>
      <c r="O149" s="2">
        <v>1</v>
      </c>
      <c r="P149" s="2" t="s">
        <v>64</v>
      </c>
      <c r="Q149" s="2">
        <v>1</v>
      </c>
      <c r="U149" s="2" t="s">
        <v>380</v>
      </c>
      <c r="V149" s="2" t="s">
        <v>381</v>
      </c>
      <c r="W149" s="17">
        <v>34090014</v>
      </c>
      <c r="X149" s="17" t="s">
        <v>377</v>
      </c>
      <c r="Y149" s="2" t="s">
        <v>398</v>
      </c>
      <c r="Z149" s="2" t="s">
        <v>399</v>
      </c>
      <c r="AA149" s="2" t="s">
        <v>400</v>
      </c>
    </row>
    <row r="150" spans="1:27">
      <c r="A150" s="2">
        <f>30000000+INDEX(编号表!$B:$B,MATCH(F150,编号表!$A:$A,0))*10000+D150</f>
        <v>30090038</v>
      </c>
      <c r="B150" s="2" t="s">
        <v>411</v>
      </c>
      <c r="C150" s="2" t="s">
        <v>397</v>
      </c>
      <c r="D150" s="2">
        <v>38</v>
      </c>
      <c r="E150" s="2">
        <v>60</v>
      </c>
      <c r="F150" s="2" t="s">
        <v>345</v>
      </c>
      <c r="G150" s="2" t="s">
        <v>61</v>
      </c>
      <c r="H150" s="2" t="s">
        <v>142</v>
      </c>
      <c r="I150" s="2">
        <v>1</v>
      </c>
      <c r="J150" s="2" t="s">
        <v>345</v>
      </c>
      <c r="L150" s="2">
        <v>60000</v>
      </c>
      <c r="M150" s="2" t="s">
        <v>63</v>
      </c>
      <c r="O150" s="2">
        <v>1</v>
      </c>
      <c r="P150" s="2" t="s">
        <v>64</v>
      </c>
      <c r="Q150" s="2">
        <v>1</v>
      </c>
      <c r="U150" s="2" t="s">
        <v>380</v>
      </c>
      <c r="V150" s="2" t="s">
        <v>381</v>
      </c>
      <c r="W150" s="17">
        <v>34090014</v>
      </c>
      <c r="X150" s="17" t="s">
        <v>377</v>
      </c>
      <c r="Y150" s="2" t="s">
        <v>398</v>
      </c>
      <c r="Z150" s="2" t="s">
        <v>399</v>
      </c>
      <c r="AA150" s="2" t="s">
        <v>400</v>
      </c>
    </row>
    <row r="151" spans="1:27">
      <c r="A151" s="2">
        <f>30000000+INDEX(编号表!$B:$B,MATCH(F151,编号表!$A:$A,0))*10000+D151</f>
        <v>30040017</v>
      </c>
      <c r="B151" s="2" t="s">
        <v>412</v>
      </c>
      <c r="C151" s="2" t="s">
        <v>86</v>
      </c>
      <c r="D151" s="2">
        <v>17</v>
      </c>
      <c r="E151" s="2">
        <v>60</v>
      </c>
      <c r="F151" s="2" t="s">
        <v>141</v>
      </c>
      <c r="G151" s="2" t="s">
        <v>61</v>
      </c>
      <c r="H151" s="2" t="s">
        <v>142</v>
      </c>
      <c r="I151" s="2">
        <v>1</v>
      </c>
      <c r="J151" s="2" t="s">
        <v>143</v>
      </c>
      <c r="L151" s="2">
        <v>30000</v>
      </c>
      <c r="M151" s="2" t="s">
        <v>101</v>
      </c>
      <c r="O151" s="2">
        <v>1</v>
      </c>
      <c r="P151" s="2" t="s">
        <v>64</v>
      </c>
      <c r="Q151" s="2">
        <v>999</v>
      </c>
      <c r="R151" s="2" t="s">
        <v>413</v>
      </c>
      <c r="U151" s="2" t="s">
        <v>414</v>
      </c>
      <c r="V151" s="2" t="s">
        <v>415</v>
      </c>
      <c r="W151" s="2">
        <f>A151</f>
        <v>30040017</v>
      </c>
      <c r="X151" s="2" t="s">
        <v>203</v>
      </c>
      <c r="Y151" s="2" t="s">
        <v>89</v>
      </c>
      <c r="Z151" s="2" t="s">
        <v>90</v>
      </c>
      <c r="AA151" s="2" t="s">
        <v>91</v>
      </c>
    </row>
    <row r="152" spans="1:27">
      <c r="A152" s="2">
        <f>30000000+INDEX(编号表!$B:$B,MATCH(F152,编号表!$A:$A,0))*10000+D152</f>
        <v>30040018</v>
      </c>
      <c r="B152" s="2" t="s">
        <v>416</v>
      </c>
      <c r="C152" s="2" t="s">
        <v>86</v>
      </c>
      <c r="D152" s="2">
        <v>18</v>
      </c>
      <c r="E152" s="2">
        <v>60</v>
      </c>
      <c r="F152" s="2" t="s">
        <v>141</v>
      </c>
      <c r="G152" s="2" t="s">
        <v>61</v>
      </c>
      <c r="H152" s="2" t="s">
        <v>142</v>
      </c>
      <c r="I152" s="2">
        <v>1</v>
      </c>
      <c r="J152" s="2" t="s">
        <v>143</v>
      </c>
      <c r="L152" s="2">
        <v>30000</v>
      </c>
      <c r="M152" s="2" t="s">
        <v>101</v>
      </c>
      <c r="O152" s="2">
        <v>1</v>
      </c>
      <c r="P152" s="2" t="s">
        <v>64</v>
      </c>
      <c r="Q152" s="2">
        <v>999</v>
      </c>
      <c r="R152" s="2" t="s">
        <v>413</v>
      </c>
      <c r="U152" s="2" t="s">
        <v>414</v>
      </c>
      <c r="V152" s="2" t="s">
        <v>415</v>
      </c>
      <c r="W152" s="2">
        <f t="shared" ref="W152:W159" si="5">A152</f>
        <v>30040018</v>
      </c>
      <c r="X152" s="2" t="s">
        <v>203</v>
      </c>
      <c r="Y152" s="2" t="s">
        <v>89</v>
      </c>
      <c r="Z152" s="2" t="s">
        <v>90</v>
      </c>
      <c r="AA152" s="2" t="s">
        <v>91</v>
      </c>
    </row>
    <row r="153" spans="1:27">
      <c r="A153" s="2">
        <f>30000000+INDEX(编号表!$B:$B,MATCH(F153,编号表!$A:$A,0))*10000+D153</f>
        <v>30040019</v>
      </c>
      <c r="B153" s="2" t="s">
        <v>417</v>
      </c>
      <c r="C153" s="2" t="s">
        <v>86</v>
      </c>
      <c r="D153" s="2">
        <v>19</v>
      </c>
      <c r="E153" s="2">
        <v>60</v>
      </c>
      <c r="F153" s="2" t="s">
        <v>141</v>
      </c>
      <c r="G153" s="2" t="s">
        <v>61</v>
      </c>
      <c r="H153" s="2" t="s">
        <v>142</v>
      </c>
      <c r="I153" s="2">
        <v>1</v>
      </c>
      <c r="J153" s="2" t="s">
        <v>143</v>
      </c>
      <c r="L153" s="2">
        <v>30000</v>
      </c>
      <c r="M153" s="2" t="s">
        <v>101</v>
      </c>
      <c r="O153" s="2">
        <v>1</v>
      </c>
      <c r="P153" s="2" t="s">
        <v>64</v>
      </c>
      <c r="Q153" s="2">
        <v>999</v>
      </c>
      <c r="R153" s="2" t="s">
        <v>413</v>
      </c>
      <c r="U153" s="2" t="s">
        <v>414</v>
      </c>
      <c r="V153" s="2" t="s">
        <v>415</v>
      </c>
      <c r="W153" s="2">
        <f t="shared" si="5"/>
        <v>30040019</v>
      </c>
      <c r="X153" s="2" t="s">
        <v>203</v>
      </c>
      <c r="Y153" s="2" t="s">
        <v>89</v>
      </c>
      <c r="Z153" s="2" t="s">
        <v>90</v>
      </c>
      <c r="AA153" s="2" t="s">
        <v>91</v>
      </c>
    </row>
    <row r="154" spans="1:27">
      <c r="A154" s="2">
        <f>30000000+INDEX(编号表!$B:$B,MATCH(F154,编号表!$A:$A,0))*10000+D154</f>
        <v>30040020</v>
      </c>
      <c r="B154" s="2" t="s">
        <v>418</v>
      </c>
      <c r="C154" s="2" t="s">
        <v>86</v>
      </c>
      <c r="D154" s="2">
        <v>20</v>
      </c>
      <c r="E154" s="2">
        <v>60</v>
      </c>
      <c r="F154" s="2" t="s">
        <v>141</v>
      </c>
      <c r="G154" s="2" t="s">
        <v>61</v>
      </c>
      <c r="H154" s="2" t="s">
        <v>142</v>
      </c>
      <c r="I154" s="2">
        <v>1</v>
      </c>
      <c r="J154" s="2" t="s">
        <v>143</v>
      </c>
      <c r="L154" s="2">
        <v>30000</v>
      </c>
      <c r="M154" s="2" t="s">
        <v>101</v>
      </c>
      <c r="O154" s="2">
        <v>1</v>
      </c>
      <c r="P154" s="2" t="s">
        <v>64</v>
      </c>
      <c r="Q154" s="2">
        <v>999</v>
      </c>
      <c r="R154" s="2" t="s">
        <v>413</v>
      </c>
      <c r="U154" s="2" t="s">
        <v>414</v>
      </c>
      <c r="V154" s="2" t="s">
        <v>415</v>
      </c>
      <c r="W154" s="2">
        <f t="shared" si="5"/>
        <v>30040020</v>
      </c>
      <c r="X154" s="2" t="s">
        <v>203</v>
      </c>
      <c r="Y154" s="2" t="s">
        <v>89</v>
      </c>
      <c r="Z154" s="2" t="s">
        <v>90</v>
      </c>
      <c r="AA154" s="2" t="s">
        <v>91</v>
      </c>
    </row>
    <row r="155" spans="1:27">
      <c r="A155" s="2">
        <f>30000000+INDEX(编号表!$B:$B,MATCH(F155,编号表!$A:$A,0))*10000+D155</f>
        <v>30040021</v>
      </c>
      <c r="B155" s="2" t="s">
        <v>419</v>
      </c>
      <c r="C155" s="2" t="s">
        <v>86</v>
      </c>
      <c r="D155" s="2">
        <v>21</v>
      </c>
      <c r="E155" s="2">
        <v>60</v>
      </c>
      <c r="F155" s="2" t="s">
        <v>141</v>
      </c>
      <c r="G155" s="2" t="s">
        <v>61</v>
      </c>
      <c r="H155" s="2" t="s">
        <v>142</v>
      </c>
      <c r="I155" s="2">
        <v>1</v>
      </c>
      <c r="J155" s="2" t="s">
        <v>143</v>
      </c>
      <c r="L155" s="2">
        <v>30000</v>
      </c>
      <c r="M155" s="2" t="s">
        <v>101</v>
      </c>
      <c r="O155" s="2">
        <v>1</v>
      </c>
      <c r="P155" s="2" t="s">
        <v>64</v>
      </c>
      <c r="Q155" s="2">
        <v>999</v>
      </c>
      <c r="R155" s="2" t="s">
        <v>413</v>
      </c>
      <c r="U155" s="2" t="s">
        <v>414</v>
      </c>
      <c r="V155" s="2" t="s">
        <v>415</v>
      </c>
      <c r="W155" s="2">
        <f t="shared" si="5"/>
        <v>30040021</v>
      </c>
      <c r="X155" s="2" t="s">
        <v>203</v>
      </c>
      <c r="Y155" s="2" t="s">
        <v>89</v>
      </c>
      <c r="Z155" s="2" t="s">
        <v>90</v>
      </c>
      <c r="AA155" s="2" t="s">
        <v>91</v>
      </c>
    </row>
    <row r="156" spans="1:27">
      <c r="A156" s="2">
        <f>30000000+INDEX(编号表!$B:$B,MATCH(F156,编号表!$A:$A,0))*10000+D156</f>
        <v>30040022</v>
      </c>
      <c r="B156" s="2" t="s">
        <v>420</v>
      </c>
      <c r="C156" s="2" t="s">
        <v>86</v>
      </c>
      <c r="D156" s="2">
        <v>22</v>
      </c>
      <c r="E156" s="2">
        <v>60</v>
      </c>
      <c r="F156" s="2" t="s">
        <v>141</v>
      </c>
      <c r="G156" s="2" t="s">
        <v>61</v>
      </c>
      <c r="H156" s="2" t="s">
        <v>142</v>
      </c>
      <c r="I156" s="2">
        <v>1</v>
      </c>
      <c r="J156" s="2" t="s">
        <v>143</v>
      </c>
      <c r="L156" s="2">
        <v>30000</v>
      </c>
      <c r="M156" s="2" t="s">
        <v>101</v>
      </c>
      <c r="O156" s="2">
        <v>1</v>
      </c>
      <c r="P156" s="2" t="s">
        <v>64</v>
      </c>
      <c r="Q156" s="2">
        <v>999</v>
      </c>
      <c r="R156" s="2" t="s">
        <v>413</v>
      </c>
      <c r="U156" s="2" t="s">
        <v>414</v>
      </c>
      <c r="V156" s="2" t="s">
        <v>415</v>
      </c>
      <c r="W156" s="2">
        <f t="shared" si="5"/>
        <v>30040022</v>
      </c>
      <c r="X156" s="2" t="s">
        <v>203</v>
      </c>
      <c r="Y156" s="2" t="s">
        <v>89</v>
      </c>
      <c r="Z156" s="2" t="s">
        <v>90</v>
      </c>
      <c r="AA156" s="2" t="s">
        <v>91</v>
      </c>
    </row>
    <row r="157" spans="1:27">
      <c r="A157" s="2">
        <f>30000000+INDEX(编号表!$B:$B,MATCH(F157,编号表!$A:$A,0))*10000+D157</f>
        <v>30040023</v>
      </c>
      <c r="B157" s="2" t="s">
        <v>421</v>
      </c>
      <c r="C157" s="2" t="s">
        <v>86</v>
      </c>
      <c r="D157" s="2">
        <v>23</v>
      </c>
      <c r="E157" s="2">
        <v>60</v>
      </c>
      <c r="F157" s="2" t="s">
        <v>141</v>
      </c>
      <c r="G157" s="2" t="s">
        <v>61</v>
      </c>
      <c r="H157" s="2" t="s">
        <v>142</v>
      </c>
      <c r="I157" s="2">
        <v>1</v>
      </c>
      <c r="J157" s="2" t="s">
        <v>143</v>
      </c>
      <c r="L157" s="2">
        <v>30000</v>
      </c>
      <c r="M157" s="2" t="s">
        <v>101</v>
      </c>
      <c r="O157" s="2">
        <v>1</v>
      </c>
      <c r="P157" s="2" t="s">
        <v>64</v>
      </c>
      <c r="Q157" s="2">
        <v>999</v>
      </c>
      <c r="R157" s="2" t="s">
        <v>413</v>
      </c>
      <c r="U157" s="2" t="s">
        <v>414</v>
      </c>
      <c r="V157" s="2" t="s">
        <v>415</v>
      </c>
      <c r="W157" s="2">
        <f t="shared" si="5"/>
        <v>30040023</v>
      </c>
      <c r="X157" s="2" t="s">
        <v>203</v>
      </c>
      <c r="Y157" s="2" t="s">
        <v>89</v>
      </c>
      <c r="Z157" s="2" t="s">
        <v>90</v>
      </c>
      <c r="AA157" s="2" t="s">
        <v>91</v>
      </c>
    </row>
    <row r="158" spans="1:27">
      <c r="A158" s="2">
        <f>30000000+INDEX(编号表!$B:$B,MATCH(F158,编号表!$A:$A,0))*10000+D158</f>
        <v>30040024</v>
      </c>
      <c r="B158" s="2" t="s">
        <v>422</v>
      </c>
      <c r="C158" s="2" t="s">
        <v>86</v>
      </c>
      <c r="D158" s="2">
        <v>24</v>
      </c>
      <c r="E158" s="2">
        <v>60</v>
      </c>
      <c r="F158" s="2" t="s">
        <v>141</v>
      </c>
      <c r="G158" s="2" t="s">
        <v>61</v>
      </c>
      <c r="H158" s="2" t="s">
        <v>142</v>
      </c>
      <c r="I158" s="2">
        <v>1</v>
      </c>
      <c r="J158" s="2" t="s">
        <v>143</v>
      </c>
      <c r="L158" s="2">
        <v>30000</v>
      </c>
      <c r="M158" s="2" t="s">
        <v>101</v>
      </c>
      <c r="O158" s="2">
        <v>1</v>
      </c>
      <c r="P158" s="2" t="s">
        <v>64</v>
      </c>
      <c r="Q158" s="2">
        <v>999</v>
      </c>
      <c r="R158" s="2" t="s">
        <v>413</v>
      </c>
      <c r="U158" s="2" t="s">
        <v>414</v>
      </c>
      <c r="V158" s="2" t="s">
        <v>415</v>
      </c>
      <c r="W158" s="2">
        <f t="shared" si="5"/>
        <v>30040024</v>
      </c>
      <c r="X158" s="2" t="s">
        <v>203</v>
      </c>
      <c r="Y158" s="2" t="s">
        <v>89</v>
      </c>
      <c r="Z158" s="2" t="s">
        <v>90</v>
      </c>
      <c r="AA158" s="2" t="s">
        <v>91</v>
      </c>
    </row>
    <row r="159" spans="1:27">
      <c r="A159" s="2">
        <f>30000000+INDEX(编号表!$B:$B,MATCH(F159,编号表!$A:$A,0))*10000+D159</f>
        <v>30040025</v>
      </c>
      <c r="B159" s="2" t="s">
        <v>423</v>
      </c>
      <c r="C159" s="2" t="s">
        <v>86</v>
      </c>
      <c r="D159" s="2">
        <v>25</v>
      </c>
      <c r="E159" s="2">
        <v>60</v>
      </c>
      <c r="F159" s="2" t="s">
        <v>141</v>
      </c>
      <c r="G159" s="2" t="s">
        <v>61</v>
      </c>
      <c r="H159" s="2" t="s">
        <v>142</v>
      </c>
      <c r="I159" s="2">
        <v>1</v>
      </c>
      <c r="J159" s="2" t="s">
        <v>143</v>
      </c>
      <c r="L159" s="2">
        <v>30000</v>
      </c>
      <c r="M159" s="2" t="s">
        <v>101</v>
      </c>
      <c r="O159" s="2">
        <v>1</v>
      </c>
      <c r="P159" s="2" t="s">
        <v>64</v>
      </c>
      <c r="Q159" s="2">
        <v>999</v>
      </c>
      <c r="R159" s="2" t="s">
        <v>413</v>
      </c>
      <c r="U159" s="2" t="s">
        <v>414</v>
      </c>
      <c r="V159" s="2" t="s">
        <v>415</v>
      </c>
      <c r="W159" s="2">
        <f t="shared" si="5"/>
        <v>30040025</v>
      </c>
      <c r="X159" s="2" t="s">
        <v>203</v>
      </c>
      <c r="Y159" s="2" t="s">
        <v>89</v>
      </c>
      <c r="Z159" s="2" t="s">
        <v>90</v>
      </c>
      <c r="AA159" s="2" t="s">
        <v>91</v>
      </c>
    </row>
    <row r="160" customFormat="1" spans="1:27">
      <c r="A160" s="2">
        <f>30000000+INDEX(编号表!$B:$B,MATCH(F160,编号表!$A:$A,0))*10000+D160</f>
        <v>30040026</v>
      </c>
      <c r="B160" s="2" t="s">
        <v>424</v>
      </c>
      <c r="C160" s="2" t="s">
        <v>86</v>
      </c>
      <c r="D160" s="2">
        <v>26</v>
      </c>
      <c r="E160" s="2">
        <v>60</v>
      </c>
      <c r="F160" s="2" t="s">
        <v>141</v>
      </c>
      <c r="G160" s="2" t="s">
        <v>61</v>
      </c>
      <c r="H160" s="2" t="s">
        <v>142</v>
      </c>
      <c r="I160" s="2">
        <v>1</v>
      </c>
      <c r="J160" s="2" t="s">
        <v>143</v>
      </c>
      <c r="K160" s="2"/>
      <c r="L160" s="2">
        <v>30000</v>
      </c>
      <c r="M160" s="2" t="s">
        <v>101</v>
      </c>
      <c r="N160" s="2"/>
      <c r="O160" s="2">
        <v>1</v>
      </c>
      <c r="P160" s="2" t="s">
        <v>64</v>
      </c>
      <c r="Q160" s="2">
        <v>999</v>
      </c>
      <c r="R160" s="2" t="s">
        <v>425</v>
      </c>
      <c r="S160" s="2"/>
      <c r="T160" s="2"/>
      <c r="U160" s="2" t="s">
        <v>426</v>
      </c>
      <c r="V160" s="2" t="s">
        <v>415</v>
      </c>
      <c r="W160" s="2">
        <v>30040026</v>
      </c>
      <c r="X160" s="10" t="s">
        <v>185</v>
      </c>
      <c r="Y160" s="2" t="s">
        <v>89</v>
      </c>
      <c r="Z160" s="2" t="s">
        <v>90</v>
      </c>
      <c r="AA160" s="2" t="s">
        <v>91</v>
      </c>
    </row>
    <row r="161" customFormat="1" spans="1:27">
      <c r="A161" s="2">
        <f>30000000+INDEX(编号表!$B:$B,MATCH(F161,编号表!$A:$A,0))*10000+D161</f>
        <v>30040027</v>
      </c>
      <c r="B161" s="2" t="s">
        <v>427</v>
      </c>
      <c r="C161" s="2" t="s">
        <v>86</v>
      </c>
      <c r="D161" s="2">
        <v>27</v>
      </c>
      <c r="E161" s="2">
        <v>60</v>
      </c>
      <c r="F161" s="2" t="s">
        <v>141</v>
      </c>
      <c r="G161" s="2" t="s">
        <v>61</v>
      </c>
      <c r="H161" s="2" t="s">
        <v>142</v>
      </c>
      <c r="I161" s="2">
        <v>1</v>
      </c>
      <c r="J161" s="2" t="s">
        <v>143</v>
      </c>
      <c r="K161" s="2"/>
      <c r="L161" s="2">
        <v>30000</v>
      </c>
      <c r="M161" s="2" t="s">
        <v>101</v>
      </c>
      <c r="N161" s="2"/>
      <c r="O161" s="2">
        <v>1</v>
      </c>
      <c r="P161" s="2" t="s">
        <v>64</v>
      </c>
      <c r="Q161" s="2">
        <v>999</v>
      </c>
      <c r="R161" s="2" t="s">
        <v>425</v>
      </c>
      <c r="S161" s="2"/>
      <c r="T161" s="2"/>
      <c r="U161" s="2" t="s">
        <v>428</v>
      </c>
      <c r="V161" s="2" t="s">
        <v>415</v>
      </c>
      <c r="W161" s="2">
        <v>30040027</v>
      </c>
      <c r="X161" s="10" t="s">
        <v>185</v>
      </c>
      <c r="Y161" s="2" t="s">
        <v>89</v>
      </c>
      <c r="Z161" s="2" t="s">
        <v>90</v>
      </c>
      <c r="AA161" s="2" t="s">
        <v>91</v>
      </c>
    </row>
    <row r="162" customFormat="1" spans="1:27">
      <c r="A162" s="2">
        <f>30000000+INDEX(编号表!$B:$B,MATCH(F162,编号表!$A:$A,0))*10000+D162</f>
        <v>30040028</v>
      </c>
      <c r="B162" s="2" t="s">
        <v>429</v>
      </c>
      <c r="C162" s="2" t="s">
        <v>86</v>
      </c>
      <c r="D162" s="2">
        <v>28</v>
      </c>
      <c r="E162" s="2">
        <v>60</v>
      </c>
      <c r="F162" s="2" t="s">
        <v>141</v>
      </c>
      <c r="G162" s="2" t="s">
        <v>61</v>
      </c>
      <c r="H162" s="2" t="s">
        <v>142</v>
      </c>
      <c r="I162" s="2">
        <v>1</v>
      </c>
      <c r="J162" s="2" t="s">
        <v>143</v>
      </c>
      <c r="K162" s="2"/>
      <c r="L162" s="2">
        <v>30000</v>
      </c>
      <c r="M162" s="2" t="s">
        <v>101</v>
      </c>
      <c r="N162" s="2"/>
      <c r="O162" s="2">
        <v>1</v>
      </c>
      <c r="P162" s="2" t="s">
        <v>64</v>
      </c>
      <c r="Q162" s="2">
        <v>999</v>
      </c>
      <c r="R162" s="2" t="s">
        <v>425</v>
      </c>
      <c r="S162" s="2"/>
      <c r="T162" s="2"/>
      <c r="U162" s="2" t="s">
        <v>430</v>
      </c>
      <c r="V162" s="2" t="s">
        <v>415</v>
      </c>
      <c r="W162" s="2">
        <v>30040028</v>
      </c>
      <c r="X162" s="2" t="s">
        <v>188</v>
      </c>
      <c r="Y162" s="2" t="s">
        <v>89</v>
      </c>
      <c r="Z162" s="2" t="s">
        <v>90</v>
      </c>
      <c r="AA162" s="2" t="s">
        <v>91</v>
      </c>
    </row>
    <row r="163" customFormat="1" spans="1:27">
      <c r="A163" s="2">
        <f>30000000+INDEX(编号表!$B:$B,MATCH(F163,编号表!$A:$A,0))*10000+D163</f>
        <v>30040029</v>
      </c>
      <c r="B163" s="2" t="s">
        <v>431</v>
      </c>
      <c r="C163" s="2" t="s">
        <v>86</v>
      </c>
      <c r="D163" s="2">
        <v>29</v>
      </c>
      <c r="E163" s="2">
        <v>60</v>
      </c>
      <c r="F163" s="2" t="s">
        <v>141</v>
      </c>
      <c r="G163" s="2" t="s">
        <v>61</v>
      </c>
      <c r="H163" s="2" t="s">
        <v>142</v>
      </c>
      <c r="I163" s="2">
        <v>1</v>
      </c>
      <c r="J163" s="2" t="s">
        <v>143</v>
      </c>
      <c r="K163" s="2"/>
      <c r="L163" s="2">
        <v>30000</v>
      </c>
      <c r="M163" s="2" t="s">
        <v>101</v>
      </c>
      <c r="N163" s="2"/>
      <c r="O163" s="2">
        <v>1</v>
      </c>
      <c r="P163" s="2" t="s">
        <v>64</v>
      </c>
      <c r="Q163" s="2">
        <v>999</v>
      </c>
      <c r="R163" s="2" t="s">
        <v>425</v>
      </c>
      <c r="S163" s="2"/>
      <c r="T163" s="2"/>
      <c r="U163" s="2" t="s">
        <v>432</v>
      </c>
      <c r="V163" s="2" t="s">
        <v>415</v>
      </c>
      <c r="W163" s="2">
        <v>30040029</v>
      </c>
      <c r="X163" s="2" t="s">
        <v>188</v>
      </c>
      <c r="Y163" s="2" t="s">
        <v>89</v>
      </c>
      <c r="Z163" s="2" t="s">
        <v>90</v>
      </c>
      <c r="AA163" s="2" t="s">
        <v>91</v>
      </c>
    </row>
    <row r="164" customFormat="1" spans="1:27">
      <c r="A164" s="2">
        <f>30000000+INDEX(编号表!$B:$B,MATCH(F164,编号表!$A:$A,0))*10000+D164</f>
        <v>30040030</v>
      </c>
      <c r="B164" s="2" t="s">
        <v>433</v>
      </c>
      <c r="C164" s="2" t="s">
        <v>86</v>
      </c>
      <c r="D164" s="2">
        <v>30</v>
      </c>
      <c r="E164" s="2">
        <v>60</v>
      </c>
      <c r="F164" s="2" t="s">
        <v>141</v>
      </c>
      <c r="G164" s="2" t="s">
        <v>61</v>
      </c>
      <c r="H164" s="2" t="s">
        <v>142</v>
      </c>
      <c r="I164" s="2">
        <v>1</v>
      </c>
      <c r="J164" s="2" t="s">
        <v>143</v>
      </c>
      <c r="K164" s="2"/>
      <c r="L164" s="2">
        <v>30000</v>
      </c>
      <c r="M164" s="2" t="s">
        <v>101</v>
      </c>
      <c r="N164" s="2"/>
      <c r="O164" s="2">
        <v>1</v>
      </c>
      <c r="P164" s="2" t="s">
        <v>64</v>
      </c>
      <c r="Q164" s="2">
        <v>999</v>
      </c>
      <c r="R164" s="2" t="s">
        <v>425</v>
      </c>
      <c r="S164" s="2"/>
      <c r="T164" s="2"/>
      <c r="U164" s="2" t="s">
        <v>434</v>
      </c>
      <c r="V164" s="2" t="s">
        <v>415</v>
      </c>
      <c r="W164" s="2">
        <v>30040030</v>
      </c>
      <c r="X164" s="2" t="s">
        <v>191</v>
      </c>
      <c r="Y164" s="2" t="s">
        <v>89</v>
      </c>
      <c r="Z164" s="2" t="s">
        <v>90</v>
      </c>
      <c r="AA164" s="2" t="s">
        <v>91</v>
      </c>
    </row>
    <row r="165" customFormat="1" spans="1:27">
      <c r="A165" s="2">
        <f>30000000+INDEX(编号表!$B:$B,MATCH(F165,编号表!$A:$A,0))*10000+D165</f>
        <v>30040031</v>
      </c>
      <c r="B165" s="2" t="s">
        <v>435</v>
      </c>
      <c r="C165" s="2" t="s">
        <v>86</v>
      </c>
      <c r="D165" s="2">
        <v>31</v>
      </c>
      <c r="E165" s="2">
        <v>60</v>
      </c>
      <c r="F165" s="2" t="s">
        <v>141</v>
      </c>
      <c r="G165" s="2" t="s">
        <v>61</v>
      </c>
      <c r="H165" s="2" t="s">
        <v>142</v>
      </c>
      <c r="I165" s="2">
        <v>1</v>
      </c>
      <c r="J165" s="2" t="s">
        <v>143</v>
      </c>
      <c r="K165" s="2"/>
      <c r="L165" s="2">
        <v>30000</v>
      </c>
      <c r="M165" s="2" t="s">
        <v>101</v>
      </c>
      <c r="N165" s="2"/>
      <c r="O165" s="2">
        <v>1</v>
      </c>
      <c r="P165" s="2" t="s">
        <v>64</v>
      </c>
      <c r="Q165" s="2">
        <v>999</v>
      </c>
      <c r="R165" s="2" t="s">
        <v>425</v>
      </c>
      <c r="S165" s="2"/>
      <c r="T165" s="2"/>
      <c r="U165" s="2" t="s">
        <v>436</v>
      </c>
      <c r="V165" s="2" t="s">
        <v>415</v>
      </c>
      <c r="W165" s="2">
        <v>30040031</v>
      </c>
      <c r="X165" s="2" t="s">
        <v>191</v>
      </c>
      <c r="Y165" s="2" t="s">
        <v>89</v>
      </c>
      <c r="Z165" s="2" t="s">
        <v>90</v>
      </c>
      <c r="AA165" s="2" t="s">
        <v>91</v>
      </c>
    </row>
    <row r="166" customFormat="1" spans="1:27">
      <c r="A166" s="2">
        <f>30000000+INDEX(编号表!$B:$B,MATCH(F166,编号表!$A:$A,0))*10000+D166</f>
        <v>30040032</v>
      </c>
      <c r="B166" s="2" t="s">
        <v>437</v>
      </c>
      <c r="C166" s="2" t="s">
        <v>86</v>
      </c>
      <c r="D166" s="2">
        <v>32</v>
      </c>
      <c r="E166" s="2">
        <v>60</v>
      </c>
      <c r="F166" s="2" t="s">
        <v>141</v>
      </c>
      <c r="G166" s="2" t="s">
        <v>61</v>
      </c>
      <c r="H166" s="2" t="s">
        <v>142</v>
      </c>
      <c r="I166" s="2">
        <v>1</v>
      </c>
      <c r="J166" s="2" t="s">
        <v>143</v>
      </c>
      <c r="K166" s="2"/>
      <c r="L166" s="2">
        <v>30000</v>
      </c>
      <c r="M166" s="2" t="s">
        <v>101</v>
      </c>
      <c r="N166" s="2"/>
      <c r="O166" s="2">
        <v>1</v>
      </c>
      <c r="P166" s="2" t="s">
        <v>64</v>
      </c>
      <c r="Q166" s="2">
        <v>999</v>
      </c>
      <c r="R166" s="2" t="s">
        <v>425</v>
      </c>
      <c r="S166" s="2"/>
      <c r="T166" s="2"/>
      <c r="U166" s="2" t="s">
        <v>438</v>
      </c>
      <c r="V166" s="2" t="s">
        <v>415</v>
      </c>
      <c r="W166" s="2">
        <v>30040032</v>
      </c>
      <c r="X166" s="2" t="s">
        <v>194</v>
      </c>
      <c r="Y166" s="2" t="s">
        <v>89</v>
      </c>
      <c r="Z166" s="2" t="s">
        <v>90</v>
      </c>
      <c r="AA166" s="2" t="s">
        <v>91</v>
      </c>
    </row>
    <row r="167" customFormat="1" spans="1:27">
      <c r="A167" s="2">
        <f>30000000+INDEX(编号表!$B:$B,MATCH(F167,编号表!$A:$A,0))*10000+D167</f>
        <v>30040033</v>
      </c>
      <c r="B167" s="2" t="s">
        <v>439</v>
      </c>
      <c r="C167" s="2" t="s">
        <v>86</v>
      </c>
      <c r="D167" s="2">
        <v>33</v>
      </c>
      <c r="E167" s="2">
        <v>60</v>
      </c>
      <c r="F167" s="2" t="s">
        <v>141</v>
      </c>
      <c r="G167" s="2" t="s">
        <v>61</v>
      </c>
      <c r="H167" s="2" t="s">
        <v>142</v>
      </c>
      <c r="I167" s="2">
        <v>1</v>
      </c>
      <c r="J167" s="2" t="s">
        <v>143</v>
      </c>
      <c r="K167" s="2"/>
      <c r="L167" s="2">
        <v>30000</v>
      </c>
      <c r="M167" s="2" t="s">
        <v>101</v>
      </c>
      <c r="N167" s="2"/>
      <c r="O167" s="2">
        <v>1</v>
      </c>
      <c r="P167" s="2" t="s">
        <v>64</v>
      </c>
      <c r="Q167" s="2">
        <v>999</v>
      </c>
      <c r="R167" s="2" t="s">
        <v>425</v>
      </c>
      <c r="S167" s="2"/>
      <c r="T167" s="2"/>
      <c r="U167" s="2" t="s">
        <v>440</v>
      </c>
      <c r="V167" s="2" t="s">
        <v>415</v>
      </c>
      <c r="W167" s="2">
        <v>30040033</v>
      </c>
      <c r="X167" s="2" t="s">
        <v>194</v>
      </c>
      <c r="Y167" s="2" t="s">
        <v>89</v>
      </c>
      <c r="Z167" s="2" t="s">
        <v>90</v>
      </c>
      <c r="AA167" s="2" t="s">
        <v>91</v>
      </c>
    </row>
    <row r="168" customFormat="1" spans="1:27">
      <c r="A168" s="2">
        <f>30000000+INDEX(编号表!$B:$B,MATCH(F168,编号表!$A:$A,0))*10000+D168</f>
        <v>30040034</v>
      </c>
      <c r="B168" s="2" t="s">
        <v>441</v>
      </c>
      <c r="C168" s="2" t="s">
        <v>86</v>
      </c>
      <c r="D168" s="2">
        <v>34</v>
      </c>
      <c r="E168" s="2">
        <v>60</v>
      </c>
      <c r="F168" s="2" t="s">
        <v>141</v>
      </c>
      <c r="G168" s="2" t="s">
        <v>61</v>
      </c>
      <c r="H168" s="2" t="s">
        <v>142</v>
      </c>
      <c r="I168" s="2">
        <v>1</v>
      </c>
      <c r="J168" s="2" t="s">
        <v>143</v>
      </c>
      <c r="K168" s="2"/>
      <c r="L168" s="2">
        <v>30000</v>
      </c>
      <c r="M168" s="2" t="s">
        <v>101</v>
      </c>
      <c r="N168" s="2"/>
      <c r="O168" s="2">
        <v>1</v>
      </c>
      <c r="P168" s="2" t="s">
        <v>64</v>
      </c>
      <c r="Q168" s="2">
        <v>999</v>
      </c>
      <c r="R168" s="2" t="s">
        <v>425</v>
      </c>
      <c r="S168" s="2"/>
      <c r="T168" s="2"/>
      <c r="U168" s="2" t="s">
        <v>442</v>
      </c>
      <c r="V168" s="2" t="s">
        <v>415</v>
      </c>
      <c r="W168" s="2">
        <v>30040034</v>
      </c>
      <c r="X168" s="2" t="s">
        <v>198</v>
      </c>
      <c r="Y168" s="2" t="s">
        <v>89</v>
      </c>
      <c r="Z168" s="2" t="s">
        <v>90</v>
      </c>
      <c r="AA168" s="2" t="s">
        <v>91</v>
      </c>
    </row>
    <row r="169" customFormat="1" spans="1:27">
      <c r="A169" s="2">
        <f>30000000+INDEX(编号表!$B:$B,MATCH(F169,编号表!$A:$A,0))*10000+D169</f>
        <v>30040035</v>
      </c>
      <c r="B169" s="2" t="s">
        <v>443</v>
      </c>
      <c r="C169" s="2" t="s">
        <v>86</v>
      </c>
      <c r="D169" s="2">
        <v>35</v>
      </c>
      <c r="E169" s="2">
        <v>60</v>
      </c>
      <c r="F169" s="2" t="s">
        <v>141</v>
      </c>
      <c r="G169" s="2" t="s">
        <v>61</v>
      </c>
      <c r="H169" s="2" t="s">
        <v>142</v>
      </c>
      <c r="I169" s="2">
        <v>1</v>
      </c>
      <c r="J169" s="2" t="s">
        <v>143</v>
      </c>
      <c r="K169" s="2"/>
      <c r="L169" s="2">
        <v>30000</v>
      </c>
      <c r="M169" s="2" t="s">
        <v>101</v>
      </c>
      <c r="N169" s="2"/>
      <c r="O169" s="2">
        <v>1</v>
      </c>
      <c r="P169" s="2" t="s">
        <v>64</v>
      </c>
      <c r="Q169" s="2">
        <v>9999</v>
      </c>
      <c r="R169" s="2" t="s">
        <v>425</v>
      </c>
      <c r="S169" s="2"/>
      <c r="T169" s="2"/>
      <c r="U169" s="2" t="s">
        <v>444</v>
      </c>
      <c r="V169" s="2" t="s">
        <v>415</v>
      </c>
      <c r="W169" s="2">
        <v>30040035</v>
      </c>
      <c r="X169" s="2" t="s">
        <v>198</v>
      </c>
      <c r="Y169" s="2" t="s">
        <v>89</v>
      </c>
      <c r="Z169" s="2" t="s">
        <v>90</v>
      </c>
      <c r="AA169" s="2" t="s">
        <v>91</v>
      </c>
    </row>
  </sheetData>
  <conditionalFormatting sqref="A99:A111">
    <cfRule type="duplicateValues" dxfId="0" priority="5"/>
  </conditionalFormatting>
  <conditionalFormatting sqref="A112:A169">
    <cfRule type="duplicateValues" dxfId="0" priority="3"/>
  </conditionalFormatting>
  <conditionalFormatting sqref="W99:W108">
    <cfRule type="duplicateValues" dxfId="0" priority="4"/>
  </conditionalFormatting>
  <conditionalFormatting sqref="A1:A98 A170:A1048576">
    <cfRule type="duplicateValues" dxfId="0" priority="18"/>
  </conditionalFormatting>
  <conditionalFormatting sqref="B127:B150 E127:E150">
    <cfRule type="duplicateValues" dxfId="1" priority="1"/>
  </conditionalFormatting>
  <dataValidations count="1">
    <dataValidation type="list" allowBlank="1" showInputMessage="1" showErrorMessage="1" sqref="K26 K22:K23 K28:K29 K31:K40 K42:K49 K51:K159 R89:R91 R104:R150 R160:R1048576 G160:H1048576 K160:M1048576">
      <formula1>#REF!</formula1>
    </dataValidation>
  </dataValidations>
  <pageMargins left="0.7" right="0.7" top="0.75" bottom="0.75" header="0.3" footer="0.3"/>
  <pageSetup paperSize="9" orientation="portrait"/>
  <headerFooter/>
  <ignoredErrors>
    <ignoredError sqref="K1:M4 Y3 K19:M25 T19:T20 T22:T25 K39:M47 T39 R40:T40 R41:S41 R42:T47 K89:M92 T89:T95 Y89:Y95 K93 K94:M95 G160:R169 O1:Y1 O4:P4 O92 O40:O47 O2:O3 O89 B89:B95 P89:P95 Q2:Y2 G1:I2 R3:R4 P39:P47 G39:G40 R39 G41:I41 G42:H47 B41:B47 B39 P19:P25 R19:R25 R89:R91 G4 G19:G25 G89:G95 M93 A2:B2 B1 B19:B24" listDataValidation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27"/>
  <sheetViews>
    <sheetView workbookViewId="0">
      <selection activeCell="C32" sqref="C32"/>
    </sheetView>
  </sheetViews>
  <sheetFormatPr defaultColWidth="8.72380952380952" defaultRowHeight="14.25" outlineLevelCol="7"/>
  <cols>
    <col min="8" max="8" width="26.7238095238095" customWidth="1"/>
    <col min="12" max="12" width="16.6380952380952" customWidth="1"/>
  </cols>
  <sheetData>
    <row r="1" spans="1:8">
      <c r="A1" t="s">
        <v>445</v>
      </c>
      <c r="B1" t="s">
        <v>446</v>
      </c>
      <c r="C1" t="s">
        <v>447</v>
      </c>
      <c r="D1" t="s">
        <v>448</v>
      </c>
      <c r="E1" t="s">
        <v>446</v>
      </c>
      <c r="G1" t="s">
        <v>449</v>
      </c>
    </row>
    <row r="2" spans="1:8">
      <c r="A2" t="s">
        <v>60</v>
      </c>
      <c r="B2">
        <v>1</v>
      </c>
      <c r="C2" t="s">
        <v>450</v>
      </c>
      <c r="D2" t="s">
        <v>59</v>
      </c>
      <c r="E2">
        <v>1</v>
      </c>
      <c r="G2" t="s">
        <v>451</v>
      </c>
      <c r="H2" t="s">
        <v>452</v>
      </c>
    </row>
    <row r="3" spans="1:8">
      <c r="A3" t="s">
        <v>98</v>
      </c>
      <c r="B3">
        <v>2</v>
      </c>
      <c r="C3" t="s">
        <v>453</v>
      </c>
      <c r="D3" t="s">
        <v>97</v>
      </c>
      <c r="E3">
        <v>2</v>
      </c>
      <c r="G3" t="s">
        <v>454</v>
      </c>
      <c r="H3" s="2" t="s">
        <v>455</v>
      </c>
    </row>
    <row r="4" spans="1:8">
      <c r="A4" t="s">
        <v>456</v>
      </c>
      <c r="B4">
        <v>3</v>
      </c>
      <c r="C4" t="s">
        <v>457</v>
      </c>
      <c r="D4" t="s">
        <v>458</v>
      </c>
      <c r="E4">
        <v>3</v>
      </c>
      <c r="G4" t="s">
        <v>459</v>
      </c>
      <c r="H4" s="2"/>
    </row>
    <row r="5" spans="1:8">
      <c r="A5" t="s">
        <v>141</v>
      </c>
      <c r="B5">
        <v>4</v>
      </c>
      <c r="C5" t="s">
        <v>460</v>
      </c>
      <c r="D5" t="s">
        <v>86</v>
      </c>
      <c r="E5">
        <v>4</v>
      </c>
      <c r="G5" t="s">
        <v>461</v>
      </c>
      <c r="H5" s="2"/>
    </row>
    <row r="6" spans="1:8">
      <c r="A6" t="s">
        <v>291</v>
      </c>
      <c r="B6">
        <v>5</v>
      </c>
      <c r="C6" t="s">
        <v>462</v>
      </c>
      <c r="D6" t="s">
        <v>379</v>
      </c>
      <c r="E6">
        <v>5</v>
      </c>
      <c r="G6" t="s">
        <v>463</v>
      </c>
      <c r="H6" s="2" t="s">
        <v>464</v>
      </c>
    </row>
    <row r="7" spans="1:8">
      <c r="A7" t="s">
        <v>280</v>
      </c>
      <c r="B7">
        <v>6</v>
      </c>
      <c r="D7" t="s">
        <v>397</v>
      </c>
      <c r="E7">
        <v>6</v>
      </c>
      <c r="G7" t="s">
        <v>465</v>
      </c>
      <c r="H7" s="2"/>
    </row>
    <row r="8" spans="1:8">
      <c r="A8" t="s">
        <v>205</v>
      </c>
      <c r="B8">
        <v>7</v>
      </c>
      <c r="E8">
        <v>7</v>
      </c>
      <c r="G8" t="s">
        <v>466</v>
      </c>
      <c r="H8" s="2"/>
    </row>
    <row r="9" spans="1:8">
      <c r="A9" t="s">
        <v>322</v>
      </c>
      <c r="B9">
        <v>8</v>
      </c>
      <c r="E9">
        <v>8</v>
      </c>
      <c r="G9" t="s">
        <v>467</v>
      </c>
    </row>
    <row r="10" spans="1:8">
      <c r="A10" t="s">
        <v>345</v>
      </c>
      <c r="B10">
        <v>9</v>
      </c>
      <c r="E10">
        <v>9</v>
      </c>
    </row>
    <row r="11" spans="1:8">
      <c r="B11">
        <v>10</v>
      </c>
    </row>
    <row r="12" spans="1:8">
      <c r="B12">
        <v>11</v>
      </c>
    </row>
    <row r="13" spans="1:8">
      <c r="B13">
        <v>12</v>
      </c>
    </row>
    <row r="14" spans="1:8">
      <c r="B14">
        <v>13</v>
      </c>
      <c r="G14" t="s">
        <v>468</v>
      </c>
    </row>
    <row r="15" spans="1:8">
      <c r="B15">
        <v>14</v>
      </c>
      <c r="G15" t="s">
        <v>469</v>
      </c>
    </row>
    <row r="16" spans="1:8">
      <c r="B16">
        <v>15</v>
      </c>
    </row>
    <row r="17" spans="2:6">
      <c r="B17">
        <v>16</v>
      </c>
    </row>
    <row r="18" spans="2:6">
      <c r="B18">
        <v>17</v>
      </c>
    </row>
    <row r="19" spans="2:6">
      <c r="B19">
        <v>18</v>
      </c>
    </row>
    <row r="20" spans="2:6">
      <c r="B20">
        <v>19</v>
      </c>
    </row>
    <row r="22" ht="48.75" spans="2:6">
      <c r="D22" s="3" t="s">
        <v>470</v>
      </c>
    </row>
    <row r="27" spans="2:6">
      <c r="F27" s="4"/>
    </row>
  </sheetData>
  <mergeCells count="2">
    <mergeCell ref="H3:H5"/>
    <mergeCell ref="H6:H9"/>
  </mergeCells>
  <conditionalFormatting sqref="A1:A9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B30" sqref="B30"/>
    </sheetView>
  </sheetViews>
  <sheetFormatPr defaultColWidth="8.72380952380952" defaultRowHeight="14.25" outlineLevelCol="4"/>
  <cols>
    <col min="2" max="2" width="95.0952380952381" style="1" customWidth="1"/>
  </cols>
  <sheetData>
    <row r="1" spans="1:2">
      <c r="A1" t="s">
        <v>471</v>
      </c>
      <c r="B1" s="1" t="s">
        <v>472</v>
      </c>
    </row>
    <row r="2" ht="28.5" spans="1:2">
      <c r="A2">
        <v>1.12</v>
      </c>
      <c r="B2" s="1" t="s">
        <v>473</v>
      </c>
    </row>
    <row r="3" spans="1:2">
      <c r="A3">
        <v>1.13</v>
      </c>
      <c r="B3" s="1" t="s">
        <v>474</v>
      </c>
    </row>
    <row r="4" spans="1:2">
      <c r="A4">
        <v>1.14</v>
      </c>
      <c r="B4" s="1" t="s">
        <v>475</v>
      </c>
    </row>
    <row r="5" spans="1:2">
      <c r="A5">
        <v>1.15</v>
      </c>
      <c r="B5" s="1" t="s">
        <v>476</v>
      </c>
    </row>
    <row r="6" spans="1:2">
      <c r="A6">
        <v>1.16</v>
      </c>
      <c r="B6" s="1" t="s">
        <v>477</v>
      </c>
    </row>
    <row r="7" spans="1:2">
      <c r="A7">
        <v>1.17</v>
      </c>
      <c r="B7" s="1" t="s">
        <v>478</v>
      </c>
    </row>
    <row r="8" spans="1:2">
      <c r="A8">
        <v>1.18</v>
      </c>
      <c r="B8" s="1" t="s">
        <v>479</v>
      </c>
    </row>
    <row r="9" spans="1:2">
      <c r="A9">
        <v>1.19</v>
      </c>
      <c r="B9" s="1" t="s">
        <v>480</v>
      </c>
    </row>
    <row r="10" spans="1:2">
      <c r="A10">
        <v>1.2</v>
      </c>
      <c r="B10" s="1" t="s">
        <v>481</v>
      </c>
    </row>
    <row r="11" spans="1:2">
      <c r="A11">
        <v>1.21</v>
      </c>
      <c r="B11" s="1" t="s">
        <v>482</v>
      </c>
    </row>
    <row r="12" spans="1:2">
      <c r="A12">
        <v>1.22</v>
      </c>
      <c r="B12" s="1" t="s">
        <v>483</v>
      </c>
    </row>
    <row r="13" spans="1:2">
      <c r="A13">
        <v>1.23</v>
      </c>
      <c r="B13" s="1" t="s">
        <v>484</v>
      </c>
    </row>
    <row r="14" spans="1:2">
      <c r="A14">
        <v>1.24</v>
      </c>
      <c r="B14" s="1" t="s">
        <v>485</v>
      </c>
    </row>
    <row r="15" spans="1:2">
      <c r="A15">
        <v>1.25</v>
      </c>
    </row>
    <row r="16" spans="1:2">
      <c r="A16">
        <v>1.26</v>
      </c>
      <c r="B16" s="1" t="s">
        <v>486</v>
      </c>
    </row>
    <row r="17" ht="28.5" spans="1:5">
      <c r="A17">
        <v>1.27</v>
      </c>
      <c r="B17" s="1" t="s">
        <v>487</v>
      </c>
      <c r="E17" t="s">
        <v>468</v>
      </c>
    </row>
    <row r="18" spans="1:5">
      <c r="A18">
        <v>1.28</v>
      </c>
      <c r="B18" s="1" t="s">
        <v>488</v>
      </c>
    </row>
    <row r="19" spans="1:5">
      <c r="A19">
        <v>1.29</v>
      </c>
    </row>
    <row r="20" spans="1:5">
      <c r="A20">
        <v>1.3</v>
      </c>
    </row>
    <row r="21" spans="1:5">
      <c r="A21">
        <v>1.31</v>
      </c>
    </row>
    <row r="22" spans="1:5">
      <c r="A22">
        <v>1.32</v>
      </c>
    </row>
    <row r="23" spans="1:5">
      <c r="A23">
        <v>1.33</v>
      </c>
    </row>
    <row r="24" spans="1:5">
      <c r="A24">
        <v>1.34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item_config</vt:lpstr>
      <vt:lpstr>编号表</vt:lpstr>
      <vt:lpstr>更新说明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thothSSQS</cp:lastModifiedBy>
  <dcterms:created xsi:type="dcterms:W3CDTF">2019-08-16T02:41:00Z</dcterms:created>
  <dcterms:modified xsi:type="dcterms:W3CDTF">2026-06-17T08:19:15Z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KSOReadingLayout">
    <vt:bool>true</vt:bool>
  </property>
  <property fmtid="{D5CDD505-2E9C-101B-9397-08002B2CF9AE}" pid="4" name="ICV">
    <vt:lpwstr>F0AE49BEF5CC483E811D67B93D60AC71_13</vt:lpwstr>
  </property>
  <property fmtid="{D5CDD505-2E9C-101B-9397-08002B2CF9AE}" pid="5" name="CalculationRule">
    <vt:i4>0</vt:i4>
  </property>
</Properties>
</file>