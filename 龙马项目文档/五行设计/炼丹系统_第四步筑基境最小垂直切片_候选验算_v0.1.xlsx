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6630e744f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a1bb27ffe5624d22"/>
    <x:sheet xmlns:r="http://schemas.openxmlformats.org/officeDocument/2006/relationships" name="候选参数" sheetId="2" r:id="Rf7e39b47a77a4d37"/>
    <x:sheet xmlns:r="http://schemas.openxmlformats.org/officeDocument/2006/relationships" name="候选材料" sheetId="3" r:id="Rc94d4edf9f7b4460"/>
    <x:sheet xmlns:r="http://schemas.openxmlformats.org/officeDocument/2006/relationships" name="选样" sheetId="4" r:id="Raf727711a6834164"/>
    <x:sheet xmlns:r="http://schemas.openxmlformats.org/officeDocument/2006/relationships" name="配方明细" sheetId="5" r:id="R7e2baf9b92ae4dde"/>
    <x:sheet xmlns:r="http://schemas.openxmlformats.org/officeDocument/2006/relationships" name="逐份投药" sheetId="6" r:id="R843a213287284875"/>
    <x:sheet xmlns:r="http://schemas.openxmlformats.org/officeDocument/2006/relationships" name="全链验算" sheetId="7" r:id="R15b1b4c9dc9f4608"/>
    <x:sheet xmlns:r="http://schemas.openxmlformats.org/officeDocument/2006/relationships" name="批次与边界" sheetId="8" r:id="Rdcdac8758b5f46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i/>
      <x:sz val="1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0"/>
    </x:xf>
    <x:xf numFmtId="0" fontId="0" fillId="0" borderId="3" xfId="0" applyNumberFormat="1" applyFont="1" applyFill="1" applyBorder="1" applyAlignment="1">
      <x:alignment wrapText="0"/>
    </x:xf>
    <x:xf numFmtId="0" fontId="0" fillId="0" borderId="4" xfId="0" applyNumberFormat="1" applyFont="1" applyFill="1" applyBorder="1" applyAlignment="1">
      <x:alignment wrapText="0"/>
    </x:xf>
    <x:xf numFmtId="0" fontId="0" fillId="0" borderId="2" xfId="0" applyNumberFormat="1" applyFont="1" applyFill="1" applyBorder="1" applyAlignment="1">
      <x:alignment vertical="center" wrapText="0"/>
    </x:xf>
    <x:xf numFmtId="0" fontId="0" fillId="0" borderId="3" xfId="0" applyNumberFormat="1" applyFont="1" applyFill="1" applyBorder="1" applyAlignment="1">
      <x:alignment vertical="center" wrapText="0"/>
    </x:xf>
    <x:xf numFmtId="0" fontId="0" fillId="0" borderId="4" xfId="0" applyNumberFormat="1" applyFont="1" applyFill="1" applyBorder="1" applyAlignment="1">
      <x:alignment vertical="center" wrapText="0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2" xfId="0" applyNumberFormat="1" applyFont="1" applyFill="1" applyBorder="1" applyAlignment="1">
      <x:alignment wrapText="0"/>
    </x:xf>
    <x:xf numFmtId="0" fontId="0" fillId="3" borderId="3" xfId="0" applyNumberFormat="1" applyFont="1" applyFill="1" applyBorder="1" applyAlignment="1">
      <x:alignment wrapText="0"/>
    </x:xf>
    <x:xf numFmtId="0" fontId="0" fillId="3" borderId="4" xfId="0" applyNumberFormat="1" applyFont="1" applyFill="1" applyBorder="1" applyAlignment="1">
      <x:alignment wrapText="0"/>
    </x:xf>
    <x:xf numFmtId="0" fontId="0" fillId="3" borderId="2" xfId="0" applyNumberFormat="1" applyFont="1" applyFill="1" applyBorder="1" applyAlignment="1">
      <x:alignment vertical="center" wrapText="0"/>
    </x:xf>
    <x:xf numFmtId="0" fontId="0" fillId="3" borderId="3" xfId="0" applyNumberFormat="1" applyFont="1" applyFill="1" applyBorder="1" applyAlignment="1">
      <x:alignment vertical="center" wrapText="0"/>
    </x:xf>
    <x:xf numFmtId="0" fontId="0" fillId="3" borderId="4" xfId="0" applyNumberFormat="1" applyFont="1" applyFill="1" applyBorder="1" applyAlignment="1">
      <x:alignment vertical="center" wrapText="0"/>
    </x:xf>
    <x:xf numFmtId="200" fontId="0" fillId="0" borderId="2" xfId="0" applyNumberFormat="1" applyFont="1" applyFill="1" applyBorder="1" applyAlignment="1">
      <x:alignment vertical="center" wrapText="0"/>
    </x:xf>
    <x:xf numFmtId="200" fontId="0" fillId="0" borderId="3" xfId="0" applyNumberFormat="1" applyFont="1" applyFill="1" applyBorder="1" applyAlignment="1">
      <x:alignment vertical="center" wrapText="0"/>
    </x:xf>
    <x:xf numFmtId="200" fontId="0" fillId="0" borderId="4" xfId="0" applyNumberFormat="1" applyFont="1" applyFill="1" applyBorder="1" applyAlignment="1">
      <x:alignment vertical="center" wrapText="0"/>
    </x:xf>
    <x:xf numFmtId="201" fontId="0" fillId="0" borderId="2" xfId="0" applyNumberFormat="1" applyFont="1" applyFill="1" applyBorder="1" applyAlignment="1">
      <x:alignment vertical="center" wrapText="0"/>
    </x:xf>
    <x:xf numFmtId="201" fontId="0" fillId="0" borderId="3" xfId="0" applyNumberFormat="1" applyFont="1" applyFill="1" applyBorder="1" applyAlignment="1">
      <x:alignment vertical="center" wrapText="0"/>
    </x:xf>
    <x:xf numFmtId="201" fontId="0" fillId="0" borderId="4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center" wrapText="0"/>
    </x:xf>
    <x:xf numFmtId="0" fontId="5" fillId="3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0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0"/>
    </x:xf>
    <x:xf numFmtId="0" fontId="5" fillId="0" borderId="4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0"/>
    </x:xf>
    <x:xf numFmtId="0" fontId="5" fillId="3" borderId="3" xfId="0" applyNumberFormat="1" applyFont="1" applyFill="1" applyBorder="1" applyAlignment="1">
      <x:alignment vertical="center" wrapText="0"/>
    </x:xf>
    <x:xf numFmtId="0" fontId="5" fillId="3" borderId="4" xfId="0" applyNumberFormat="1" applyFont="1" applyFill="1" applyBorder="1" applyAlignment="1">
      <x:alignment vertical="center" wrapText="0"/>
    </x:xf>
    <x:xf numFmtId="200" fontId="5" fillId="0" borderId="2" xfId="0" applyNumberFormat="1" applyFont="1" applyFill="1" applyBorder="1" applyAlignment="1">
      <x:alignment vertical="center" wrapText="0"/>
    </x:xf>
    <x:xf numFmtId="201" fontId="5" fillId="0" borderId="2" xfId="0" applyNumberFormat="1" applyFont="1" applyFill="1" applyBorder="1" applyAlignment="1">
      <x:alignment vertical="center" wrapText="0"/>
    </x:xf>
    <x:xf numFmtId="200" fontId="5" fillId="0" borderId="3" xfId="0" applyNumberFormat="1" applyFont="1" applyFill="1" applyBorder="1" applyAlignment="1">
      <x:alignment vertical="center" wrapText="0"/>
    </x:xf>
    <x:xf numFmtId="201" fontId="5" fillId="0" borderId="3" xfId="0" applyNumberFormat="1" applyFont="1" applyFill="1" applyBorder="1" applyAlignment="1">
      <x:alignment vertical="center" wrapText="0"/>
    </x:xf>
    <x:xf numFmtId="200" fontId="5" fillId="0" borderId="4" xfId="0" applyNumberFormat="1" applyFont="1" applyFill="1" applyBorder="1" applyAlignment="1">
      <x:alignment vertical="center" wrapText="0"/>
    </x:xf>
    <x:xf numFmtId="201" fontId="5" fillId="0" borderId="4" xfId="0" applyNumberFormat="1" applyFont="1" applyFill="1" applyBorder="1" applyAlignment="1">
      <x:alignment vertical="center" wrapText="0"/>
    </x:xf>
    <x:xf numFmtId="0" fontId="5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65f7e6ca734b0c" /><Relationship Type="http://schemas.openxmlformats.org/officeDocument/2006/relationships/theme" Target="/xl/theme/theme1.xml" Id="Rab691d5d6ff14e44" /><Relationship Type="http://schemas.openxmlformats.org/officeDocument/2006/relationships/sharedStrings" Target="/xl/sharedStrings.xml" Id="R4c05f2af02084ac8" /><Relationship Type="http://schemas.openxmlformats.org/officeDocument/2006/relationships/worksheet" Target="/xl/worksheets/sheet1.xml" Id="Ra1bb27ffe5624d22" /><Relationship Type="http://schemas.openxmlformats.org/officeDocument/2006/relationships/worksheet" Target="/xl/worksheets/sheet2.xml" Id="Rf7e39b47a77a4d37" /><Relationship Type="http://schemas.openxmlformats.org/officeDocument/2006/relationships/worksheet" Target="/xl/worksheets/sheet3.xml" Id="Rc94d4edf9f7b4460" /><Relationship Type="http://schemas.openxmlformats.org/officeDocument/2006/relationships/worksheet" Target="/xl/worksheets/sheet4.xml" Id="Raf727711a6834164" /><Relationship Type="http://schemas.openxmlformats.org/officeDocument/2006/relationships/worksheet" Target="/xl/worksheets/sheet5.xml" Id="R7e2baf9b92ae4dde" /><Relationship Type="http://schemas.openxmlformats.org/officeDocument/2006/relationships/worksheet" Target="/xl/worksheets/sheet6.xml" Id="R843a213287284875" /><Relationship Type="http://schemas.openxmlformats.org/officeDocument/2006/relationships/worksheet" Target="/xl/worksheets/sheet7.xml" Id="R15b1b4c9dc9f4608" /><Relationship Type="http://schemas.openxmlformats.org/officeDocument/2006/relationships/worksheet" Target="/xl/worksheets/sheet8.xml" Id="Rdcdac8758b5f46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 ht="28" customHeight="1">
      <x:c r="A1" s="41" t="str">
        <x:v>炼丹系统 · 第四步筑基境最小垂直切片（候选验算）</x:v>
      </x:c>
      <x:c r="B1" s="41" t="str">
        <x:v>炼丹系统 · 第四步筑基境最小垂直切片（候选验算）</x:v>
      </x:c>
      <x:c r="C1" s="41" t="str">
        <x:v>炼丹系统 · 第四步筑基境最小垂直切片（候选验算）</x:v>
      </x:c>
      <x:c r="D1" s="41" t="str">
        <x:v>炼丹系统 · 第四步筑基境最小垂直切片（候选验算）</x:v>
      </x:c>
      <x:c r="E1" s="41" t="str">
        <x:v>炼丹系统 · 第四步筑基境最小垂直切片（候选验算）</x:v>
      </x:c>
      <x:c r="F1" s="41" t="str">
        <x:v>炼丹系统 · 第四步筑基境最小垂直切片（候选验算）</x:v>
      </x:c>
      <x:c r="G1" s="41" t="str">
        <x:v>炼丹系统 · 第四步筑基境最小垂直切片（候选验算）</x:v>
      </x:c>
      <x:c r="H1" s="41" t="str">
        <x:v>炼丹系统 · 第四步筑基境最小垂直切片（候选验算）</x:v>
      </x:c>
    </x:row>
    <x:row r="2">
      <x:c r="A2" s="51"/>
      <x:c r="B2" s="51"/>
      <x:c r="C2" s="51"/>
      <x:c r="D2" s="51"/>
      <x:c r="E2" s="51"/>
      <x:c r="F2" s="51"/>
      <x:c r="G2" s="51"/>
      <x:c r="H2" s="51"/>
    </x:row>
    <x:row r="3">
      <x:c r="A3" s="43" t="str">
        <x:v>项目</x:v>
      </x:c>
      <x:c r="B3" s="43" t="str">
        <x:v>内容</x:v>
      </x:c>
      <x:c r="C3" s="51"/>
      <x:c r="D3" s="51"/>
      <x:c r="E3" s="51"/>
      <x:c r="F3" s="51"/>
      <x:c r="G3" s="51"/>
      <x:c r="H3" s="51"/>
    </x:row>
    <x:row r="4">
      <x:c r="A4" s="44" t="str">
        <x:v>状态</x:v>
      </x:c>
      <x:c r="B4" s="45" t="str">
        <x:v>第四步验证件；所有数值均为候选值，不得回填正式配置</x:v>
      </x:c>
      <x:c r="C4" s="51"/>
      <x:c r="D4" s="51"/>
      <x:c r="E4" s="51"/>
      <x:c r="F4" s="51"/>
      <x:c r="G4" s="51"/>
      <x:c r="H4" s="51"/>
    </x:row>
    <x:row r="5">
      <x:c r="A5" s="46" t="str">
        <x:v>权威规则</x:v>
      </x:c>
      <x:c r="B5" s="47" t="str">
        <x:v>炼丹系统·第六版设计定稿 v6.10</x:v>
      </x:c>
      <x:c r="C5" s="51"/>
      <x:c r="D5" s="51"/>
      <x:c r="E5" s="51"/>
      <x:c r="F5" s="51"/>
      <x:c r="G5" s="51"/>
      <x:c r="H5" s="51"/>
    </x:row>
    <x:row r="6">
      <x:c r="A6" s="46" t="str">
        <x:v>输入结构</x:v>
      </x:c>
      <x:c r="B6" s="47" t="str">
        <x:v>当前灵植表、丹方表、丹炉表、除渣力、丹毒池、系统参数和属性配置</x:v>
      </x:c>
      <x:c r="C6" s="51"/>
      <x:c r="D6" s="51"/>
      <x:c r="E6" s="51"/>
      <x:c r="F6" s="51"/>
      <x:c r="G6" s="51"/>
      <x:c r="H6" s="51"/>
    </x:row>
    <x:row r="7">
      <x:c r="A7" s="46" t="str">
        <x:v>样本</x:v>
      </x:c>
      <x:c r="B7" s="47" t="str">
        <x:v>10个筑基丹方品质行；覆盖五行、五味、−2～+2、凡/灵/玄与六类炉型</x:v>
      </x:c>
      <x:c r="C7" s="51"/>
      <x:c r="D7" s="51"/>
      <x:c r="E7" s="51"/>
      <x:c r="F7" s="51"/>
      <x:c r="G7" s="51"/>
      <x:c r="H7" s="51"/>
    </x:row>
    <x:row r="8">
      <x:c r="A8" s="46" t="str">
        <x:v>方法</x:v>
      </x:c>
      <x:c r="B8" s="47" t="str">
        <x:v>10个标准手算案例＋逐份投药＋批次独立判定＋边界验证</x:v>
      </x:c>
      <x:c r="C8" s="51"/>
      <x:c r="D8" s="51"/>
      <x:c r="E8" s="51"/>
      <x:c r="F8" s="51"/>
      <x:c r="G8" s="51"/>
      <x:c r="H8" s="51"/>
    </x:row>
    <x:row r="9">
      <x:c r="A9" s="46" t="str">
        <x:v>通过判据</x:v>
      </x:c>
      <x:c r="B9" s="47" t="str">
        <x:v>全链公式可复现、全部样本有安全顺序、三路线与炉型差异可观察、无普遍最低杂质触底</x:v>
      </x:c>
      <x:c r="C9" s="51"/>
      <x:c r="D9" s="51"/>
      <x:c r="E9" s="51"/>
      <x:c r="F9" s="51"/>
      <x:c r="G9" s="51"/>
      <x:c r="H9" s="51"/>
    </x:row>
    <x:row r="10">
      <x:c r="A10" s="48" t="str">
        <x:v>结论</x:v>
      </x:c>
      <x:c r="B10" s="49" t="str">
        <x:v>见全链验算与本工作簿配套报告</x:v>
      </x:c>
      <x:c r="C10" s="51"/>
      <x:c r="D10" s="51"/>
      <x:c r="E10" s="51"/>
      <x:c r="F10" s="51"/>
      <x:c r="G10" s="51"/>
      <x:c r="H10" s="51"/>
    </x:row>
    <x:row r="11">
      <x:c r="A11" s="51"/>
      <x:c r="B11" s="51"/>
      <x:c r="C11" s="51"/>
      <x:c r="D11" s="51"/>
      <x:c r="E11" s="51"/>
      <x:c r="F11" s="51"/>
      <x:c r="G11" s="51"/>
      <x:c r="H11" s="51"/>
    </x:row>
    <x:row r="12">
      <x:c r="A12" s="52" t="str">
        <x:v>颜色：黄色=候选输入；蓝色=字段/公式说明；绿色=通过；红色=失败或待裁。</x:v>
      </x:c>
      <x:c r="B12" s="52"/>
      <x:c r="C12" s="52"/>
      <x:c r="D12" s="52"/>
      <x:c r="E12" s="52"/>
      <x:c r="F12" s="52"/>
      <x:c r="G12" s="52"/>
      <x:c r="H12" s="52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8" hidden="0" customWidth="1"/>
    <x:col min="12" max="12" width="14" hidden="0" customWidth="1"/>
    <x:col min="13" max="13" width="14" hidden="0" customWidth="1"/>
  </x:cols>
  <x:sheetData>
    <x:row r="1" ht="28" customHeight="1">
      <x:c r="A1" s="41" t="str">
        <x:v>候选参数（仅用于第四步）</x:v>
      </x:c>
      <x:c r="B1" s="41" t="str">
        <x:v>候选参数（仅用于第四步）</x:v>
      </x:c>
      <x:c r="C1" s="41" t="str">
        <x:v>候选参数（仅用于第四步）</x:v>
      </x:c>
      <x:c r="D1" s="41" t="str">
        <x:v>候选参数（仅用于第四步）</x:v>
      </x:c>
      <x:c r="E1" s="41" t="str">
        <x:v>候选参数（仅用于第四步）</x:v>
      </x:c>
      <x:c r="F1" s="41" t="str">
        <x:v>候选参数（仅用于第四步）</x:v>
      </x:c>
      <x:c r="G1" s="41" t="str">
        <x:v>候选参数（仅用于第四步）</x:v>
      </x:c>
      <x:c r="H1" s="41" t="str">
        <x:v>候选参数（仅用于第四步）</x:v>
      </x:c>
      <x:c r="I1" s="41" t="str">
        <x:v>候选参数（仅用于第四步）</x:v>
      </x:c>
      <x:c r="J1" s="41" t="str">
        <x:v>候选参数（仅用于第四步）</x:v>
      </x:c>
      <x:c r="K1" s="41" t="str">
        <x:v>候选参数（仅用于第四步）</x:v>
      </x:c>
      <x:c r="L1" s="41" t="str">
        <x:v>候选参数（仅用于第四步）</x:v>
      </x:c>
      <x:c r="M1" s="41" t="str">
        <x:v>候选参数（仅用于第四步）</x:v>
      </x:c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</x:row>
    <x:row r="3">
      <x:c r="A3" s="43" t="str">
        <x:v>品质</x:v>
      </x:c>
      <x:c r="B3" s="43" t="str">
        <x:v>目标药力U</x:v>
      </x:c>
      <x:c r="C3" s="43" t="str">
        <x:v>君材药力</x:v>
      </x:c>
      <x:c r="D3" s="43" t="str">
        <x:v>君材杂质</x:v>
      </x:c>
      <x:c r="E3" s="43" t="str">
        <x:v>最低杂质L</x:v>
      </x:c>
      <x:c r="F3" s="43" t="str">
        <x:v>最低纯度</x:v>
      </x:c>
      <x:c r="G3" s="43" t="str">
        <x:v>基础成丹率B</x:v>
      </x:c>
      <x:c r="H3" s="43" t="str">
        <x:v>成丹率上限C</x:v>
      </x:c>
      <x:c r="I3" s="43" t="str">
        <x:v>升品率</x:v>
      </x:c>
      <x:c r="J3" s="43" t="str">
        <x:v>单枚神识</x:v>
      </x:c>
      <x:c r="K3" s="43" t="str">
        <x:v>丹头容量</x:v>
      </x:c>
      <x:c r="L3" s="43" t="str">
        <x:v>炼丹术基础除渣</x:v>
      </x:c>
      <x:c r="M3" s="43" t="str">
        <x:v>灵植术基础除渣</x:v>
      </x:c>
    </x:row>
    <x:row r="4">
      <x:c r="A4" s="53" t="str">
        <x:v>凡品</x:v>
      </x:c>
      <x:c r="B4" s="53" t="n">
        <x:v>1000</x:v>
      </x:c>
      <x:c r="C4" s="53" t="n">
        <x:v>120</x:v>
      </x:c>
      <x:c r="D4" s="53" t="n">
        <x:v>70</x:v>
      </x:c>
      <x:c r="E4" s="53" t="n">
        <x:v>60</x:v>
      </x:c>
      <x:c r="F4" s="53" t="n">
        <x:v>7600</x:v>
      </x:c>
      <x:c r="G4" s="53" t="n">
        <x:v>8500</x:v>
      </x:c>
      <x:c r="H4" s="53" t="n">
        <x:v>9800</x:v>
      </x:c>
      <x:c r="I4" s="53" t="n">
        <x:v>600</x:v>
      </x:c>
      <x:c r="J4" s="53" t="n">
        <x:v>100</x:v>
      </x:c>
      <x:c r="K4" s="53" t="n">
        <x:v>7</x:v>
      </x:c>
      <x:c r="L4" s="53" t="n">
        <x:v>40</x:v>
      </x:c>
      <x:c r="M4" s="53" t="n">
        <x:v>30</x:v>
      </x:c>
    </x:row>
    <x:row r="5">
      <x:c r="A5" s="54" t="str">
        <x:v>灵品</x:v>
      </x:c>
      <x:c r="B5" s="54" t="n">
        <x:v>1250</x:v>
      </x:c>
      <x:c r="C5" s="54" t="n">
        <x:v>180</x:v>
      </x:c>
      <x:c r="D5" s="54" t="n">
        <x:v>105</x:v>
      </x:c>
      <x:c r="E5" s="54" t="n">
        <x:v>75</x:v>
      </x:c>
      <x:c r="F5" s="54" t="n">
        <x:v>7800</x:v>
      </x:c>
      <x:c r="G5" s="54" t="n">
        <x:v>6500</x:v>
      </x:c>
      <x:c r="H5" s="54" t="n">
        <x:v>9000</x:v>
      </x:c>
      <x:c r="I5" s="54" t="n">
        <x:v>200</x:v>
      </x:c>
      <x:c r="J5" s="54" t="n">
        <x:v>180</x:v>
      </x:c>
      <x:c r="K5" s="54" t="n">
        <x:v>8</x:v>
      </x:c>
      <x:c r="L5" s="54" t="n">
        <x:v>55</x:v>
      </x:c>
      <x:c r="M5" s="54" t="n">
        <x:v>40</x:v>
      </x:c>
    </x:row>
    <x:row r="6">
      <x:c r="A6" s="55" t="str">
        <x:v>玄品</x:v>
      </x:c>
      <x:c r="B6" s="55" t="n">
        <x:v>1550</x:v>
      </x:c>
      <x:c r="C6" s="55" t="n">
        <x:v>240</x:v>
      </x:c>
      <x:c r="D6" s="55" t="n">
        <x:v>140</x:v>
      </x:c>
      <x:c r="E6" s="55" t="n">
        <x:v>90</x:v>
      </x:c>
      <x:c r="F6" s="55" t="n">
        <x:v>8000</x:v>
      </x:c>
      <x:c r="G6" s="55" t="n">
        <x:v>4500</x:v>
      </x:c>
      <x:c r="H6" s="55" t="n">
        <x:v>8000</x:v>
      </x:c>
      <x:c r="I6" s="55" t="n">
        <x:v>0</x:v>
      </x:c>
      <x:c r="J6" s="55" t="n">
        <x:v>300</x:v>
      </x:c>
      <x:c r="K6" s="55" t="n">
        <x:v>9</x:v>
      </x:c>
      <x:c r="L6" s="55" t="n">
        <x:v>70</x:v>
      </x:c>
      <x:c r="M6" s="55" t="n">
        <x:v>50</x:v>
      </x:c>
    </x:row>
    <x:row r="7">
      <x:c r="A7" s="51"/>
      <x:c r="B7" s="51"/>
      <x:c r="C7" s="51"/>
      <x:c r="D7" s="51"/>
      <x:c r="E7" s="51"/>
      <x:c r="F7" s="51"/>
      <x:c r="G7" s="51"/>
      <x:c r="H7" s="51"/>
      <x:c r="I7" s="51"/>
      <x:c r="J7" s="51"/>
      <x:c r="K7" s="51"/>
      <x:c r="L7" s="51"/>
      <x:c r="M7" s="51"/>
    </x:row>
    <x:row r="8">
      <x:c r="A8" s="51"/>
      <x:c r="B8" s="51"/>
      <x:c r="C8" s="51"/>
      <x:c r="D8" s="51"/>
      <x:c r="E8" s="51"/>
      <x:c r="F8" s="51"/>
      <x:c r="G8" s="51"/>
      <x:c r="H8" s="51"/>
      <x:c r="I8" s="51"/>
      <x:c r="J8" s="51"/>
      <x:c r="K8" s="51"/>
      <x:c r="L8" s="51"/>
      <x:c r="M8" s="51"/>
    </x:row>
    <x:row r="9">
      <x:c r="A9" s="43" t="str">
        <x:v>炉ID</x:v>
      </x:c>
      <x:c r="B9" s="43" t="str">
        <x:v>名称</x:v>
      </x:c>
      <x:c r="C9" s="43" t="str">
        <x:v>基准境界</x:v>
      </x:c>
      <x:c r="D9" s="43" t="str">
        <x:v>境界差Δ</x:v>
      </x:c>
      <x:c r="E9" s="43" t="str">
        <x:v>承寒</x:v>
      </x:c>
      <x:c r="F9" s="43" t="str">
        <x:v>承热</x:v>
      </x:c>
      <x:c r="G9" s="43" t="str">
        <x:v>基础过滤率</x:v>
      </x:c>
      <x:c r="H9" s="43" t="str">
        <x:v>定位</x:v>
      </x:c>
      <x:c r="I9" s="51"/>
      <x:c r="J9" s="43" t="str">
        <x:v>系统候选参数</x:v>
      </x:c>
      <x:c r="K9" s="43" t="str">
        <x:v>值</x:v>
      </x:c>
      <x:c r="L9" s="51"/>
      <x:c r="M9" s="51"/>
    </x:row>
    <x:row r="10">
      <x:c r="A10" s="53" t="str">
        <x:v>F-BASE</x:v>
      </x:c>
      <x:c r="B10" s="53" t="str">
        <x:v>筑基基础炉</x:v>
      </x:c>
      <x:c r="C10" s="53" t="str">
        <x:v>筑基</x:v>
      </x:c>
      <x:c r="D10" s="53" t="n">
        <x:v>0</x:v>
      </x:c>
      <x:c r="E10" s="53" t="n">
        <x:v>-2</x:v>
      </x:c>
      <x:c r="F10" s="53" t="n">
        <x:v>2</x:v>
      </x:c>
      <x:c r="G10" s="53" t="n">
        <x:v>900</x:v>
      </x:c>
      <x:c r="H10" s="53" t="str">
        <x:v>基础炉</x:v>
      </x:c>
      <x:c r="I10" s="51"/>
      <x:c r="J10" s="53" t="str">
        <x:v>低境界炼丹K</x:v>
      </x:c>
      <x:c r="K10" s="53" t="n">
        <x:v>1.03</x:v>
      </x:c>
      <x:c r="L10" s="51"/>
      <x:c r="M10" s="51"/>
    </x:row>
    <x:row r="11">
      <x:c r="A11" s="54" t="str">
        <x:v>F-WIDE</x:v>
      </x:c>
      <x:c r="B11" s="54" t="str">
        <x:v>筑基宽炉</x:v>
      </x:c>
      <x:c r="C11" s="54" t="str">
        <x:v>筑基</x:v>
      </x:c>
      <x:c r="D11" s="54" t="n">
        <x:v>0</x:v>
      </x:c>
      <x:c r="E11" s="54" t="n">
        <x:v>-4</x:v>
      </x:c>
      <x:c r="F11" s="54" t="n">
        <x:v>4</x:v>
      </x:c>
      <x:c r="G11" s="54" t="n">
        <x:v>500</x:v>
      </x:c>
      <x:c r="H11" s="54" t="str">
        <x:v>宽炉</x:v>
      </x:c>
      <x:c r="I11" s="51"/>
      <x:c r="J11" s="54" t="str">
        <x:v>炼丹术熟练参数S</x:v>
      </x:c>
      <x:c r="K11" s="54" t="n">
        <x:v>20</x:v>
      </x:c>
      <x:c r="L11" s="51"/>
      <x:c r="M11" s="51"/>
    </x:row>
    <x:row r="12">
      <x:c r="A12" s="54" t="str">
        <x:v>F-COLD</x:v>
      </x:c>
      <x:c r="B12" s="54" t="str">
        <x:v>筑基偏寒炉</x:v>
      </x:c>
      <x:c r="C12" s="54" t="str">
        <x:v>筑基</x:v>
      </x:c>
      <x:c r="D12" s="54" t="n">
        <x:v>0</x:v>
      </x:c>
      <x:c r="E12" s="54" t="n">
        <x:v>-5</x:v>
      </x:c>
      <x:c r="F12" s="54" t="n">
        <x:v>1</x:v>
      </x:c>
      <x:c r="G12" s="54" t="n">
        <x:v>700</x:v>
      </x:c>
      <x:c r="H12" s="54" t="str">
        <x:v>偏性炉</x:v>
      </x:c>
      <x:c r="I12" s="51"/>
      <x:c r="J12" s="54" t="str">
        <x:v>灵植术熟练参数S</x:v>
      </x:c>
      <x:c r="K12" s="54" t="n">
        <x:v>20</x:v>
      </x:c>
      <x:c r="L12" s="51"/>
      <x:c r="M12" s="51"/>
    </x:row>
    <x:row r="13">
      <x:c r="A13" s="54" t="str">
        <x:v>F-HOT</x:v>
      </x:c>
      <x:c r="B13" s="54" t="str">
        <x:v>筑基偏热炉</x:v>
      </x:c>
      <x:c r="C13" s="54" t="str">
        <x:v>筑基</x:v>
      </x:c>
      <x:c r="D13" s="54" t="n">
        <x:v>0</x:v>
      </x:c>
      <x:c r="E13" s="54" t="n">
        <x:v>-1</x:v>
      </x:c>
      <x:c r="F13" s="54" t="n">
        <x:v>5</x:v>
      </x:c>
      <x:c r="G13" s="54" t="n">
        <x:v>700</x:v>
      </x:c>
      <x:c r="H13" s="54" t="str">
        <x:v>偏性炉</x:v>
      </x:c>
      <x:c r="I13" s="51"/>
      <x:c r="J13" s="54" t="str">
        <x:v>炼丹术熟练度p</x:v>
      </x:c>
      <x:c r="K13" s="54" t="n">
        <x:v>60</x:v>
      </x:c>
      <x:c r="L13" s="51"/>
      <x:c r="M13" s="51"/>
    </x:row>
    <x:row r="14">
      <x:c r="A14" s="54" t="str">
        <x:v>F-CLEAN</x:v>
      </x:c>
      <x:c r="B14" s="54" t="str">
        <x:v>筑基净炉</x:v>
      </x:c>
      <x:c r="C14" s="54" t="str">
        <x:v>筑基</x:v>
      </x:c>
      <x:c r="D14" s="54" t="n">
        <x:v>0</x:v>
      </x:c>
      <x:c r="E14" s="54" t="n">
        <x:v>-2</x:v>
      </x:c>
      <x:c r="F14" s="54" t="n">
        <x:v>2</x:v>
      </x:c>
      <x:c r="G14" s="54" t="n">
        <x:v>1600</x:v>
      </x:c>
      <x:c r="H14" s="54" t="str">
        <x:v>净炉</x:v>
      </x:c>
      <x:c r="I14" s="51"/>
      <x:c r="J14" s="54" t="str">
        <x:v>灵植术熟练度p</x:v>
      </x:c>
      <x:c r="K14" s="54" t="n">
        <x:v>40</x:v>
      </x:c>
      <x:c r="L14" s="51"/>
      <x:c r="M14" s="51"/>
    </x:row>
    <x:row r="15">
      <x:c r="A15" s="55" t="str">
        <x:v>F-JD</x:v>
      </x:c>
      <x:c r="B15" s="55" t="str">
        <x:v>金丹基础炉炼筑基丹</x:v>
      </x:c>
      <x:c r="C15" s="55" t="str">
        <x:v>金丹</x:v>
      </x:c>
      <x:c r="D15" s="55" t="n">
        <x:v>1</x:v>
      </x:c>
      <x:c r="E15" s="55" t="n">
        <x:v>-3</x:v>
      </x:c>
      <x:c r="F15" s="55" t="n">
        <x:v>3</x:v>
      </x:c>
      <x:c r="G15" s="55" t="n">
        <x:v>1200</x:v>
      </x:c>
      <x:c r="H15" s="55" t="str">
        <x:v>高境炉</x:v>
      </x:c>
      <x:c r="I15" s="51"/>
      <x:c r="J15" s="54" t="str">
        <x:v>丹毒减半线H</x:v>
      </x:c>
      <x:c r="K15" s="54" t="n">
        <x:v>8000</x:v>
      </x:c>
      <x:c r="L15" s="51"/>
      <x:c r="M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5" t="str">
        <x:v>筑基五味池容量</x:v>
      </x:c>
      <x:c r="K16" s="55" t="n">
        <x:v>1200</x:v>
      </x:c>
      <x:c r="L16" s="51"/>
      <x:c r="M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3" t="str">
        <x:v>每日消退率</x:v>
      </x:c>
      <x:c r="K18" s="53" t="n">
        <x:v>300</x:v>
      </x:c>
      <x:c r="L18" s="51"/>
      <x:c r="M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5" t="str">
        <x:v>每日消退点数取整</x:v>
      </x:c>
      <x:c r="K19" s="55" t="str">
        <x:v>待裁；本切片1200×300/10000=36，恰为整数</x:v>
      </x:c>
      <x:c r="L19" s="51"/>
      <x:c r="M19" s="51"/>
    </x:row>
  </x:sheetData>
  <x:mergeCells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8" customHeight="1">
      <x:c r="A1" s="41" t="str">
        <x:v>候选材料（小样本池）</x:v>
      </x:c>
      <x:c r="B1" s="41" t="str">
        <x:v>候选材料（小样本池）</x:v>
      </x:c>
      <x:c r="C1" s="41" t="str">
        <x:v>候选材料（小样本池）</x:v>
      </x:c>
      <x:c r="D1" s="41" t="str">
        <x:v>候选材料（小样本池）</x:v>
      </x:c>
      <x:c r="E1" s="41" t="str">
        <x:v>候选材料（小样本池）</x:v>
      </x:c>
      <x:c r="F1" s="41" t="str">
        <x:v>候选材料（小样本池）</x:v>
      </x:c>
      <x:c r="G1" s="41" t="str">
        <x:v>候选材料（小样本池）</x:v>
      </x:c>
      <x:c r="H1" s="41" t="str">
        <x:v>候选材料（小样本池）</x:v>
      </x:c>
      <x:c r="I1" s="41" t="str">
        <x:v>候选材料（小样本池）</x:v>
      </x:c>
      <x:c r="J1" s="41" t="str">
        <x:v>候选材料（小样本池）</x:v>
      </x:c>
      <x:c r="K1" s="41" t="str">
        <x:v>候选材料（小样本池）</x:v>
      </x:c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</x:row>
    <x:row r="3">
      <x:c r="A3" s="43" t="str">
        <x:v>材料ID</x:v>
      </x:c>
      <x:c r="B3" s="43" t="str">
        <x:v>名称</x:v>
      </x:c>
      <x:c r="C3" s="43" t="str">
        <x:v>材位</x:v>
      </x:c>
      <x:c r="D3" s="43" t="str">
        <x:v>五行</x:v>
      </x:c>
      <x:c r="E3" s="43" t="str">
        <x:v>五味</x:v>
      </x:c>
      <x:c r="F3" s="43" t="str">
        <x:v>品质</x:v>
      </x:c>
      <x:c r="G3" s="43" t="str">
        <x:v>药性</x:v>
      </x:c>
      <x:c r="H3" s="43" t="str">
        <x:v>药力</x:v>
      </x:c>
      <x:c r="I3" s="43" t="str">
        <x:v>绝对杂质</x:v>
      </x:c>
      <x:c r="J3" s="43" t="str">
        <x:v>目标药力</x:v>
      </x:c>
      <x:c r="K3" s="43" t="str">
        <x:v>承药份数</x:v>
      </x:c>
    </x:row>
    <x:row r="4">
      <x:c r="A4" s="53" t="str">
        <x:v>J-凡-H</x:v>
      </x:c>
      <x:c r="B4" s="53" t="str">
        <x:v>凡品H君材</x:v>
      </x:c>
      <x:c r="C4" s="53" t="str">
        <x:v>君</x:v>
      </x:c>
      <x:c r="D4" s="53" t="str"/>
      <x:c r="E4" s="53" t="str"/>
      <x:c r="F4" s="53" t="str">
        <x:v>凡品</x:v>
      </x:c>
      <x:c r="G4" s="53" t="n">
        <x:v>-2</x:v>
      </x:c>
      <x:c r="H4" s="53" t="n">
        <x:v>120</x:v>
      </x:c>
      <x:c r="I4" s="53" t="n">
        <x:v>70</x:v>
      </x:c>
      <x:c r="J4" s="53" t="n">
        <x:v>1000</x:v>
      </x:c>
      <x:c r="K4" s="53" t="n">
        <x:v>0</x:v>
      </x:c>
    </x:row>
    <x:row r="5">
      <x:c r="A5" s="54" t="str">
        <x:v>J-凡-P</x:v>
      </x:c>
      <x:c r="B5" s="54" t="str">
        <x:v>凡品P君材</x:v>
      </x:c>
      <x:c r="C5" s="54" t="str">
        <x:v>君</x:v>
      </x:c>
      <x:c r="D5" s="54" t="str"/>
      <x:c r="E5" s="54" t="str"/>
      <x:c r="F5" s="54" t="str">
        <x:v>凡品</x:v>
      </x:c>
      <x:c r="G5" s="54" t="n">
        <x:v>0</x:v>
      </x:c>
      <x:c r="H5" s="54" t="n">
        <x:v>120</x:v>
      </x:c>
      <x:c r="I5" s="54" t="n">
        <x:v>70</x:v>
      </x:c>
      <x:c r="J5" s="54" t="n">
        <x:v>1000</x:v>
      </x:c>
      <x:c r="K5" s="54" t="n">
        <x:v>0</x:v>
      </x:c>
    </x:row>
    <x:row r="6">
      <x:c r="A6" s="54" t="str">
        <x:v>J-凡-W</x:v>
      </x:c>
      <x:c r="B6" s="54" t="str">
        <x:v>凡品W君材</x:v>
      </x:c>
      <x:c r="C6" s="54" t="str">
        <x:v>君</x:v>
      </x:c>
      <x:c r="D6" s="54" t="str"/>
      <x:c r="E6" s="54" t="str"/>
      <x:c r="F6" s="54" t="str">
        <x:v>凡品</x:v>
      </x:c>
      <x:c r="G6" s="54" t="n">
        <x:v>2</x:v>
      </x:c>
      <x:c r="H6" s="54" t="n">
        <x:v>120</x:v>
      </x:c>
      <x:c r="I6" s="54" t="n">
        <x:v>70</x:v>
      </x:c>
      <x:c r="J6" s="54" t="n">
        <x:v>1000</x:v>
      </x:c>
      <x:c r="K6" s="54" t="n">
        <x:v>0</x:v>
      </x:c>
    </x:row>
    <x:row r="7">
      <x:c r="A7" s="54" t="str">
        <x:v>H-凡</x:v>
      </x:c>
      <x:c r="B7" s="54" t="str">
        <x:v>凡品丹头</x:v>
      </x:c>
      <x:c r="C7" s="54" t="str">
        <x:v>丹头</x:v>
      </x:c>
      <x:c r="D7" s="54" t="str"/>
      <x:c r="E7" s="54" t="str"/>
      <x:c r="F7" s="54" t="str">
        <x:v>凡品</x:v>
      </x:c>
      <x:c r="G7" s="54" t="n">
        <x:v>0</x:v>
      </x:c>
      <x:c r="H7" s="54" t="n">
        <x:v>0</x:v>
      </x:c>
      <x:c r="I7" s="54" t="n">
        <x:v>0</x:v>
      </x:c>
      <x:c r="J7" s="54" t="n">
        <x:v>0</x:v>
      </x:c>
      <x:c r="K7" s="54" t="n">
        <x:v>7</x:v>
      </x:c>
    </x:row>
    <x:row r="8">
      <x:c r="A8" s="54" t="str">
        <x:v>J-灵-H</x:v>
      </x:c>
      <x:c r="B8" s="54" t="str">
        <x:v>灵品H君材</x:v>
      </x:c>
      <x:c r="C8" s="54" t="str">
        <x:v>君</x:v>
      </x:c>
      <x:c r="D8" s="54" t="str"/>
      <x:c r="E8" s="54" t="str"/>
      <x:c r="F8" s="54" t="str">
        <x:v>灵品</x:v>
      </x:c>
      <x:c r="G8" s="54" t="n">
        <x:v>-2</x:v>
      </x:c>
      <x:c r="H8" s="54" t="n">
        <x:v>180</x:v>
      </x:c>
      <x:c r="I8" s="54" t="n">
        <x:v>105</x:v>
      </x:c>
      <x:c r="J8" s="54" t="n">
        <x:v>1250</x:v>
      </x:c>
      <x:c r="K8" s="54" t="n">
        <x:v>0</x:v>
      </x:c>
    </x:row>
    <x:row r="9">
      <x:c r="A9" s="54" t="str">
        <x:v>J-灵-P</x:v>
      </x:c>
      <x:c r="B9" s="54" t="str">
        <x:v>灵品P君材</x:v>
      </x:c>
      <x:c r="C9" s="54" t="str">
        <x:v>君</x:v>
      </x:c>
      <x:c r="D9" s="54" t="str"/>
      <x:c r="E9" s="54" t="str"/>
      <x:c r="F9" s="54" t="str">
        <x:v>灵品</x:v>
      </x:c>
      <x:c r="G9" s="54" t="n">
        <x:v>0</x:v>
      </x:c>
      <x:c r="H9" s="54" t="n">
        <x:v>180</x:v>
      </x:c>
      <x:c r="I9" s="54" t="n">
        <x:v>105</x:v>
      </x:c>
      <x:c r="J9" s="54" t="n">
        <x:v>1250</x:v>
      </x:c>
      <x:c r="K9" s="54" t="n">
        <x:v>0</x:v>
      </x:c>
    </x:row>
    <x:row r="10">
      <x:c r="A10" s="54" t="str">
        <x:v>J-灵-W</x:v>
      </x:c>
      <x:c r="B10" s="54" t="str">
        <x:v>灵品W君材</x:v>
      </x:c>
      <x:c r="C10" s="54" t="str">
        <x:v>君</x:v>
      </x:c>
      <x:c r="D10" s="54" t="str"/>
      <x:c r="E10" s="54" t="str"/>
      <x:c r="F10" s="54" t="str">
        <x:v>灵品</x:v>
      </x:c>
      <x:c r="G10" s="54" t="n">
        <x:v>2</x:v>
      </x:c>
      <x:c r="H10" s="54" t="n">
        <x:v>180</x:v>
      </x:c>
      <x:c r="I10" s="54" t="n">
        <x:v>105</x:v>
      </x:c>
      <x:c r="J10" s="54" t="n">
        <x:v>1250</x:v>
      </x:c>
      <x:c r="K10" s="54" t="n">
        <x:v>0</x:v>
      </x:c>
    </x:row>
    <x:row r="11">
      <x:c r="A11" s="54" t="str">
        <x:v>H-灵</x:v>
      </x:c>
      <x:c r="B11" s="54" t="str">
        <x:v>灵品丹头</x:v>
      </x:c>
      <x:c r="C11" s="54" t="str">
        <x:v>丹头</x:v>
      </x:c>
      <x:c r="D11" s="54" t="str"/>
      <x:c r="E11" s="54" t="str"/>
      <x:c r="F11" s="54" t="str">
        <x:v>灵品</x:v>
      </x:c>
      <x:c r="G11" s="54" t="n">
        <x:v>0</x:v>
      </x:c>
      <x:c r="H11" s="54" t="n">
        <x:v>0</x:v>
      </x:c>
      <x:c r="I11" s="54" t="n">
        <x:v>0</x:v>
      </x:c>
      <x:c r="J11" s="54" t="n">
        <x:v>0</x:v>
      </x:c>
      <x:c r="K11" s="54" t="n">
        <x:v>8</x:v>
      </x:c>
    </x:row>
    <x:row r="12">
      <x:c r="A12" s="54" t="str">
        <x:v>J-玄-H</x:v>
      </x:c>
      <x:c r="B12" s="54" t="str">
        <x:v>玄品H君材</x:v>
      </x:c>
      <x:c r="C12" s="54" t="str">
        <x:v>君</x:v>
      </x:c>
      <x:c r="D12" s="54" t="str"/>
      <x:c r="E12" s="54" t="str"/>
      <x:c r="F12" s="54" t="str">
        <x:v>玄品</x:v>
      </x:c>
      <x:c r="G12" s="54" t="n">
        <x:v>-2</x:v>
      </x:c>
      <x:c r="H12" s="54" t="n">
        <x:v>240</x:v>
      </x:c>
      <x:c r="I12" s="54" t="n">
        <x:v>140</x:v>
      </x:c>
      <x:c r="J12" s="54" t="n">
        <x:v>1550</x:v>
      </x:c>
      <x:c r="K12" s="54" t="n">
        <x:v>0</x:v>
      </x:c>
    </x:row>
    <x:row r="13">
      <x:c r="A13" s="54" t="str">
        <x:v>J-玄-P</x:v>
      </x:c>
      <x:c r="B13" s="54" t="str">
        <x:v>玄品P君材</x:v>
      </x:c>
      <x:c r="C13" s="54" t="str">
        <x:v>君</x:v>
      </x:c>
      <x:c r="D13" s="54" t="str"/>
      <x:c r="E13" s="54" t="str"/>
      <x:c r="F13" s="54" t="str">
        <x:v>玄品</x:v>
      </x:c>
      <x:c r="G13" s="54" t="n">
        <x:v>0</x:v>
      </x:c>
      <x:c r="H13" s="54" t="n">
        <x:v>240</x:v>
      </x:c>
      <x:c r="I13" s="54" t="n">
        <x:v>140</x:v>
      </x:c>
      <x:c r="J13" s="54" t="n">
        <x:v>1550</x:v>
      </x:c>
      <x:c r="K13" s="54" t="n">
        <x:v>0</x:v>
      </x:c>
    </x:row>
    <x:row r="14">
      <x:c r="A14" s="54" t="str">
        <x:v>J-玄-W</x:v>
      </x:c>
      <x:c r="B14" s="54" t="str">
        <x:v>玄品W君材</x:v>
      </x:c>
      <x:c r="C14" s="54" t="str">
        <x:v>君</x:v>
      </x:c>
      <x:c r="D14" s="54" t="str"/>
      <x:c r="E14" s="54" t="str"/>
      <x:c r="F14" s="54" t="str">
        <x:v>玄品</x:v>
      </x:c>
      <x:c r="G14" s="54" t="n">
        <x:v>2</x:v>
      </x:c>
      <x:c r="H14" s="54" t="n">
        <x:v>240</x:v>
      </x:c>
      <x:c r="I14" s="54" t="n">
        <x:v>140</x:v>
      </x:c>
      <x:c r="J14" s="54" t="n">
        <x:v>1550</x:v>
      </x:c>
      <x:c r="K14" s="54" t="n">
        <x:v>0</x:v>
      </x:c>
    </x:row>
    <x:row r="15">
      <x:c r="A15" s="54" t="str">
        <x:v>H-玄</x:v>
      </x:c>
      <x:c r="B15" s="54" t="str">
        <x:v>玄品丹头</x:v>
      </x:c>
      <x:c r="C15" s="54" t="str">
        <x:v>丹头</x:v>
      </x:c>
      <x:c r="D15" s="54" t="str"/>
      <x:c r="E15" s="54" t="str"/>
      <x:c r="F15" s="54" t="str">
        <x:v>玄品</x:v>
      </x:c>
      <x:c r="G15" s="54" t="n">
        <x:v>0</x:v>
      </x:c>
      <x:c r="H15" s="54" t="n">
        <x:v>0</x:v>
      </x:c>
      <x:c r="I15" s="54" t="n">
        <x:v>0</x:v>
      </x:c>
      <x:c r="J15" s="54" t="n">
        <x:v>0</x:v>
      </x:c>
      <x:c r="K15" s="54" t="n">
        <x:v>9</x:v>
      </x:c>
    </x:row>
    <x:row r="16">
      <x:c r="A16" s="54" t="str">
        <x:v>M-JIN-H0</x:v>
      </x:c>
      <x:c r="B16" s="54" t="str">
        <x:v>金臣·高药力平性</x:v>
      </x:c>
      <x:c r="C16" s="54" t="str">
        <x:v>臣</x:v>
      </x:c>
      <x:c r="D16" s="54" t="str">
        <x:v>金</x:v>
      </x:c>
      <x:c r="E16" s="54" t="str"/>
      <x:c r="F16" s="54" t="str">
        <x:v>候选</x:v>
      </x:c>
      <x:c r="G16" s="54" t="n">
        <x:v>0</x:v>
      </x:c>
      <x:c r="H16" s="54" t="n">
        <x:v>300</x:v>
      </x:c>
      <x:c r="I16" s="54" t="n">
        <x:v>80</x:v>
      </x:c>
      <x:c r="J16" s="54" t="n">
        <x:v>0</x:v>
      </x:c>
      <x:c r="K16" s="54" t="n">
        <x:v>0</x:v>
      </x:c>
    </x:row>
    <x:row r="17">
      <x:c r="A17" s="54" t="str">
        <x:v>E-GAN-H0</x:v>
      </x:c>
      <x:c r="B17" s="54" t="str">
        <x:v>甘使·高药力平性</x:v>
      </x:c>
      <x:c r="C17" s="54" t="str">
        <x:v>使</x:v>
      </x:c>
      <x:c r="D17" s="54" t="str"/>
      <x:c r="E17" s="54" t="str">
        <x:v>甘</x:v>
      </x:c>
      <x:c r="F17" s="54" t="str">
        <x:v>候选</x:v>
      </x:c>
      <x:c r="G17" s="54" t="n">
        <x:v>0</x:v>
      </x:c>
      <x:c r="H17" s="54" t="n">
        <x:v>300</x:v>
      </x:c>
      <x:c r="I17" s="54" t="n">
        <x:v>80</x:v>
      </x:c>
      <x:c r="J17" s="54" t="n">
        <x:v>0</x:v>
      </x:c>
      <x:c r="K17" s="54" t="n">
        <x:v>0</x:v>
      </x:c>
    </x:row>
    <x:row r="18">
      <x:c r="A18" s="54" t="str">
        <x:v>M-JIN-C1</x:v>
      </x:c>
      <x:c r="B18" s="54" t="str">
        <x:v>金臣·低药力升性</x:v>
      </x:c>
      <x:c r="C18" s="54" t="str">
        <x:v>臣</x:v>
      </x:c>
      <x:c r="D18" s="54" t="str">
        <x:v>金</x:v>
      </x:c>
      <x:c r="E18" s="54" t="str"/>
      <x:c r="F18" s="54" t="str">
        <x:v>候选</x:v>
      </x:c>
      <x:c r="G18" s="54" t="n">
        <x:v>1</x:v>
      </x:c>
      <x:c r="H18" s="54" t="n">
        <x:v>150</x:v>
      </x:c>
      <x:c r="I18" s="54" t="n">
        <x:v>24</x:v>
      </x:c>
      <x:c r="J18" s="54" t="n">
        <x:v>0</x:v>
      </x:c>
      <x:c r="K18" s="54" t="n">
        <x:v>0</x:v>
      </x:c>
    </x:row>
    <x:row r="19">
      <x:c r="A19" s="54" t="str">
        <x:v>E-GAN-CN1</x:v>
      </x:c>
      <x:c r="B19" s="54" t="str">
        <x:v>甘使·低药力降性</x:v>
      </x:c>
      <x:c r="C19" s="54" t="str">
        <x:v>使</x:v>
      </x:c>
      <x:c r="D19" s="54" t="str"/>
      <x:c r="E19" s="54" t="str">
        <x:v>甘</x:v>
      </x:c>
      <x:c r="F19" s="54" t="str">
        <x:v>候选</x:v>
      </x:c>
      <x:c r="G19" s="54" t="n">
        <x:v>-1</x:v>
      </x:c>
      <x:c r="H19" s="54" t="n">
        <x:v>150</x:v>
      </x:c>
      <x:c r="I19" s="54" t="n">
        <x:v>24</x:v>
      </x:c>
      <x:c r="J19" s="54" t="n">
        <x:v>0</x:v>
      </x:c>
      <x:c r="K19" s="54" t="n">
        <x:v>0</x:v>
      </x:c>
    </x:row>
    <x:row r="20">
      <x:c r="A20" s="54" t="str">
        <x:v>M-MU-H2</x:v>
      </x:c>
      <x:c r="B20" s="54" t="str">
        <x:v>木臣·高药力升性</x:v>
      </x:c>
      <x:c r="C20" s="54" t="str">
        <x:v>臣</x:v>
      </x:c>
      <x:c r="D20" s="54" t="str">
        <x:v>木</x:v>
      </x:c>
      <x:c r="E20" s="54" t="str"/>
      <x:c r="F20" s="54" t="str">
        <x:v>候选</x:v>
      </x:c>
      <x:c r="G20" s="54" t="n">
        <x:v>2</x:v>
      </x:c>
      <x:c r="H20" s="54" t="n">
        <x:v>300</x:v>
      </x:c>
      <x:c r="I20" s="54" t="n">
        <x:v>80</x:v>
      </x:c>
      <x:c r="J20" s="54" t="n">
        <x:v>0</x:v>
      </x:c>
      <x:c r="K20" s="54" t="n">
        <x:v>0</x:v>
      </x:c>
    </x:row>
    <x:row r="21">
      <x:c r="A21" s="54" t="str">
        <x:v>E-XIN-HN2</x:v>
      </x:c>
      <x:c r="B21" s="54" t="str">
        <x:v>辛使·高药力降性</x:v>
      </x:c>
      <x:c r="C21" s="54" t="str">
        <x:v>使</x:v>
      </x:c>
      <x:c r="D21" s="54" t="str"/>
      <x:c r="E21" s="54" t="str">
        <x:v>辛</x:v>
      </x:c>
      <x:c r="F21" s="54" t="str">
        <x:v>候选</x:v>
      </x:c>
      <x:c r="G21" s="54" t="n">
        <x:v>-2</x:v>
      </x:c>
      <x:c r="H21" s="54" t="n">
        <x:v>300</x:v>
      </x:c>
      <x:c r="I21" s="54" t="n">
        <x:v>80</x:v>
      </x:c>
      <x:c r="J21" s="54" t="n">
        <x:v>0</x:v>
      </x:c>
      <x:c r="K21" s="54" t="n">
        <x:v>0</x:v>
      </x:c>
    </x:row>
    <x:row r="22">
      <x:c r="A22" s="54" t="str">
        <x:v>M-SHUI-H2</x:v>
      </x:c>
      <x:c r="B22" s="54" t="str">
        <x:v>水臣·高药力升性</x:v>
      </x:c>
      <x:c r="C22" s="54" t="str">
        <x:v>臣</x:v>
      </x:c>
      <x:c r="D22" s="54" t="str">
        <x:v>水</x:v>
      </x:c>
      <x:c r="E22" s="54" t="str"/>
      <x:c r="F22" s="54" t="str">
        <x:v>候选</x:v>
      </x:c>
      <x:c r="G22" s="54" t="n">
        <x:v>2</x:v>
      </x:c>
      <x:c r="H22" s="54" t="n">
        <x:v>300</x:v>
      </x:c>
      <x:c r="I22" s="54" t="n">
        <x:v>80</x:v>
      </x:c>
      <x:c r="J22" s="54" t="n">
        <x:v>0</x:v>
      </x:c>
      <x:c r="K22" s="54" t="n">
        <x:v>0</x:v>
      </x:c>
    </x:row>
    <x:row r="23">
      <x:c r="A23" s="54" t="str">
        <x:v>E-XIAN-HN2</x:v>
      </x:c>
      <x:c r="B23" s="54" t="str">
        <x:v>咸使·高药力降性</x:v>
      </x:c>
      <x:c r="C23" s="54" t="str">
        <x:v>使</x:v>
      </x:c>
      <x:c r="D23" s="54" t="str"/>
      <x:c r="E23" s="54" t="str">
        <x:v>咸</x:v>
      </x:c>
      <x:c r="F23" s="54" t="str">
        <x:v>候选</x:v>
      </x:c>
      <x:c r="G23" s="54" t="n">
        <x:v>-2</x:v>
      </x:c>
      <x:c r="H23" s="54" t="n">
        <x:v>300</x:v>
      </x:c>
      <x:c r="I23" s="54" t="n">
        <x:v>80</x:v>
      </x:c>
      <x:c r="J23" s="54" t="n">
        <x:v>0</x:v>
      </x:c>
      <x:c r="K23" s="54" t="n">
        <x:v>0</x:v>
      </x:c>
    </x:row>
    <x:row r="24">
      <x:c r="A24" s="54" t="str">
        <x:v>M-HUO-H2</x:v>
      </x:c>
      <x:c r="B24" s="54" t="str">
        <x:v>火臣·高药力升性</x:v>
      </x:c>
      <x:c r="C24" s="54" t="str">
        <x:v>臣</x:v>
      </x:c>
      <x:c r="D24" s="54" t="str">
        <x:v>火</x:v>
      </x:c>
      <x:c r="E24" s="54" t="str"/>
      <x:c r="F24" s="54" t="str">
        <x:v>候选</x:v>
      </x:c>
      <x:c r="G24" s="54" t="n">
        <x:v>2</x:v>
      </x:c>
      <x:c r="H24" s="54" t="n">
        <x:v>300</x:v>
      </x:c>
      <x:c r="I24" s="54" t="n">
        <x:v>80</x:v>
      </x:c>
      <x:c r="J24" s="54" t="n">
        <x:v>0</x:v>
      </x:c>
      <x:c r="K24" s="54" t="n">
        <x:v>0</x:v>
      </x:c>
    </x:row>
    <x:row r="25">
      <x:c r="A25" s="54" t="str">
        <x:v>E-KU-HN2</x:v>
      </x:c>
      <x:c r="B25" s="54" t="str">
        <x:v>苦使·高药力降性</x:v>
      </x:c>
      <x:c r="C25" s="54" t="str">
        <x:v>使</x:v>
      </x:c>
      <x:c r="D25" s="54" t="str"/>
      <x:c r="E25" s="54" t="str">
        <x:v>苦</x:v>
      </x:c>
      <x:c r="F25" s="54" t="str">
        <x:v>候选</x:v>
      </x:c>
      <x:c r="G25" s="54" t="n">
        <x:v>-2</x:v>
      </x:c>
      <x:c r="H25" s="54" t="n">
        <x:v>300</x:v>
      </x:c>
      <x:c r="I25" s="54" t="n">
        <x:v>80</x:v>
      </x:c>
      <x:c r="J25" s="54" t="n">
        <x:v>0</x:v>
      </x:c>
      <x:c r="K25" s="54" t="n">
        <x:v>0</x:v>
      </x:c>
    </x:row>
    <x:row r="26">
      <x:c r="A26" s="54" t="str">
        <x:v>M-MU-HN2</x:v>
      </x:c>
      <x:c r="B26" s="54" t="str">
        <x:v>木臣·高药力降性</x:v>
      </x:c>
      <x:c r="C26" s="54" t="str">
        <x:v>臣</x:v>
      </x:c>
      <x:c r="D26" s="54" t="str">
        <x:v>木</x:v>
      </x:c>
      <x:c r="E26" s="54" t="str"/>
      <x:c r="F26" s="54" t="str">
        <x:v>候选</x:v>
      </x:c>
      <x:c r="G26" s="54" t="n">
        <x:v>-2</x:v>
      </x:c>
      <x:c r="H26" s="54" t="n">
        <x:v>300</x:v>
      </x:c>
      <x:c r="I26" s="54" t="n">
        <x:v>80</x:v>
      </x:c>
      <x:c r="J26" s="54" t="n">
        <x:v>0</x:v>
      </x:c>
      <x:c r="K26" s="54" t="n">
        <x:v>0</x:v>
      </x:c>
    </x:row>
    <x:row r="27">
      <x:c r="A27" s="54" t="str">
        <x:v>E-SUAN-H2</x:v>
      </x:c>
      <x:c r="B27" s="54" t="str">
        <x:v>酸使·高药力升性</x:v>
      </x:c>
      <x:c r="C27" s="54" t="str">
        <x:v>使</x:v>
      </x:c>
      <x:c r="D27" s="54" t="str"/>
      <x:c r="E27" s="54" t="str">
        <x:v>酸</x:v>
      </x:c>
      <x:c r="F27" s="54" t="str">
        <x:v>候选</x:v>
      </x:c>
      <x:c r="G27" s="54" t="n">
        <x:v>2</x:v>
      </x:c>
      <x:c r="H27" s="54" t="n">
        <x:v>300</x:v>
      </x:c>
      <x:c r="I27" s="54" t="n">
        <x:v>80</x:v>
      </x:c>
      <x:c r="J27" s="54" t="n">
        <x:v>0</x:v>
      </x:c>
      <x:c r="K27" s="54" t="n">
        <x:v>0</x:v>
      </x:c>
    </x:row>
    <x:row r="28">
      <x:c r="A28" s="54" t="str">
        <x:v>M-TU-C1</x:v>
      </x:c>
      <x:c r="B28" s="54" t="str">
        <x:v>土臣·低药力升性</x:v>
      </x:c>
      <x:c r="C28" s="54" t="str">
        <x:v>臣</x:v>
      </x:c>
      <x:c r="D28" s="54" t="str">
        <x:v>土</x:v>
      </x:c>
      <x:c r="E28" s="54" t="str"/>
      <x:c r="F28" s="54" t="str">
        <x:v>候选</x:v>
      </x:c>
      <x:c r="G28" s="54" t="n">
        <x:v>1</x:v>
      </x:c>
      <x:c r="H28" s="54" t="n">
        <x:v>150</x:v>
      </x:c>
      <x:c r="I28" s="54" t="n">
        <x:v>24</x:v>
      </x:c>
      <x:c r="J28" s="54" t="n">
        <x:v>0</x:v>
      </x:c>
      <x:c r="K28" s="54" t="n">
        <x:v>0</x:v>
      </x:c>
    </x:row>
    <x:row r="29">
      <x:c r="A29" s="54" t="str">
        <x:v>E-SUAN-CN1</x:v>
      </x:c>
      <x:c r="B29" s="54" t="str">
        <x:v>酸使·低药力降性</x:v>
      </x:c>
      <x:c r="C29" s="54" t="str">
        <x:v>使</x:v>
      </x:c>
      <x:c r="D29" s="54" t="str"/>
      <x:c r="E29" s="54" t="str">
        <x:v>酸</x:v>
      </x:c>
      <x:c r="F29" s="54" t="str">
        <x:v>候选</x:v>
      </x:c>
      <x:c r="G29" s="54" t="n">
        <x:v>-1</x:v>
      </x:c>
      <x:c r="H29" s="54" t="n">
        <x:v>150</x:v>
      </x:c>
      <x:c r="I29" s="54" t="n">
        <x:v>24</x:v>
      </x:c>
      <x:c r="J29" s="54" t="n">
        <x:v>0</x:v>
      </x:c>
      <x:c r="K29" s="54" t="n">
        <x:v>0</x:v>
      </x:c>
    </x:row>
    <x:row r="30">
      <x:c r="A30" s="54" t="str">
        <x:v>M-JIN-H2</x:v>
      </x:c>
      <x:c r="B30" s="54" t="str">
        <x:v>金臣·高药力升性</x:v>
      </x:c>
      <x:c r="C30" s="54" t="str">
        <x:v>臣</x:v>
      </x:c>
      <x:c r="D30" s="54" t="str">
        <x:v>金</x:v>
      </x:c>
      <x:c r="E30" s="54" t="str"/>
      <x:c r="F30" s="54" t="str">
        <x:v>候选</x:v>
      </x:c>
      <x:c r="G30" s="54" t="n">
        <x:v>2</x:v>
      </x:c>
      <x:c r="H30" s="54" t="n">
        <x:v>300</x:v>
      </x:c>
      <x:c r="I30" s="54" t="n">
        <x:v>80</x:v>
      </x:c>
      <x:c r="J30" s="54" t="n">
        <x:v>0</x:v>
      </x:c>
      <x:c r="K30" s="54" t="n">
        <x:v>0</x:v>
      </x:c>
    </x:row>
    <x:row r="31">
      <x:c r="A31" s="54" t="str">
        <x:v>E-KU-HN2B</x:v>
      </x:c>
      <x:c r="B31" s="54" t="str">
        <x:v>苦使·高药力降性</x:v>
      </x:c>
      <x:c r="C31" s="54" t="str">
        <x:v>使</x:v>
      </x:c>
      <x:c r="D31" s="54" t="str"/>
      <x:c r="E31" s="54" t="str">
        <x:v>苦</x:v>
      </x:c>
      <x:c r="F31" s="54" t="str">
        <x:v>候选</x:v>
      </x:c>
      <x:c r="G31" s="54" t="n">
        <x:v>-2</x:v>
      </x:c>
      <x:c r="H31" s="54" t="n">
        <x:v>300</x:v>
      </x:c>
      <x:c r="I31" s="54" t="n">
        <x:v>80</x:v>
      </x:c>
      <x:c r="J31" s="54" t="n">
        <x:v>0</x:v>
      </x:c>
      <x:c r="K31" s="54" t="n">
        <x:v>0</x:v>
      </x:c>
    </x:row>
    <x:row r="32">
      <x:c r="A32" s="54" t="str">
        <x:v>E-XIN-CN1</x:v>
      </x:c>
      <x:c r="B32" s="54" t="str">
        <x:v>辛使·低药力降性</x:v>
      </x:c>
      <x:c r="C32" s="54" t="str">
        <x:v>使</x:v>
      </x:c>
      <x:c r="D32" s="54" t="str"/>
      <x:c r="E32" s="54" t="str">
        <x:v>辛</x:v>
      </x:c>
      <x:c r="F32" s="54" t="str">
        <x:v>候选</x:v>
      </x:c>
      <x:c r="G32" s="54" t="n">
        <x:v>-1</x:v>
      </x:c>
      <x:c r="H32" s="54" t="n">
        <x:v>150</x:v>
      </x:c>
      <x:c r="I32" s="54" t="n">
        <x:v>24</x:v>
      </x:c>
      <x:c r="J32" s="54" t="n">
        <x:v>0</x:v>
      </x:c>
      <x:c r="K32" s="54" t="n">
        <x:v>0</x:v>
      </x:c>
    </x:row>
    <x:row r="33">
      <x:c r="A33" s="54" t="str">
        <x:v>A-C0</x:v>
      </x:c>
      <x:c r="B33" s="54" t="str">
        <x:v>佐材·洁净平性</x:v>
      </x:c>
      <x:c r="C33" s="54" t="str">
        <x:v>佐</x:v>
      </x:c>
      <x:c r="D33" s="54" t="str"/>
      <x:c r="E33" s="54" t="str"/>
      <x:c r="F33" s="54" t="str">
        <x:v>候选</x:v>
      </x:c>
      <x:c r="G33" s="54" t="n">
        <x:v>0</x:v>
      </x:c>
      <x:c r="H33" s="54" t="n">
        <x:v>150</x:v>
      </x:c>
      <x:c r="I33" s="54" t="n">
        <x:v>24</x:v>
      </x:c>
      <x:c r="J33" s="54" t="n">
        <x:v>0</x:v>
      </x:c>
      <x:c r="K33" s="54" t="n">
        <x:v>0</x:v>
      </x:c>
    </x:row>
    <x:row r="34">
      <x:c r="A34" s="55" t="str">
        <x:v>A-TN1</x:v>
      </x:c>
      <x:c r="B34" s="55" t="str">
        <x:v>佐材·调性降一</x:v>
      </x:c>
      <x:c r="C34" s="55" t="str">
        <x:v>佐</x:v>
      </x:c>
      <x:c r="D34" s="55" t="str"/>
      <x:c r="E34" s="55" t="str"/>
      <x:c r="F34" s="55" t="str">
        <x:v>候选</x:v>
      </x:c>
      <x:c r="G34" s="55" t="n">
        <x:v>-1</x:v>
      </x:c>
      <x:c r="H34" s="55" t="n">
        <x:v>110</x:v>
      </x:c>
      <x:c r="I34" s="55" t="n">
        <x:v>25</x:v>
      </x:c>
      <x:c r="J34" s="55" t="n">
        <x:v>0</x:v>
      </x:c>
      <x:c r="K34" s="55" t="n">
        <x:v>0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4" max="4" width="22" hidden="0" customWidth="1"/>
    <x:col min="5" max="5" width="2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41" t="str">
        <x:v>10个代表丹方品质行</x:v>
      </x:c>
      <x:c r="B1" s="41" t="str">
        <x:v>10个代表丹方品质行</x:v>
      </x:c>
      <x:c r="C1" s="41" t="str">
        <x:v>10个代表丹方品质行</x:v>
      </x:c>
      <x:c r="D1" s="41" t="str">
        <x:v>10个代表丹方品质行</x:v>
      </x:c>
      <x:c r="E1" s="41" t="str">
        <x:v>10个代表丹方品质行</x:v>
      </x:c>
      <x:c r="F1" s="41" t="str">
        <x:v>10个代表丹方品质行</x:v>
      </x:c>
      <x:c r="G1" s="41" t="str">
        <x:v>10个代表丹方品质行</x:v>
      </x:c>
      <x:c r="H1" s="41" t="str">
        <x:v>10个代表丹方品质行</x:v>
      </x:c>
      <x:c r="I1" s="41" t="str">
        <x:v>10个代表丹方品质行</x:v>
      </x:c>
      <x:c r="J1" s="41" t="str">
        <x:v>10个代表丹方品质行</x:v>
      </x:c>
      <x:c r="K1" s="41" t="str">
        <x:v>10个代表丹方品质行</x:v>
      </x:c>
      <x:c r="L1" s="41" t="str">
        <x:v>10个代表丹方品质行</x:v>
      </x:c>
      <x:c r="M1" s="41" t="str">
        <x:v>10个代表丹方品质行</x:v>
      </x:c>
      <x:c r="N1" s="41" t="str">
        <x:v>10个代表丹方品质行</x:v>
      </x:c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</x:row>
    <x:row r="3">
      <x:c r="A3" s="43" t="str">
        <x:v>案例</x:v>
      </x:c>
      <x:c r="B3" s="43" t="str">
        <x:v>现表源行ID</x:v>
      </x:c>
      <x:c r="C3" s="43" t="str">
        <x:v>丹方ID</x:v>
      </x:c>
      <x:c r="D3" s="43" t="str">
        <x:v>丹名</x:v>
      </x:c>
      <x:c r="E3" s="43" t="str">
        <x:v>验证路线</x:v>
      </x:c>
      <x:c r="F3" s="43" t="str">
        <x:v>品质</x:v>
      </x:c>
      <x:c r="G3" s="43" t="str">
        <x:v>臣行</x:v>
      </x:c>
      <x:c r="H3" s="43" t="str">
        <x:v>使味</x:v>
      </x:c>
      <x:c r="I3" s="43" t="str">
        <x:v>目标药性</x:v>
      </x:c>
      <x:c r="J3" s="43" t="str">
        <x:v>君材ID</x:v>
      </x:c>
      <x:c r="K3" s="43" t="str">
        <x:v>丹头ID</x:v>
      </x:c>
      <x:c r="L3" s="43" t="str">
        <x:v>丹炉ID</x:v>
      </x:c>
      <x:c r="M3" s="43" t="str">
        <x:v>库存套数</x:v>
      </x:c>
      <x:c r="N3" s="43" t="str">
        <x:v>覆盖目的</x:v>
      </x:c>
    </x:row>
    <x:row r="4">
      <x:c r="A4" s="53" t="str">
        <x:v>S01</x:v>
      </x:c>
      <x:c r="B4" s="53" t="n">
        <x:v>1</x:v>
      </x:c>
      <x:c r="C4" s="53" t="n">
        <x:v>3100001</x:v>
      </x:c>
      <x:c r="D4" s="53" t="str">
        <x:v>筑基玄涤元丹</x:v>
      </x:c>
      <x:c r="E4" s="53" t="str">
        <x:v>高药力省位</x:v>
      </x:c>
      <x:c r="F4" s="53" t="str">
        <x:v>凡品</x:v>
      </x:c>
      <x:c r="G4" s="53" t="str">
        <x:v>金</x:v>
      </x:c>
      <x:c r="H4" s="53" t="str">
        <x:v>甘</x:v>
      </x:c>
      <x:c r="I4" s="53" t="n">
        <x:v>-2</x:v>
      </x:c>
      <x:c r="J4" s="53" t="str">
        <x:v>J-凡-H</x:v>
      </x:c>
      <x:c r="K4" s="53" t="str">
        <x:v>H-凡</x:v>
      </x:c>
      <x:c r="L4" s="53" t="str">
        <x:v>F-BASE</x:v>
      </x:c>
      <x:c r="M4" s="53" t="n">
        <x:v>5</x:v>
      </x:c>
      <x:c r="N4" s="53" t="str">
        <x:v>省位路线</x:v>
      </x:c>
    </x:row>
    <x:row r="5">
      <x:c r="A5" s="54" t="str">
        <x:v>S02</x:v>
      </x:c>
      <x:c r="B5" s="54" t="n">
        <x:v>1</x:v>
      </x:c>
      <x:c r="C5" s="54" t="n">
        <x:v>3100001</x:v>
      </x:c>
      <x:c r="D5" s="54" t="str">
        <x:v>筑基玄涤元丹</x:v>
      </x:c>
      <x:c r="E5" s="54" t="str">
        <x:v>低药力洁净</x:v>
      </x:c>
      <x:c r="F5" s="54" t="str">
        <x:v>凡品</x:v>
      </x:c>
      <x:c r="G5" s="54" t="str">
        <x:v>金</x:v>
      </x:c>
      <x:c r="H5" s="54" t="str">
        <x:v>甘</x:v>
      </x:c>
      <x:c r="I5" s="54" t="n">
        <x:v>-2</x:v>
      </x:c>
      <x:c r="J5" s="54" t="str">
        <x:v>J-凡-H</x:v>
      </x:c>
      <x:c r="K5" s="54" t="str">
        <x:v>H-凡</x:v>
      </x:c>
      <x:c r="L5" s="54" t="str">
        <x:v>F-BASE</x:v>
      </x:c>
      <x:c r="M5" s="54" t="n">
        <x:v>4</x:v>
      </x:c>
      <x:c r="N5" s="54" t="str">
        <x:v>洁净路线/批次</x:v>
      </x:c>
    </x:row>
    <x:row r="6">
      <x:c r="A6" s="54" t="str">
        <x:v>S03</x:v>
      </x:c>
      <x:c r="B6" s="54" t="n">
        <x:v>38</x:v>
      </x:c>
      <x:c r="C6" s="54" t="str">
        <x:v>候选</x:v>
      </x:c>
      <x:c r="D6" s="54" t="str">
        <x:v>筑基清拓脉丹</x:v>
      </x:c>
      <x:c r="E6" s="54" t="str">
        <x:v>窄炉顺序压力</x:v>
      </x:c>
      <x:c r="F6" s="54" t="str">
        <x:v>凡品</x:v>
      </x:c>
      <x:c r="G6" s="54" t="str">
        <x:v>木</x:v>
      </x:c>
      <x:c r="H6" s="54" t="str">
        <x:v>辛</x:v>
      </x:c>
      <x:c r="I6" s="54" t="n">
        <x:v>-1</x:v>
      </x:c>
      <x:c r="J6" s="54" t="str">
        <x:v>J-凡-P</x:v>
      </x:c>
      <x:c r="K6" s="54" t="str">
        <x:v>H-凡</x:v>
      </x:c>
      <x:c r="L6" s="54" t="str">
        <x:v>F-BASE</x:v>
      </x:c>
      <x:c r="M6" s="54" t="n">
        <x:v>5</x:v>
      </x:c>
      <x:c r="N6" s="54" t="str">
        <x:v>窄炉顺序</x:v>
      </x:c>
    </x:row>
    <x:row r="7">
      <x:c r="A7" s="54" t="str">
        <x:v>S04</x:v>
      </x:c>
      <x:c r="B7" s="54" t="n">
        <x:v>69</x:v>
      </x:c>
      <x:c r="C7" s="54" t="str">
        <x:v>候选</x:v>
      </x:c>
      <x:c r="D7" s="54" t="str">
        <x:v>筑基延寿丹</x:v>
      </x:c>
      <x:c r="E7" s="54" t="str">
        <x:v>宽炉覆盖</x:v>
      </x:c>
      <x:c r="F7" s="54" t="str">
        <x:v>凡品</x:v>
      </x:c>
      <x:c r="G7" s="54" t="str">
        <x:v>水</x:v>
      </x:c>
      <x:c r="H7" s="54" t="str">
        <x:v>咸</x:v>
      </x:c>
      <x:c r="I7" s="54" t="n">
        <x:v>0</x:v>
      </x:c>
      <x:c r="J7" s="54" t="str">
        <x:v>J-凡-P</x:v>
      </x:c>
      <x:c r="K7" s="54" t="str">
        <x:v>H-凡</x:v>
      </x:c>
      <x:c r="L7" s="54" t="str">
        <x:v>F-WIDE</x:v>
      </x:c>
      <x:c r="M7" s="54" t="n">
        <x:v>5</x:v>
      </x:c>
      <x:c r="N7" s="54" t="str">
        <x:v>宽炉价值</x:v>
      </x:c>
    </x:row>
    <x:row r="8">
      <x:c r="A8" s="54" t="str">
        <x:v>S05</x:v>
      </x:c>
      <x:c r="B8" s="54" t="n">
        <x:v>99</x:v>
      </x:c>
      <x:c r="C8" s="54" t="str">
        <x:v>候选</x:v>
      </x:c>
      <x:c r="D8" s="54" t="str">
        <x:v>筑基阳照神丹</x:v>
      </x:c>
      <x:c r="E8" s="54" t="str">
        <x:v>偏热炉覆盖</x:v>
      </x:c>
      <x:c r="F8" s="54" t="str">
        <x:v>凡品</x:v>
      </x:c>
      <x:c r="G8" s="54" t="str">
        <x:v>火</x:v>
      </x:c>
      <x:c r="H8" s="54" t="str">
        <x:v>苦</x:v>
      </x:c>
      <x:c r="I8" s="54" t="n">
        <x:v>1</x:v>
      </x:c>
      <x:c r="J8" s="54" t="str">
        <x:v>J-凡-W</x:v>
      </x:c>
      <x:c r="K8" s="54" t="str">
        <x:v>H-凡</x:v>
      </x:c>
      <x:c r="L8" s="54" t="str">
        <x:v>F-HOT</x:v>
      </x:c>
      <x:c r="M8" s="54" t="n">
        <x:v>5</x:v>
      </x:c>
      <x:c r="N8" s="54" t="str">
        <x:v>偏热炉价值</x:v>
      </x:c>
    </x:row>
    <x:row r="9">
      <x:c r="A9" s="54" t="str">
        <x:v>S06</x:v>
      </x:c>
      <x:c r="B9" s="54" t="n">
        <x:v>111</x:v>
      </x:c>
      <x:c r="C9" s="54" t="str">
        <x:v>候选</x:v>
      </x:c>
      <x:c r="D9" s="54" t="str">
        <x:v>筑基玄回春丹</x:v>
      </x:c>
      <x:c r="E9" s="54" t="str">
        <x:v>偏寒炉顺序压力</x:v>
      </x:c>
      <x:c r="F9" s="54" t="str">
        <x:v>凡品</x:v>
      </x:c>
      <x:c r="G9" s="54" t="str">
        <x:v>木</x:v>
      </x:c>
      <x:c r="H9" s="54" t="str">
        <x:v>酸</x:v>
      </x:c>
      <x:c r="I9" s="54" t="n">
        <x:v>-2</x:v>
      </x:c>
      <x:c r="J9" s="54" t="str">
        <x:v>J-凡-H</x:v>
      </x:c>
      <x:c r="K9" s="54" t="str">
        <x:v>H-凡</x:v>
      </x:c>
      <x:c r="L9" s="54" t="str">
        <x:v>F-COLD</x:v>
      </x:c>
      <x:c r="M9" s="54" t="n">
        <x:v>5</x:v>
      </x:c>
      <x:c r="N9" s="54" t="str">
        <x:v>偏寒炉与顺序</x:v>
      </x:c>
    </x:row>
    <x:row r="10">
      <x:c r="A10" s="54" t="str">
        <x:v>S07</x:v>
      </x:c>
      <x:c r="B10" s="54" t="n">
        <x:v>130</x:v>
      </x:c>
      <x:c r="C10" s="54" t="str">
        <x:v>候选</x:v>
      </x:c>
      <x:c r="D10" s="54" t="str">
        <x:v>筑基烈锻体丹</x:v>
      </x:c>
      <x:c r="E10" s="54" t="str">
        <x:v>灵品低药力极限份数</x:v>
      </x:c>
      <x:c r="F10" s="54" t="str">
        <x:v>灵品</x:v>
      </x:c>
      <x:c r="G10" s="54" t="str">
        <x:v>土</x:v>
      </x:c>
      <x:c r="H10" s="54" t="str">
        <x:v>酸</x:v>
      </x:c>
      <x:c r="I10" s="54" t="n">
        <x:v>2</x:v>
      </x:c>
      <x:c r="J10" s="54" t="str">
        <x:v>J-灵-W</x:v>
      </x:c>
      <x:c r="K10" s="54" t="str">
        <x:v>H-灵</x:v>
      </x:c>
      <x:c r="L10" s="54" t="str">
        <x:v>F-CLEAN</x:v>
      </x:c>
      <x:c r="M10" s="54" t="n">
        <x:v>4</x:v>
      </x:c>
      <x:c r="N10" s="54" t="str">
        <x:v>灵品满容量</x:v>
      </x:c>
    </x:row>
    <x:row r="11">
      <x:c r="A11" s="54" t="str">
        <x:v>S08</x:v>
      </x:c>
      <x:c r="B11" s="54" t="n">
        <x:v>85</x:v>
      </x:c>
      <x:c r="C11" s="54" t="str">
        <x:v>候选</x:v>
      </x:c>
      <x:c r="D11" s="54" t="str">
        <x:v>筑基烈破妄丹</x:v>
      </x:c>
      <x:c r="E11" s="54" t="str">
        <x:v>灵品宽炉省位</x:v>
      </x:c>
      <x:c r="F11" s="54" t="str">
        <x:v>灵品</x:v>
      </x:c>
      <x:c r="G11" s="54" t="str">
        <x:v>金</x:v>
      </x:c>
      <x:c r="H11" s="54" t="str">
        <x:v>苦</x:v>
      </x:c>
      <x:c r="I11" s="54" t="n">
        <x:v>2</x:v>
      </x:c>
      <x:c r="J11" s="54" t="str">
        <x:v>J-灵-W</x:v>
      </x:c>
      <x:c r="K11" s="54" t="str">
        <x:v>H-灵</x:v>
      </x:c>
      <x:c r="L11" s="54" t="str">
        <x:v>F-WIDE</x:v>
      </x:c>
      <x:c r="M11" s="54" t="n">
        <x:v>4</x:v>
      </x:c>
      <x:c r="N11" s="54" t="str">
        <x:v>灵品宽炉省位</x:v>
      </x:c>
    </x:row>
    <x:row r="12">
      <x:c r="A12" s="54" t="str">
        <x:v>S09</x:v>
      </x:c>
      <x:c r="B12" s="54" t="n">
        <x:v>54</x:v>
      </x:c>
      <x:c r="C12" s="54" t="str">
        <x:v>候选</x:v>
      </x:c>
      <x:c r="D12" s="54" t="str">
        <x:v>筑基镇脉丹</x:v>
      </x:c>
      <x:c r="E12" s="54" t="str">
        <x:v>玄品净炉满份数</x:v>
      </x:c>
      <x:c r="F12" s="54" t="str">
        <x:v>玄品</x:v>
      </x:c>
      <x:c r="G12" s="54" t="str">
        <x:v>土</x:v>
      </x:c>
      <x:c r="H12" s="54" t="str">
        <x:v>辛</x:v>
      </x:c>
      <x:c r="I12" s="54" t="n">
        <x:v>0</x:v>
      </x:c>
      <x:c r="J12" s="54" t="str">
        <x:v>J-玄-P</x:v>
      </x:c>
      <x:c r="K12" s="54" t="str">
        <x:v>H-玄</x:v>
      </x:c>
      <x:c r="L12" s="54" t="str">
        <x:v>F-CLEAN</x:v>
      </x:c>
      <x:c r="M12" s="54" t="n">
        <x:v>3</x:v>
      </x:c>
      <x:c r="N12" s="54" t="str">
        <x:v>玄品净炉满容量</x:v>
      </x:c>
    </x:row>
    <x:row r="13">
      <x:c r="A13" s="55" t="str">
        <x:v>S10</x:v>
      </x:c>
      <x:c r="B13" s="55" t="n">
        <x:v>3</x:v>
      </x:c>
      <x:c r="C13" s="55" t="n">
        <x:v>3100001</x:v>
      </x:c>
      <x:c r="D13" s="55" t="str">
        <x:v>筑基玄涤元丹</x:v>
      </x:c>
      <x:c r="E13" s="55" t="str">
        <x:v>玄品高境除渣</x:v>
      </x:c>
      <x:c r="F13" s="55" t="str">
        <x:v>玄品</x:v>
      </x:c>
      <x:c r="G13" s="55" t="str">
        <x:v>金</x:v>
      </x:c>
      <x:c r="H13" s="55" t="str">
        <x:v>甘</x:v>
      </x:c>
      <x:c r="I13" s="55" t="n">
        <x:v>-2</x:v>
      </x:c>
      <x:c r="J13" s="55" t="str">
        <x:v>J-玄-H</x:v>
      </x:c>
      <x:c r="K13" s="55" t="str">
        <x:v>H-玄</x:v>
      </x:c>
      <x:c r="L13" s="55" t="str">
        <x:v>F-JD</x:v>
      </x:c>
      <x:c r="M13" s="55" t="n">
        <x:v>3</x:v>
      </x:c>
      <x:c r="N13" s="55" t="str">
        <x:v>高境除渣倍率</x:v>
      </x:c>
    </x:row>
  </x:sheetData>
  <x:mergeCells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3" max="3" width="1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41" t="str">
        <x:v>配方材料与聚合输入</x:v>
      </x:c>
      <x:c r="B1" s="41" t="str">
        <x:v>配方材料与聚合输入</x:v>
      </x:c>
      <x:c r="C1" s="41" t="str">
        <x:v>配方材料与聚合输入</x:v>
      </x:c>
      <x:c r="D1" s="41" t="str">
        <x:v>配方材料与聚合输入</x:v>
      </x:c>
      <x:c r="E1" s="41" t="str">
        <x:v>配方材料与聚合输入</x:v>
      </x:c>
      <x:c r="F1" s="41" t="str">
        <x:v>配方材料与聚合输入</x:v>
      </x:c>
      <x:c r="G1" s="41" t="str">
        <x:v>配方材料与聚合输入</x:v>
      </x:c>
      <x:c r="H1" s="41" t="str">
        <x:v>配方材料与聚合输入</x:v>
      </x:c>
      <x:c r="I1" s="41" t="str">
        <x:v>配方材料与聚合输入</x:v>
      </x:c>
      <x:c r="J1" s="41" t="str">
        <x:v>配方材料与聚合输入</x:v>
      </x:c>
      <x:c r="K1" s="41" t="str">
        <x:v>配方材料与聚合输入</x:v>
      </x:c>
      <x:c r="L1" s="41" t="str">
        <x:v>配方材料与聚合输入</x:v>
      </x:c>
      <x:c r="M1" s="41" t="str">
        <x:v>配方材料与聚合输入</x:v>
      </x:c>
      <x:c r="N1" s="41" t="str">
        <x:v>配方材料与聚合输入</x:v>
      </x:c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</x:row>
    <x:row r="3">
      <x:c r="A3" s="43" t="str">
        <x:v>案例</x:v>
      </x:c>
      <x:c r="B3" s="43" t="str">
        <x:v>组内序</x:v>
      </x:c>
      <x:c r="C3" s="43" t="str">
        <x:v>材料ID</x:v>
      </x:c>
      <x:c r="D3" s="43" t="str">
        <x:v>数量</x:v>
      </x:c>
      <x:c r="E3" s="43" t="str">
        <x:v>材位</x:v>
      </x:c>
      <x:c r="F3" s="43" t="str">
        <x:v>五行</x:v>
      </x:c>
      <x:c r="G3" s="43" t="str">
        <x:v>五味</x:v>
      </x:c>
      <x:c r="H3" s="43" t="str">
        <x:v>药性</x:v>
      </x:c>
      <x:c r="I3" s="43" t="str">
        <x:v>单份药力</x:v>
      </x:c>
      <x:c r="J3" s="43" t="str">
        <x:v>单份杂质</x:v>
      </x:c>
      <x:c r="K3" s="43" t="str">
        <x:v>目标药力</x:v>
      </x:c>
      <x:c r="L3" s="43" t="str">
        <x:v>承药份数</x:v>
      </x:c>
      <x:c r="M3" s="43" t="str">
        <x:v>药力小计</x:v>
      </x:c>
      <x:c r="N3" s="43" t="str">
        <x:v>杂质小计</x:v>
      </x:c>
    </x:row>
    <x:row r="4">
      <x:c r="A4" s="53" t="str">
        <x:v>S01</x:v>
      </x:c>
      <x:c r="B4" s="53" t="n">
        <x:v>0</x:v>
      </x:c>
      <x:c r="C4" s="53" t="str">
        <x:v>J-凡-H</x:v>
      </x:c>
      <x:c r="D4" s="53" t="n">
        <x:v>1</x:v>
      </x:c>
      <x:c r="E4" s="44" t="str">
        <x:f>VLOOKUP(C4,'候选材料'!$A$4:$K$40,3,FALSE)</x:f>
        <x:v>君</x:v>
      </x:c>
      <x:c r="F4" s="44" t="str">
        <x:f>VLOOKUP(C4,'候选材料'!$A$4:$K$40,4,FALSE)</x:f>
      </x:c>
      <x:c r="G4" s="44" t="str">
        <x:f>VLOOKUP(C4,'候选材料'!$A$4:$K$40,5,FALSE)</x:f>
      </x:c>
      <x:c r="H4" s="44" t="n">
        <x:f>VLOOKUP(C4,'候选材料'!$A$4:$K$40,7,FALSE)</x:f>
        <x:v>-2</x:v>
      </x:c>
      <x:c r="I4" s="44" t="n">
        <x:f>VLOOKUP(C4,'候选材料'!$A$4:$K$40,8,FALSE)</x:f>
        <x:v>120</x:v>
      </x:c>
      <x:c r="J4" s="44" t="n">
        <x:f>VLOOKUP(C4,'候选材料'!$A$4:$K$40,9,FALSE)</x:f>
        <x:v>70</x:v>
      </x:c>
      <x:c r="K4" s="44" t="n">
        <x:f>VLOOKUP(C4,'候选材料'!$A$4:$K$40,10,FALSE)</x:f>
        <x:v>1000</x:v>
      </x:c>
      <x:c r="L4" s="44" t="n">
        <x:f>VLOOKUP(C4,'候选材料'!$A$4:$K$40,11,FALSE)</x:f>
        <x:v>0</x:v>
      </x:c>
      <x:c r="M4" s="44" t="n">
        <x:f>D4*I4</x:f>
        <x:v>120</x:v>
      </x:c>
      <x:c r="N4" s="44" t="n">
        <x:f>D4*J4</x:f>
        <x:v>70</x:v>
      </x:c>
    </x:row>
    <x:row r="5">
      <x:c r="A5" s="54" t="str">
        <x:v>S01</x:v>
      </x:c>
      <x:c r="B5" s="54" t="n">
        <x:v>0</x:v>
      </x:c>
      <x:c r="C5" s="54" t="str">
        <x:v>H-凡</x:v>
      </x:c>
      <x:c r="D5" s="54" t="n">
        <x:v>1</x:v>
      </x:c>
      <x:c r="E5" s="46" t="str">
        <x:f>VLOOKUP(C5,'候选材料'!$A$4:$K$40,3,FALSE)</x:f>
        <x:v>丹头</x:v>
      </x:c>
      <x:c r="F5" s="46" t="str">
        <x:f>VLOOKUP(C5,'候选材料'!$A$4:$K$40,4,FALSE)</x:f>
      </x:c>
      <x:c r="G5" s="46" t="str">
        <x:f>VLOOKUP(C5,'候选材料'!$A$4:$K$40,5,FALSE)</x:f>
      </x:c>
      <x:c r="H5" s="46" t="n">
        <x:f>VLOOKUP(C5,'候选材料'!$A$4:$K$40,7,FALSE)</x:f>
        <x:v>0</x:v>
      </x:c>
      <x:c r="I5" s="46" t="n">
        <x:f>VLOOKUP(C5,'候选材料'!$A$4:$K$40,8,FALSE)</x:f>
        <x:v>0</x:v>
      </x:c>
      <x:c r="J5" s="46" t="n">
        <x:f>VLOOKUP(C5,'候选材料'!$A$4:$K$40,9,FALSE)</x:f>
        <x:v>0</x:v>
      </x:c>
      <x:c r="K5" s="46" t="n">
        <x:f>VLOOKUP(C5,'候选材料'!$A$4:$K$40,10,FALSE)</x:f>
        <x:v>0</x:v>
      </x:c>
      <x:c r="L5" s="46" t="n">
        <x:f>VLOOKUP(C5,'候选材料'!$A$4:$K$40,11,FALSE)</x:f>
        <x:v>7</x:v>
      </x:c>
      <x:c r="M5" s="46" t="n">
        <x:f>D5*I5</x:f>
        <x:v>0</x:v>
      </x:c>
      <x:c r="N5" s="46" t="n">
        <x:f>D5*J5</x:f>
        <x:v>0</x:v>
      </x:c>
    </x:row>
    <x:row r="6">
      <x:c r="A6" s="54" t="str">
        <x:v>S01</x:v>
      </x:c>
      <x:c r="B6" s="54" t="n">
        <x:v>1</x:v>
      </x:c>
      <x:c r="C6" s="54" t="str">
        <x:v>M-JIN-H0</x:v>
      </x:c>
      <x:c r="D6" s="54" t="n">
        <x:v>2</x:v>
      </x:c>
      <x:c r="E6" s="46" t="str">
        <x:f>VLOOKUP(C6,'候选材料'!$A$4:$K$40,3,FALSE)</x:f>
        <x:v>臣</x:v>
      </x:c>
      <x:c r="F6" s="46" t="str">
        <x:f>VLOOKUP(C6,'候选材料'!$A$4:$K$40,4,FALSE)</x:f>
        <x:v>金</x:v>
      </x:c>
      <x:c r="G6" s="46" t="str">
        <x:f>VLOOKUP(C6,'候选材料'!$A$4:$K$40,5,FALSE)</x:f>
      </x:c>
      <x:c r="H6" s="46" t="n">
        <x:f>VLOOKUP(C6,'候选材料'!$A$4:$K$40,7,FALSE)</x:f>
        <x:v>0</x:v>
      </x:c>
      <x:c r="I6" s="46" t="n">
        <x:f>VLOOKUP(C6,'候选材料'!$A$4:$K$40,8,FALSE)</x:f>
        <x:v>300</x:v>
      </x:c>
      <x:c r="J6" s="46" t="n">
        <x:f>VLOOKUP(C6,'候选材料'!$A$4:$K$40,9,FALSE)</x:f>
        <x:v>80</x:v>
      </x:c>
      <x:c r="K6" s="46" t="n">
        <x:f>VLOOKUP(C6,'候选材料'!$A$4:$K$40,10,FALSE)</x:f>
        <x:v>0</x:v>
      </x:c>
      <x:c r="L6" s="46" t="n">
        <x:f>VLOOKUP(C6,'候选材料'!$A$4:$K$40,11,FALSE)</x:f>
        <x:v>0</x:v>
      </x:c>
      <x:c r="M6" s="46" t="n">
        <x:f>D6*I6</x:f>
        <x:v>600</x:v>
      </x:c>
      <x:c r="N6" s="46" t="n">
        <x:f>D6*J6</x:f>
        <x:v>160</x:v>
      </x:c>
    </x:row>
    <x:row r="7">
      <x:c r="A7" s="54" t="str">
        <x:v>S01</x:v>
      </x:c>
      <x:c r="B7" s="54" t="n">
        <x:v>2</x:v>
      </x:c>
      <x:c r="C7" s="54" t="str">
        <x:v>E-GAN-H0</x:v>
      </x:c>
      <x:c r="D7" s="54" t="n">
        <x:v>1</x:v>
      </x:c>
      <x:c r="E7" s="46" t="str">
        <x:f>VLOOKUP(C7,'候选材料'!$A$4:$K$40,3,FALSE)</x:f>
        <x:v>使</x:v>
      </x:c>
      <x:c r="F7" s="46" t="str">
        <x:f>VLOOKUP(C7,'候选材料'!$A$4:$K$40,4,FALSE)</x:f>
      </x:c>
      <x:c r="G7" s="46" t="str">
        <x:f>VLOOKUP(C7,'候选材料'!$A$4:$K$40,5,FALSE)</x:f>
        <x:v>甘</x:v>
      </x:c>
      <x:c r="H7" s="46" t="n">
        <x:f>VLOOKUP(C7,'候选材料'!$A$4:$K$40,7,FALSE)</x:f>
        <x:v>0</x:v>
      </x:c>
      <x:c r="I7" s="46" t="n">
        <x:f>VLOOKUP(C7,'候选材料'!$A$4:$K$40,8,FALSE)</x:f>
        <x:v>300</x:v>
      </x:c>
      <x:c r="J7" s="46" t="n">
        <x:f>VLOOKUP(C7,'候选材料'!$A$4:$K$40,9,FALSE)</x:f>
        <x:v>80</x:v>
      </x:c>
      <x:c r="K7" s="46" t="n">
        <x:f>VLOOKUP(C7,'候选材料'!$A$4:$K$40,10,FALSE)</x:f>
        <x:v>0</x:v>
      </x:c>
      <x:c r="L7" s="46" t="n">
        <x:f>VLOOKUP(C7,'候选材料'!$A$4:$K$40,11,FALSE)</x:f>
        <x:v>0</x:v>
      </x:c>
      <x:c r="M7" s="46" t="n">
        <x:f>D7*I7</x:f>
        <x:v>300</x:v>
      </x:c>
      <x:c r="N7" s="46" t="n">
        <x:f>D7*J7</x:f>
        <x:v>80</x:v>
      </x:c>
    </x:row>
    <x:row r="8">
      <x:c r="A8" s="54" t="str">
        <x:v>S02</x:v>
      </x:c>
      <x:c r="B8" s="54" t="n">
        <x:v>0</x:v>
      </x:c>
      <x:c r="C8" s="54" t="str">
        <x:v>J-凡-H</x:v>
      </x:c>
      <x:c r="D8" s="54" t="n">
        <x:v>1</x:v>
      </x:c>
      <x:c r="E8" s="46" t="str">
        <x:f>VLOOKUP(C8,'候选材料'!$A$4:$K$40,3,FALSE)</x:f>
        <x:v>君</x:v>
      </x:c>
      <x:c r="F8" s="46" t="str">
        <x:f>VLOOKUP(C8,'候选材料'!$A$4:$K$40,4,FALSE)</x:f>
      </x:c>
      <x:c r="G8" s="46" t="str">
        <x:f>VLOOKUP(C8,'候选材料'!$A$4:$K$40,5,FALSE)</x:f>
      </x:c>
      <x:c r="H8" s="46" t="n">
        <x:f>VLOOKUP(C8,'候选材料'!$A$4:$K$40,7,FALSE)</x:f>
        <x:v>-2</x:v>
      </x:c>
      <x:c r="I8" s="46" t="n">
        <x:f>VLOOKUP(C8,'候选材料'!$A$4:$K$40,8,FALSE)</x:f>
        <x:v>120</x:v>
      </x:c>
      <x:c r="J8" s="46" t="n">
        <x:f>VLOOKUP(C8,'候选材料'!$A$4:$K$40,9,FALSE)</x:f>
        <x:v>70</x:v>
      </x:c>
      <x:c r="K8" s="46" t="n">
        <x:f>VLOOKUP(C8,'候选材料'!$A$4:$K$40,10,FALSE)</x:f>
        <x:v>1000</x:v>
      </x:c>
      <x:c r="L8" s="46" t="n">
        <x:f>VLOOKUP(C8,'候选材料'!$A$4:$K$40,11,FALSE)</x:f>
        <x:v>0</x:v>
      </x:c>
      <x:c r="M8" s="46" t="n">
        <x:f>D8*I8</x:f>
        <x:v>120</x:v>
      </x:c>
      <x:c r="N8" s="46" t="n">
        <x:f>D8*J8</x:f>
        <x:v>70</x:v>
      </x:c>
    </x:row>
    <x:row r="9">
      <x:c r="A9" s="54" t="str">
        <x:v>S02</x:v>
      </x:c>
      <x:c r="B9" s="54" t="n">
        <x:v>0</x:v>
      </x:c>
      <x:c r="C9" s="54" t="str">
        <x:v>H-凡</x:v>
      </x:c>
      <x:c r="D9" s="54" t="n">
        <x:v>1</x:v>
      </x:c>
      <x:c r="E9" s="46" t="str">
        <x:f>VLOOKUP(C9,'候选材料'!$A$4:$K$40,3,FALSE)</x:f>
        <x:v>丹头</x:v>
      </x:c>
      <x:c r="F9" s="46" t="str">
        <x:f>VLOOKUP(C9,'候选材料'!$A$4:$K$40,4,FALSE)</x:f>
      </x:c>
      <x:c r="G9" s="46" t="str">
        <x:f>VLOOKUP(C9,'候选材料'!$A$4:$K$40,5,FALSE)</x:f>
      </x:c>
      <x:c r="H9" s="46" t="n">
        <x:f>VLOOKUP(C9,'候选材料'!$A$4:$K$40,7,FALSE)</x:f>
        <x:v>0</x:v>
      </x:c>
      <x:c r="I9" s="46" t="n">
        <x:f>VLOOKUP(C9,'候选材料'!$A$4:$K$40,8,FALSE)</x:f>
        <x:v>0</x:v>
      </x:c>
      <x:c r="J9" s="46" t="n">
        <x:f>VLOOKUP(C9,'候选材料'!$A$4:$K$40,9,FALSE)</x:f>
        <x:v>0</x:v>
      </x:c>
      <x:c r="K9" s="46" t="n">
        <x:f>VLOOKUP(C9,'候选材料'!$A$4:$K$40,10,FALSE)</x:f>
        <x:v>0</x:v>
      </x:c>
      <x:c r="L9" s="46" t="n">
        <x:f>VLOOKUP(C9,'候选材料'!$A$4:$K$40,11,FALSE)</x:f>
        <x:v>7</x:v>
      </x:c>
      <x:c r="M9" s="46" t="n">
        <x:f>D9*I9</x:f>
        <x:v>0</x:v>
      </x:c>
      <x:c r="N9" s="46" t="n">
        <x:f>D9*J9</x:f>
        <x:v>0</x:v>
      </x:c>
    </x:row>
    <x:row r="10">
      <x:c r="A10" s="54" t="str">
        <x:v>S02</x:v>
      </x:c>
      <x:c r="B10" s="54" t="n">
        <x:v>1</x:v>
      </x:c>
      <x:c r="C10" s="54" t="str">
        <x:v>M-JIN-C1</x:v>
      </x:c>
      <x:c r="D10" s="54" t="n">
        <x:v>3</x:v>
      </x:c>
      <x:c r="E10" s="46" t="str">
        <x:f>VLOOKUP(C10,'候选材料'!$A$4:$K$40,3,FALSE)</x:f>
        <x:v>臣</x:v>
      </x:c>
      <x:c r="F10" s="46" t="str">
        <x:f>VLOOKUP(C10,'候选材料'!$A$4:$K$40,4,FALSE)</x:f>
        <x:v>金</x:v>
      </x:c>
      <x:c r="G10" s="46" t="str">
        <x:f>VLOOKUP(C10,'候选材料'!$A$4:$K$40,5,FALSE)</x:f>
      </x:c>
      <x:c r="H10" s="46" t="n">
        <x:f>VLOOKUP(C10,'候选材料'!$A$4:$K$40,7,FALSE)</x:f>
        <x:v>1</x:v>
      </x:c>
      <x:c r="I10" s="46" t="n">
        <x:f>VLOOKUP(C10,'候选材料'!$A$4:$K$40,8,FALSE)</x:f>
        <x:v>150</x:v>
      </x:c>
      <x:c r="J10" s="46" t="n">
        <x:f>VLOOKUP(C10,'候选材料'!$A$4:$K$40,9,FALSE)</x:f>
        <x:v>24</x:v>
      </x:c>
      <x:c r="K10" s="46" t="n">
        <x:f>VLOOKUP(C10,'候选材料'!$A$4:$K$40,10,FALSE)</x:f>
        <x:v>0</x:v>
      </x:c>
      <x:c r="L10" s="46" t="n">
        <x:f>VLOOKUP(C10,'候选材料'!$A$4:$K$40,11,FALSE)</x:f>
        <x:v>0</x:v>
      </x:c>
      <x:c r="M10" s="46" t="n">
        <x:f>D10*I10</x:f>
        <x:v>450</x:v>
      </x:c>
      <x:c r="N10" s="46" t="n">
        <x:f>D10*J10</x:f>
        <x:v>72</x:v>
      </x:c>
    </x:row>
    <x:row r="11">
      <x:c r="A11" s="54" t="str">
        <x:v>S02</x:v>
      </x:c>
      <x:c r="B11" s="54" t="n">
        <x:v>2</x:v>
      </x:c>
      <x:c r="C11" s="54" t="str">
        <x:v>E-GAN-CN1</x:v>
      </x:c>
      <x:c r="D11" s="54" t="n">
        <x:v>3</x:v>
      </x:c>
      <x:c r="E11" s="46" t="str">
        <x:f>VLOOKUP(C11,'候选材料'!$A$4:$K$40,3,FALSE)</x:f>
        <x:v>使</x:v>
      </x:c>
      <x:c r="F11" s="46" t="str">
        <x:f>VLOOKUP(C11,'候选材料'!$A$4:$K$40,4,FALSE)</x:f>
      </x:c>
      <x:c r="G11" s="46" t="str">
        <x:f>VLOOKUP(C11,'候选材料'!$A$4:$K$40,5,FALSE)</x:f>
        <x:v>甘</x:v>
      </x:c>
      <x:c r="H11" s="46" t="n">
        <x:f>VLOOKUP(C11,'候选材料'!$A$4:$K$40,7,FALSE)</x:f>
        <x:v>-1</x:v>
      </x:c>
      <x:c r="I11" s="46" t="n">
        <x:f>VLOOKUP(C11,'候选材料'!$A$4:$K$40,8,FALSE)</x:f>
        <x:v>150</x:v>
      </x:c>
      <x:c r="J11" s="46" t="n">
        <x:f>VLOOKUP(C11,'候选材料'!$A$4:$K$40,9,FALSE)</x:f>
        <x:v>24</x:v>
      </x:c>
      <x:c r="K11" s="46" t="n">
        <x:f>VLOOKUP(C11,'候选材料'!$A$4:$K$40,10,FALSE)</x:f>
        <x:v>0</x:v>
      </x:c>
      <x:c r="L11" s="46" t="n">
        <x:f>VLOOKUP(C11,'候选材料'!$A$4:$K$40,11,FALSE)</x:f>
        <x:v>0</x:v>
      </x:c>
      <x:c r="M11" s="46" t="n">
        <x:f>D11*I11</x:f>
        <x:v>450</x:v>
      </x:c>
      <x:c r="N11" s="46" t="n">
        <x:f>D11*J11</x:f>
        <x:v>72</x:v>
      </x:c>
    </x:row>
    <x:row r="12">
      <x:c r="A12" s="54" t="str">
        <x:v>S03</x:v>
      </x:c>
      <x:c r="B12" s="54" t="n">
        <x:v>0</x:v>
      </x:c>
      <x:c r="C12" s="54" t="str">
        <x:v>J-凡-P</x:v>
      </x:c>
      <x:c r="D12" s="54" t="n">
        <x:v>1</x:v>
      </x:c>
      <x:c r="E12" s="46" t="str">
        <x:f>VLOOKUP(C12,'候选材料'!$A$4:$K$40,3,FALSE)</x:f>
        <x:v>君</x:v>
      </x:c>
      <x:c r="F12" s="46" t="str">
        <x:f>VLOOKUP(C12,'候选材料'!$A$4:$K$40,4,FALSE)</x:f>
      </x:c>
      <x:c r="G12" s="46" t="str">
        <x:f>VLOOKUP(C12,'候选材料'!$A$4:$K$40,5,FALSE)</x:f>
      </x:c>
      <x:c r="H12" s="46" t="n">
        <x:f>VLOOKUP(C12,'候选材料'!$A$4:$K$40,7,FALSE)</x:f>
        <x:v>0</x:v>
      </x:c>
      <x:c r="I12" s="46" t="n">
        <x:f>VLOOKUP(C12,'候选材料'!$A$4:$K$40,8,FALSE)</x:f>
        <x:v>120</x:v>
      </x:c>
      <x:c r="J12" s="46" t="n">
        <x:f>VLOOKUP(C12,'候选材料'!$A$4:$K$40,9,FALSE)</x:f>
        <x:v>70</x:v>
      </x:c>
      <x:c r="K12" s="46" t="n">
        <x:f>VLOOKUP(C12,'候选材料'!$A$4:$K$40,10,FALSE)</x:f>
        <x:v>1000</x:v>
      </x:c>
      <x:c r="L12" s="46" t="n">
        <x:f>VLOOKUP(C12,'候选材料'!$A$4:$K$40,11,FALSE)</x:f>
        <x:v>0</x:v>
      </x:c>
      <x:c r="M12" s="46" t="n">
        <x:f>D12*I12</x:f>
        <x:v>120</x:v>
      </x:c>
      <x:c r="N12" s="46" t="n">
        <x:f>D12*J12</x:f>
        <x:v>70</x:v>
      </x:c>
    </x:row>
    <x:row r="13">
      <x:c r="A13" s="54" t="str">
        <x:v>S03</x:v>
      </x:c>
      <x:c r="B13" s="54" t="n">
        <x:v>0</x:v>
      </x:c>
      <x:c r="C13" s="54" t="str">
        <x:v>H-凡</x:v>
      </x:c>
      <x:c r="D13" s="54" t="n">
        <x:v>1</x:v>
      </x:c>
      <x:c r="E13" s="46" t="str">
        <x:f>VLOOKUP(C13,'候选材料'!$A$4:$K$40,3,FALSE)</x:f>
        <x:v>丹头</x:v>
      </x:c>
      <x:c r="F13" s="46" t="str">
        <x:f>VLOOKUP(C13,'候选材料'!$A$4:$K$40,4,FALSE)</x:f>
      </x:c>
      <x:c r="G13" s="46" t="str">
        <x:f>VLOOKUP(C13,'候选材料'!$A$4:$K$40,5,FALSE)</x:f>
      </x:c>
      <x:c r="H13" s="46" t="n">
        <x:f>VLOOKUP(C13,'候选材料'!$A$4:$K$40,7,FALSE)</x:f>
        <x:v>0</x:v>
      </x:c>
      <x:c r="I13" s="46" t="n">
        <x:f>VLOOKUP(C13,'候选材料'!$A$4:$K$40,8,FALSE)</x:f>
        <x:v>0</x:v>
      </x:c>
      <x:c r="J13" s="46" t="n">
        <x:f>VLOOKUP(C13,'候选材料'!$A$4:$K$40,9,FALSE)</x:f>
        <x:v>0</x:v>
      </x:c>
      <x:c r="K13" s="46" t="n">
        <x:f>VLOOKUP(C13,'候选材料'!$A$4:$K$40,10,FALSE)</x:f>
        <x:v>0</x:v>
      </x:c>
      <x:c r="L13" s="46" t="n">
        <x:f>VLOOKUP(C13,'候选材料'!$A$4:$K$40,11,FALSE)</x:f>
        <x:v>7</x:v>
      </x:c>
      <x:c r="M13" s="46" t="n">
        <x:f>D13*I13</x:f>
        <x:v>0</x:v>
      </x:c>
      <x:c r="N13" s="46" t="n">
        <x:f>D13*J13</x:f>
        <x:v>0</x:v>
      </x:c>
    </x:row>
    <x:row r="14">
      <x:c r="A14" s="54" t="str">
        <x:v>S03</x:v>
      </x:c>
      <x:c r="B14" s="54" t="n">
        <x:v>1</x:v>
      </x:c>
      <x:c r="C14" s="54" t="str">
        <x:v>M-MU-H2</x:v>
      </x:c>
      <x:c r="D14" s="54" t="n">
        <x:v>2</x:v>
      </x:c>
      <x:c r="E14" s="46" t="str">
        <x:f>VLOOKUP(C14,'候选材料'!$A$4:$K$40,3,FALSE)</x:f>
        <x:v>臣</x:v>
      </x:c>
      <x:c r="F14" s="46" t="str">
        <x:f>VLOOKUP(C14,'候选材料'!$A$4:$K$40,4,FALSE)</x:f>
        <x:v>木</x:v>
      </x:c>
      <x:c r="G14" s="46" t="str">
        <x:f>VLOOKUP(C14,'候选材料'!$A$4:$K$40,5,FALSE)</x:f>
      </x:c>
      <x:c r="H14" s="46" t="n">
        <x:f>VLOOKUP(C14,'候选材料'!$A$4:$K$40,7,FALSE)</x:f>
        <x:v>2</x:v>
      </x:c>
      <x:c r="I14" s="46" t="n">
        <x:f>VLOOKUP(C14,'候选材料'!$A$4:$K$40,8,FALSE)</x:f>
        <x:v>300</x:v>
      </x:c>
      <x:c r="J14" s="46" t="n">
        <x:f>VLOOKUP(C14,'候选材料'!$A$4:$K$40,9,FALSE)</x:f>
        <x:v>80</x:v>
      </x:c>
      <x:c r="K14" s="46" t="n">
        <x:f>VLOOKUP(C14,'候选材料'!$A$4:$K$40,10,FALSE)</x:f>
        <x:v>0</x:v>
      </x:c>
      <x:c r="L14" s="46" t="n">
        <x:f>VLOOKUP(C14,'候选材料'!$A$4:$K$40,11,FALSE)</x:f>
        <x:v>0</x:v>
      </x:c>
      <x:c r="M14" s="46" t="n">
        <x:f>D14*I14</x:f>
        <x:v>600</x:v>
      </x:c>
      <x:c r="N14" s="46" t="n">
        <x:f>D14*J14</x:f>
        <x:v>160</x:v>
      </x:c>
    </x:row>
    <x:row r="15">
      <x:c r="A15" s="54" t="str">
        <x:v>S03</x:v>
      </x:c>
      <x:c r="B15" s="54" t="n">
        <x:v>2</x:v>
      </x:c>
      <x:c r="C15" s="54" t="str">
        <x:v>E-XIN-HN2</x:v>
      </x:c>
      <x:c r="D15" s="54" t="n">
        <x:v>2</x:v>
      </x:c>
      <x:c r="E15" s="46" t="str">
        <x:f>VLOOKUP(C15,'候选材料'!$A$4:$K$40,3,FALSE)</x:f>
        <x:v>使</x:v>
      </x:c>
      <x:c r="F15" s="46" t="str">
        <x:f>VLOOKUP(C15,'候选材料'!$A$4:$K$40,4,FALSE)</x:f>
      </x:c>
      <x:c r="G15" s="46" t="str">
        <x:f>VLOOKUP(C15,'候选材料'!$A$4:$K$40,5,FALSE)</x:f>
        <x:v>辛</x:v>
      </x:c>
      <x:c r="H15" s="46" t="n">
        <x:f>VLOOKUP(C15,'候选材料'!$A$4:$K$40,7,FALSE)</x:f>
        <x:v>-2</x:v>
      </x:c>
      <x:c r="I15" s="46" t="n">
        <x:f>VLOOKUP(C15,'候选材料'!$A$4:$K$40,8,FALSE)</x:f>
        <x:v>300</x:v>
      </x:c>
      <x:c r="J15" s="46" t="n">
        <x:f>VLOOKUP(C15,'候选材料'!$A$4:$K$40,9,FALSE)</x:f>
        <x:v>80</x:v>
      </x:c>
      <x:c r="K15" s="46" t="n">
        <x:f>VLOOKUP(C15,'候选材料'!$A$4:$K$40,10,FALSE)</x:f>
        <x:v>0</x:v>
      </x:c>
      <x:c r="L15" s="46" t="n">
        <x:f>VLOOKUP(C15,'候选材料'!$A$4:$K$40,11,FALSE)</x:f>
        <x:v>0</x:v>
      </x:c>
      <x:c r="M15" s="46" t="n">
        <x:f>D15*I15</x:f>
        <x:v>600</x:v>
      </x:c>
      <x:c r="N15" s="46" t="n">
        <x:f>D15*J15</x:f>
        <x:v>160</x:v>
      </x:c>
    </x:row>
    <x:row r="16">
      <x:c r="A16" s="54" t="str">
        <x:v>S03</x:v>
      </x:c>
      <x:c r="B16" s="54" t="n">
        <x:v>3</x:v>
      </x:c>
      <x:c r="C16" s="54" t="str">
        <x:v>A-TN1</x:v>
      </x:c>
      <x:c r="D16" s="54" t="n">
        <x:v>1</x:v>
      </x:c>
      <x:c r="E16" s="46" t="str">
        <x:f>VLOOKUP(C16,'候选材料'!$A$4:$K$40,3,FALSE)</x:f>
        <x:v>佐</x:v>
      </x:c>
      <x:c r="F16" s="46" t="str">
        <x:f>VLOOKUP(C16,'候选材料'!$A$4:$K$40,4,FALSE)</x:f>
      </x:c>
      <x:c r="G16" s="46" t="str">
        <x:f>VLOOKUP(C16,'候选材料'!$A$4:$K$40,5,FALSE)</x:f>
      </x:c>
      <x:c r="H16" s="46" t="n">
        <x:f>VLOOKUP(C16,'候选材料'!$A$4:$K$40,7,FALSE)</x:f>
        <x:v>-1</x:v>
      </x:c>
      <x:c r="I16" s="46" t="n">
        <x:f>VLOOKUP(C16,'候选材料'!$A$4:$K$40,8,FALSE)</x:f>
        <x:v>110</x:v>
      </x:c>
      <x:c r="J16" s="46" t="n">
        <x:f>VLOOKUP(C16,'候选材料'!$A$4:$K$40,9,FALSE)</x:f>
        <x:v>25</x:v>
      </x:c>
      <x:c r="K16" s="46" t="n">
        <x:f>VLOOKUP(C16,'候选材料'!$A$4:$K$40,10,FALSE)</x:f>
        <x:v>0</x:v>
      </x:c>
      <x:c r="L16" s="46" t="n">
        <x:f>VLOOKUP(C16,'候选材料'!$A$4:$K$40,11,FALSE)</x:f>
        <x:v>0</x:v>
      </x:c>
      <x:c r="M16" s="46" t="n">
        <x:f>D16*I16</x:f>
        <x:v>110</x:v>
      </x:c>
      <x:c r="N16" s="46" t="n">
        <x:f>D16*J16</x:f>
        <x:v>25</x:v>
      </x:c>
    </x:row>
    <x:row r="17">
      <x:c r="A17" s="54" t="str">
        <x:v>S04</x:v>
      </x:c>
      <x:c r="B17" s="54" t="n">
        <x:v>0</x:v>
      </x:c>
      <x:c r="C17" s="54" t="str">
        <x:v>J-凡-P</x:v>
      </x:c>
      <x:c r="D17" s="54" t="n">
        <x:v>1</x:v>
      </x:c>
      <x:c r="E17" s="46" t="str">
        <x:f>VLOOKUP(C17,'候选材料'!$A$4:$K$40,3,FALSE)</x:f>
        <x:v>君</x:v>
      </x:c>
      <x:c r="F17" s="46" t="str">
        <x:f>VLOOKUP(C17,'候选材料'!$A$4:$K$40,4,FALSE)</x:f>
      </x:c>
      <x:c r="G17" s="46" t="str">
        <x:f>VLOOKUP(C17,'候选材料'!$A$4:$K$40,5,FALSE)</x:f>
      </x:c>
      <x:c r="H17" s="46" t="n">
        <x:f>VLOOKUP(C17,'候选材料'!$A$4:$K$40,7,FALSE)</x:f>
        <x:v>0</x:v>
      </x:c>
      <x:c r="I17" s="46" t="n">
        <x:f>VLOOKUP(C17,'候选材料'!$A$4:$K$40,8,FALSE)</x:f>
        <x:v>120</x:v>
      </x:c>
      <x:c r="J17" s="46" t="n">
        <x:f>VLOOKUP(C17,'候选材料'!$A$4:$K$40,9,FALSE)</x:f>
        <x:v>70</x:v>
      </x:c>
      <x:c r="K17" s="46" t="n">
        <x:f>VLOOKUP(C17,'候选材料'!$A$4:$K$40,10,FALSE)</x:f>
        <x:v>1000</x:v>
      </x:c>
      <x:c r="L17" s="46" t="n">
        <x:f>VLOOKUP(C17,'候选材料'!$A$4:$K$40,11,FALSE)</x:f>
        <x:v>0</x:v>
      </x:c>
      <x:c r="M17" s="46" t="n">
        <x:f>D17*I17</x:f>
        <x:v>120</x:v>
      </x:c>
      <x:c r="N17" s="46" t="n">
        <x:f>D17*J17</x:f>
        <x:v>70</x:v>
      </x:c>
    </x:row>
    <x:row r="18">
      <x:c r="A18" s="54" t="str">
        <x:v>S04</x:v>
      </x:c>
      <x:c r="B18" s="54" t="n">
        <x:v>0</x:v>
      </x:c>
      <x:c r="C18" s="54" t="str">
        <x:v>H-凡</x:v>
      </x:c>
      <x:c r="D18" s="54" t="n">
        <x:v>1</x:v>
      </x:c>
      <x:c r="E18" s="46" t="str">
        <x:f>VLOOKUP(C18,'候选材料'!$A$4:$K$40,3,FALSE)</x:f>
        <x:v>丹头</x:v>
      </x:c>
      <x:c r="F18" s="46" t="str">
        <x:f>VLOOKUP(C18,'候选材料'!$A$4:$K$40,4,FALSE)</x:f>
      </x:c>
      <x:c r="G18" s="46" t="str">
        <x:f>VLOOKUP(C18,'候选材料'!$A$4:$K$40,5,FALSE)</x:f>
      </x:c>
      <x:c r="H18" s="46" t="n">
        <x:f>VLOOKUP(C18,'候选材料'!$A$4:$K$40,7,FALSE)</x:f>
        <x:v>0</x:v>
      </x:c>
      <x:c r="I18" s="46" t="n">
        <x:f>VLOOKUP(C18,'候选材料'!$A$4:$K$40,8,FALSE)</x:f>
        <x:v>0</x:v>
      </x:c>
      <x:c r="J18" s="46" t="n">
        <x:f>VLOOKUP(C18,'候选材料'!$A$4:$K$40,9,FALSE)</x:f>
        <x:v>0</x:v>
      </x:c>
      <x:c r="K18" s="46" t="n">
        <x:f>VLOOKUP(C18,'候选材料'!$A$4:$K$40,10,FALSE)</x:f>
        <x:v>0</x:v>
      </x:c>
      <x:c r="L18" s="46" t="n">
        <x:f>VLOOKUP(C18,'候选材料'!$A$4:$K$40,11,FALSE)</x:f>
        <x:v>7</x:v>
      </x:c>
      <x:c r="M18" s="46" t="n">
        <x:f>D18*I18</x:f>
        <x:v>0</x:v>
      </x:c>
      <x:c r="N18" s="46" t="n">
        <x:f>D18*J18</x:f>
        <x:v>0</x:v>
      </x:c>
    </x:row>
    <x:row r="19">
      <x:c r="A19" s="54" t="str">
        <x:v>S04</x:v>
      </x:c>
      <x:c r="B19" s="54" t="n">
        <x:v>1</x:v>
      </x:c>
      <x:c r="C19" s="54" t="str">
        <x:v>M-SHUI-H2</x:v>
      </x:c>
      <x:c r="D19" s="54" t="n">
        <x:v>2</x:v>
      </x:c>
      <x:c r="E19" s="46" t="str">
        <x:f>VLOOKUP(C19,'候选材料'!$A$4:$K$40,3,FALSE)</x:f>
        <x:v>臣</x:v>
      </x:c>
      <x:c r="F19" s="46" t="str">
        <x:f>VLOOKUP(C19,'候选材料'!$A$4:$K$40,4,FALSE)</x:f>
        <x:v>水</x:v>
      </x:c>
      <x:c r="G19" s="46" t="str">
        <x:f>VLOOKUP(C19,'候选材料'!$A$4:$K$40,5,FALSE)</x:f>
      </x:c>
      <x:c r="H19" s="46" t="n">
        <x:f>VLOOKUP(C19,'候选材料'!$A$4:$K$40,7,FALSE)</x:f>
        <x:v>2</x:v>
      </x:c>
      <x:c r="I19" s="46" t="n">
        <x:f>VLOOKUP(C19,'候选材料'!$A$4:$K$40,8,FALSE)</x:f>
        <x:v>300</x:v>
      </x:c>
      <x:c r="J19" s="46" t="n">
        <x:f>VLOOKUP(C19,'候选材料'!$A$4:$K$40,9,FALSE)</x:f>
        <x:v>80</x:v>
      </x:c>
      <x:c r="K19" s="46" t="n">
        <x:f>VLOOKUP(C19,'候选材料'!$A$4:$K$40,10,FALSE)</x:f>
        <x:v>0</x:v>
      </x:c>
      <x:c r="L19" s="46" t="n">
        <x:f>VLOOKUP(C19,'候选材料'!$A$4:$K$40,11,FALSE)</x:f>
        <x:v>0</x:v>
      </x:c>
      <x:c r="M19" s="46" t="n">
        <x:f>D19*I19</x:f>
        <x:v>600</x:v>
      </x:c>
      <x:c r="N19" s="46" t="n">
        <x:f>D19*J19</x:f>
        <x:v>160</x:v>
      </x:c>
    </x:row>
    <x:row r="20">
      <x:c r="A20" s="54" t="str">
        <x:v>S04</x:v>
      </x:c>
      <x:c r="B20" s="54" t="n">
        <x:v>2</x:v>
      </x:c>
      <x:c r="C20" s="54" t="str">
        <x:v>E-XIAN-HN2</x:v>
      </x:c>
      <x:c r="D20" s="54" t="n">
        <x:v>2</x:v>
      </x:c>
      <x:c r="E20" s="46" t="str">
        <x:f>VLOOKUP(C20,'候选材料'!$A$4:$K$40,3,FALSE)</x:f>
        <x:v>使</x:v>
      </x:c>
      <x:c r="F20" s="46" t="str">
        <x:f>VLOOKUP(C20,'候选材料'!$A$4:$K$40,4,FALSE)</x:f>
      </x:c>
      <x:c r="G20" s="46" t="str">
        <x:f>VLOOKUP(C20,'候选材料'!$A$4:$K$40,5,FALSE)</x:f>
        <x:v>咸</x:v>
      </x:c>
      <x:c r="H20" s="46" t="n">
        <x:f>VLOOKUP(C20,'候选材料'!$A$4:$K$40,7,FALSE)</x:f>
        <x:v>-2</x:v>
      </x:c>
      <x:c r="I20" s="46" t="n">
        <x:f>VLOOKUP(C20,'候选材料'!$A$4:$K$40,8,FALSE)</x:f>
        <x:v>300</x:v>
      </x:c>
      <x:c r="J20" s="46" t="n">
        <x:f>VLOOKUP(C20,'候选材料'!$A$4:$K$40,9,FALSE)</x:f>
        <x:v>80</x:v>
      </x:c>
      <x:c r="K20" s="46" t="n">
        <x:f>VLOOKUP(C20,'候选材料'!$A$4:$K$40,10,FALSE)</x:f>
        <x:v>0</x:v>
      </x:c>
      <x:c r="L20" s="46" t="n">
        <x:f>VLOOKUP(C20,'候选材料'!$A$4:$K$40,11,FALSE)</x:f>
        <x:v>0</x:v>
      </x:c>
      <x:c r="M20" s="46" t="n">
        <x:f>D20*I20</x:f>
        <x:v>600</x:v>
      </x:c>
      <x:c r="N20" s="46" t="n">
        <x:f>D20*J20</x:f>
        <x:v>160</x:v>
      </x:c>
    </x:row>
    <x:row r="21">
      <x:c r="A21" s="54" t="str">
        <x:v>S05</x:v>
      </x:c>
      <x:c r="B21" s="54" t="n">
        <x:v>0</x:v>
      </x:c>
      <x:c r="C21" s="54" t="str">
        <x:v>J-凡-W</x:v>
      </x:c>
      <x:c r="D21" s="54" t="n">
        <x:v>1</x:v>
      </x:c>
      <x:c r="E21" s="46" t="str">
        <x:f>VLOOKUP(C21,'候选材料'!$A$4:$K$40,3,FALSE)</x:f>
        <x:v>君</x:v>
      </x:c>
      <x:c r="F21" s="46" t="str">
        <x:f>VLOOKUP(C21,'候选材料'!$A$4:$K$40,4,FALSE)</x:f>
      </x:c>
      <x:c r="G21" s="46" t="str">
        <x:f>VLOOKUP(C21,'候选材料'!$A$4:$K$40,5,FALSE)</x:f>
      </x:c>
      <x:c r="H21" s="46" t="n">
        <x:f>VLOOKUP(C21,'候选材料'!$A$4:$K$40,7,FALSE)</x:f>
        <x:v>2</x:v>
      </x:c>
      <x:c r="I21" s="46" t="n">
        <x:f>VLOOKUP(C21,'候选材料'!$A$4:$K$40,8,FALSE)</x:f>
        <x:v>120</x:v>
      </x:c>
      <x:c r="J21" s="46" t="n">
        <x:f>VLOOKUP(C21,'候选材料'!$A$4:$K$40,9,FALSE)</x:f>
        <x:v>70</x:v>
      </x:c>
      <x:c r="K21" s="46" t="n">
        <x:f>VLOOKUP(C21,'候选材料'!$A$4:$K$40,10,FALSE)</x:f>
        <x:v>1000</x:v>
      </x:c>
      <x:c r="L21" s="46" t="n">
        <x:f>VLOOKUP(C21,'候选材料'!$A$4:$K$40,11,FALSE)</x:f>
        <x:v>0</x:v>
      </x:c>
      <x:c r="M21" s="46" t="n">
        <x:f>D21*I21</x:f>
        <x:v>120</x:v>
      </x:c>
      <x:c r="N21" s="46" t="n">
        <x:f>D21*J21</x:f>
        <x:v>70</x:v>
      </x:c>
    </x:row>
    <x:row r="22">
      <x:c r="A22" s="54" t="str">
        <x:v>S05</x:v>
      </x:c>
      <x:c r="B22" s="54" t="n">
        <x:v>0</x:v>
      </x:c>
      <x:c r="C22" s="54" t="str">
        <x:v>H-凡</x:v>
      </x:c>
      <x:c r="D22" s="54" t="n">
        <x:v>1</x:v>
      </x:c>
      <x:c r="E22" s="46" t="str">
        <x:f>VLOOKUP(C22,'候选材料'!$A$4:$K$40,3,FALSE)</x:f>
        <x:v>丹头</x:v>
      </x:c>
      <x:c r="F22" s="46" t="str">
        <x:f>VLOOKUP(C22,'候选材料'!$A$4:$K$40,4,FALSE)</x:f>
      </x:c>
      <x:c r="G22" s="46" t="str">
        <x:f>VLOOKUP(C22,'候选材料'!$A$4:$K$40,5,FALSE)</x:f>
      </x:c>
      <x:c r="H22" s="46" t="n">
        <x:f>VLOOKUP(C22,'候选材料'!$A$4:$K$40,7,FALSE)</x:f>
        <x:v>0</x:v>
      </x:c>
      <x:c r="I22" s="46" t="n">
        <x:f>VLOOKUP(C22,'候选材料'!$A$4:$K$40,8,FALSE)</x:f>
        <x:v>0</x:v>
      </x:c>
      <x:c r="J22" s="46" t="n">
        <x:f>VLOOKUP(C22,'候选材料'!$A$4:$K$40,9,FALSE)</x:f>
        <x:v>0</x:v>
      </x:c>
      <x:c r="K22" s="46" t="n">
        <x:f>VLOOKUP(C22,'候选材料'!$A$4:$K$40,10,FALSE)</x:f>
        <x:v>0</x:v>
      </x:c>
      <x:c r="L22" s="46" t="n">
        <x:f>VLOOKUP(C22,'候选材料'!$A$4:$K$40,11,FALSE)</x:f>
        <x:v>7</x:v>
      </x:c>
      <x:c r="M22" s="46" t="n">
        <x:f>D22*I22</x:f>
        <x:v>0</x:v>
      </x:c>
      <x:c r="N22" s="46" t="n">
        <x:f>D22*J22</x:f>
        <x:v>0</x:v>
      </x:c>
    </x:row>
    <x:row r="23">
      <x:c r="A23" s="54" t="str">
        <x:v>S05</x:v>
      </x:c>
      <x:c r="B23" s="54" t="n">
        <x:v>1</x:v>
      </x:c>
      <x:c r="C23" s="54" t="str">
        <x:v>M-HUO-H2</x:v>
      </x:c>
      <x:c r="D23" s="54" t="n">
        <x:v>1</x:v>
      </x:c>
      <x:c r="E23" s="46" t="str">
        <x:f>VLOOKUP(C23,'候选材料'!$A$4:$K$40,3,FALSE)</x:f>
        <x:v>臣</x:v>
      </x:c>
      <x:c r="F23" s="46" t="str">
        <x:f>VLOOKUP(C23,'候选材料'!$A$4:$K$40,4,FALSE)</x:f>
        <x:v>火</x:v>
      </x:c>
      <x:c r="G23" s="46" t="str">
        <x:f>VLOOKUP(C23,'候选材料'!$A$4:$K$40,5,FALSE)</x:f>
      </x:c>
      <x:c r="H23" s="46" t="n">
        <x:f>VLOOKUP(C23,'候选材料'!$A$4:$K$40,7,FALSE)</x:f>
        <x:v>2</x:v>
      </x:c>
      <x:c r="I23" s="46" t="n">
        <x:f>VLOOKUP(C23,'候选材料'!$A$4:$K$40,8,FALSE)</x:f>
        <x:v>300</x:v>
      </x:c>
      <x:c r="J23" s="46" t="n">
        <x:f>VLOOKUP(C23,'候选材料'!$A$4:$K$40,9,FALSE)</x:f>
        <x:v>80</x:v>
      </x:c>
      <x:c r="K23" s="46" t="n">
        <x:f>VLOOKUP(C23,'候选材料'!$A$4:$K$40,10,FALSE)</x:f>
        <x:v>0</x:v>
      </x:c>
      <x:c r="L23" s="46" t="n">
        <x:f>VLOOKUP(C23,'候选材料'!$A$4:$K$40,11,FALSE)</x:f>
        <x:v>0</x:v>
      </x:c>
      <x:c r="M23" s="46" t="n">
        <x:f>D23*I23</x:f>
        <x:v>300</x:v>
      </x:c>
      <x:c r="N23" s="46" t="n">
        <x:f>D23*J23</x:f>
        <x:v>80</x:v>
      </x:c>
    </x:row>
    <x:row r="24">
      <x:c r="A24" s="54" t="str">
        <x:v>S05</x:v>
      </x:c>
      <x:c r="B24" s="54" t="n">
        <x:v>2</x:v>
      </x:c>
      <x:c r="C24" s="54" t="str">
        <x:v>E-KU-HN2</x:v>
      </x:c>
      <x:c r="D24" s="54" t="n">
        <x:v>1</x:v>
      </x:c>
      <x:c r="E24" s="46" t="str">
        <x:f>VLOOKUP(C24,'候选材料'!$A$4:$K$40,3,FALSE)</x:f>
        <x:v>使</x:v>
      </x:c>
      <x:c r="F24" s="46" t="str">
        <x:f>VLOOKUP(C24,'候选材料'!$A$4:$K$40,4,FALSE)</x:f>
      </x:c>
      <x:c r="G24" s="46" t="str">
        <x:f>VLOOKUP(C24,'候选材料'!$A$4:$K$40,5,FALSE)</x:f>
        <x:v>苦</x:v>
      </x:c>
      <x:c r="H24" s="46" t="n">
        <x:f>VLOOKUP(C24,'候选材料'!$A$4:$K$40,7,FALSE)</x:f>
        <x:v>-2</x:v>
      </x:c>
      <x:c r="I24" s="46" t="n">
        <x:f>VLOOKUP(C24,'候选材料'!$A$4:$K$40,8,FALSE)</x:f>
        <x:v>300</x:v>
      </x:c>
      <x:c r="J24" s="46" t="n">
        <x:f>VLOOKUP(C24,'候选材料'!$A$4:$K$40,9,FALSE)</x:f>
        <x:v>80</x:v>
      </x:c>
      <x:c r="K24" s="46" t="n">
        <x:f>VLOOKUP(C24,'候选材料'!$A$4:$K$40,10,FALSE)</x:f>
        <x:v>0</x:v>
      </x:c>
      <x:c r="L24" s="46" t="n">
        <x:f>VLOOKUP(C24,'候选材料'!$A$4:$K$40,11,FALSE)</x:f>
        <x:v>0</x:v>
      </x:c>
      <x:c r="M24" s="46" t="n">
        <x:f>D24*I24</x:f>
        <x:v>300</x:v>
      </x:c>
      <x:c r="N24" s="46" t="n">
        <x:f>D24*J24</x:f>
        <x:v>80</x:v>
      </x:c>
    </x:row>
    <x:row r="25">
      <x:c r="A25" s="54" t="str">
        <x:v>S05</x:v>
      </x:c>
      <x:c r="B25" s="54" t="n">
        <x:v>3</x:v>
      </x:c>
      <x:c r="C25" s="54" t="str">
        <x:v>A-C0</x:v>
      </x:c>
      <x:c r="D25" s="54" t="n">
        <x:v>2</x:v>
      </x:c>
      <x:c r="E25" s="46" t="str">
        <x:f>VLOOKUP(C25,'候选材料'!$A$4:$K$40,3,FALSE)</x:f>
        <x:v>佐</x:v>
      </x:c>
      <x:c r="F25" s="46" t="str">
        <x:f>VLOOKUP(C25,'候选材料'!$A$4:$K$40,4,FALSE)</x:f>
      </x:c>
      <x:c r="G25" s="46" t="str">
        <x:f>VLOOKUP(C25,'候选材料'!$A$4:$K$40,5,FALSE)</x:f>
      </x:c>
      <x:c r="H25" s="46" t="n">
        <x:f>VLOOKUP(C25,'候选材料'!$A$4:$K$40,7,FALSE)</x:f>
        <x:v>0</x:v>
      </x:c>
      <x:c r="I25" s="46" t="n">
        <x:f>VLOOKUP(C25,'候选材料'!$A$4:$K$40,8,FALSE)</x:f>
        <x:v>150</x:v>
      </x:c>
      <x:c r="J25" s="46" t="n">
        <x:f>VLOOKUP(C25,'候选材料'!$A$4:$K$40,9,FALSE)</x:f>
        <x:v>24</x:v>
      </x:c>
      <x:c r="K25" s="46" t="n">
        <x:f>VLOOKUP(C25,'候选材料'!$A$4:$K$40,10,FALSE)</x:f>
        <x:v>0</x:v>
      </x:c>
      <x:c r="L25" s="46" t="n">
        <x:f>VLOOKUP(C25,'候选材料'!$A$4:$K$40,11,FALSE)</x:f>
        <x:v>0</x:v>
      </x:c>
      <x:c r="M25" s="46" t="n">
        <x:f>D25*I25</x:f>
        <x:v>300</x:v>
      </x:c>
      <x:c r="N25" s="46" t="n">
        <x:f>D25*J25</x:f>
        <x:v>48</x:v>
      </x:c>
    </x:row>
    <x:row r="26">
      <x:c r="A26" s="54" t="str">
        <x:v>S05</x:v>
      </x:c>
      <x:c r="B26" s="54" t="n">
        <x:v>4</x:v>
      </x:c>
      <x:c r="C26" s="54" t="str">
        <x:v>A-TN1</x:v>
      </x:c>
      <x:c r="D26" s="54" t="n">
        <x:v>1</x:v>
      </x:c>
      <x:c r="E26" s="46" t="str">
        <x:f>VLOOKUP(C26,'候选材料'!$A$4:$K$40,3,FALSE)</x:f>
        <x:v>佐</x:v>
      </x:c>
      <x:c r="F26" s="46" t="str">
        <x:f>VLOOKUP(C26,'候选材料'!$A$4:$K$40,4,FALSE)</x:f>
      </x:c>
      <x:c r="G26" s="46" t="str">
        <x:f>VLOOKUP(C26,'候选材料'!$A$4:$K$40,5,FALSE)</x:f>
      </x:c>
      <x:c r="H26" s="46" t="n">
        <x:f>VLOOKUP(C26,'候选材料'!$A$4:$K$40,7,FALSE)</x:f>
        <x:v>-1</x:v>
      </x:c>
      <x:c r="I26" s="46" t="n">
        <x:f>VLOOKUP(C26,'候选材料'!$A$4:$K$40,8,FALSE)</x:f>
        <x:v>110</x:v>
      </x:c>
      <x:c r="J26" s="46" t="n">
        <x:f>VLOOKUP(C26,'候选材料'!$A$4:$K$40,9,FALSE)</x:f>
        <x:v>25</x:v>
      </x:c>
      <x:c r="K26" s="46" t="n">
        <x:f>VLOOKUP(C26,'候选材料'!$A$4:$K$40,10,FALSE)</x:f>
        <x:v>0</x:v>
      </x:c>
      <x:c r="L26" s="46" t="n">
        <x:f>VLOOKUP(C26,'候选材料'!$A$4:$K$40,11,FALSE)</x:f>
        <x:v>0</x:v>
      </x:c>
      <x:c r="M26" s="46" t="n">
        <x:f>D26*I26</x:f>
        <x:v>110</x:v>
      </x:c>
      <x:c r="N26" s="46" t="n">
        <x:f>D26*J26</x:f>
        <x:v>25</x:v>
      </x:c>
    </x:row>
    <x:row r="27">
      <x:c r="A27" s="54" t="str">
        <x:v>S06</x:v>
      </x:c>
      <x:c r="B27" s="54" t="n">
        <x:v>0</x:v>
      </x:c>
      <x:c r="C27" s="54" t="str">
        <x:v>J-凡-H</x:v>
      </x:c>
      <x:c r="D27" s="54" t="n">
        <x:v>1</x:v>
      </x:c>
      <x:c r="E27" s="46" t="str">
        <x:f>VLOOKUP(C27,'候选材料'!$A$4:$K$40,3,FALSE)</x:f>
        <x:v>君</x:v>
      </x:c>
      <x:c r="F27" s="46" t="str">
        <x:f>VLOOKUP(C27,'候选材料'!$A$4:$K$40,4,FALSE)</x:f>
      </x:c>
      <x:c r="G27" s="46" t="str">
        <x:f>VLOOKUP(C27,'候选材料'!$A$4:$K$40,5,FALSE)</x:f>
      </x:c>
      <x:c r="H27" s="46" t="n">
        <x:f>VLOOKUP(C27,'候选材料'!$A$4:$K$40,7,FALSE)</x:f>
        <x:v>-2</x:v>
      </x:c>
      <x:c r="I27" s="46" t="n">
        <x:f>VLOOKUP(C27,'候选材料'!$A$4:$K$40,8,FALSE)</x:f>
        <x:v>120</x:v>
      </x:c>
      <x:c r="J27" s="46" t="n">
        <x:f>VLOOKUP(C27,'候选材料'!$A$4:$K$40,9,FALSE)</x:f>
        <x:v>70</x:v>
      </x:c>
      <x:c r="K27" s="46" t="n">
        <x:f>VLOOKUP(C27,'候选材料'!$A$4:$K$40,10,FALSE)</x:f>
        <x:v>1000</x:v>
      </x:c>
      <x:c r="L27" s="46" t="n">
        <x:f>VLOOKUP(C27,'候选材料'!$A$4:$K$40,11,FALSE)</x:f>
        <x:v>0</x:v>
      </x:c>
      <x:c r="M27" s="46" t="n">
        <x:f>D27*I27</x:f>
        <x:v>120</x:v>
      </x:c>
      <x:c r="N27" s="46" t="n">
        <x:f>D27*J27</x:f>
        <x:v>70</x:v>
      </x:c>
    </x:row>
    <x:row r="28">
      <x:c r="A28" s="54" t="str">
        <x:v>S06</x:v>
      </x:c>
      <x:c r="B28" s="54" t="n">
        <x:v>0</x:v>
      </x:c>
      <x:c r="C28" s="54" t="str">
        <x:v>H-凡</x:v>
      </x:c>
      <x:c r="D28" s="54" t="n">
        <x:v>1</x:v>
      </x:c>
      <x:c r="E28" s="46" t="str">
        <x:f>VLOOKUP(C28,'候选材料'!$A$4:$K$40,3,FALSE)</x:f>
        <x:v>丹头</x:v>
      </x:c>
      <x:c r="F28" s="46" t="str">
        <x:f>VLOOKUP(C28,'候选材料'!$A$4:$K$40,4,FALSE)</x:f>
      </x:c>
      <x:c r="G28" s="46" t="str">
        <x:f>VLOOKUP(C28,'候选材料'!$A$4:$K$40,5,FALSE)</x:f>
      </x:c>
      <x:c r="H28" s="46" t="n">
        <x:f>VLOOKUP(C28,'候选材料'!$A$4:$K$40,7,FALSE)</x:f>
        <x:v>0</x:v>
      </x:c>
      <x:c r="I28" s="46" t="n">
        <x:f>VLOOKUP(C28,'候选材料'!$A$4:$K$40,8,FALSE)</x:f>
        <x:v>0</x:v>
      </x:c>
      <x:c r="J28" s="46" t="n">
        <x:f>VLOOKUP(C28,'候选材料'!$A$4:$K$40,9,FALSE)</x:f>
        <x:v>0</x:v>
      </x:c>
      <x:c r="K28" s="46" t="n">
        <x:f>VLOOKUP(C28,'候选材料'!$A$4:$K$40,10,FALSE)</x:f>
        <x:v>0</x:v>
      </x:c>
      <x:c r="L28" s="46" t="n">
        <x:f>VLOOKUP(C28,'候选材料'!$A$4:$K$40,11,FALSE)</x:f>
        <x:v>7</x:v>
      </x:c>
      <x:c r="M28" s="46" t="n">
        <x:f>D28*I28</x:f>
        <x:v>0</x:v>
      </x:c>
      <x:c r="N28" s="46" t="n">
        <x:f>D28*J28</x:f>
        <x:v>0</x:v>
      </x:c>
    </x:row>
    <x:row r="29">
      <x:c r="A29" s="54" t="str">
        <x:v>S06</x:v>
      </x:c>
      <x:c r="B29" s="54" t="n">
        <x:v>1</x:v>
      </x:c>
      <x:c r="C29" s="54" t="str">
        <x:v>M-MU-HN2</x:v>
      </x:c>
      <x:c r="D29" s="54" t="n">
        <x:v>2</x:v>
      </x:c>
      <x:c r="E29" s="46" t="str">
        <x:f>VLOOKUP(C29,'候选材料'!$A$4:$K$40,3,FALSE)</x:f>
        <x:v>臣</x:v>
      </x:c>
      <x:c r="F29" s="46" t="str">
        <x:f>VLOOKUP(C29,'候选材料'!$A$4:$K$40,4,FALSE)</x:f>
        <x:v>木</x:v>
      </x:c>
      <x:c r="G29" s="46" t="str">
        <x:f>VLOOKUP(C29,'候选材料'!$A$4:$K$40,5,FALSE)</x:f>
      </x:c>
      <x:c r="H29" s="46" t="n">
        <x:f>VLOOKUP(C29,'候选材料'!$A$4:$K$40,7,FALSE)</x:f>
        <x:v>-2</x:v>
      </x:c>
      <x:c r="I29" s="46" t="n">
        <x:f>VLOOKUP(C29,'候选材料'!$A$4:$K$40,8,FALSE)</x:f>
        <x:v>300</x:v>
      </x:c>
      <x:c r="J29" s="46" t="n">
        <x:f>VLOOKUP(C29,'候选材料'!$A$4:$K$40,9,FALSE)</x:f>
        <x:v>80</x:v>
      </x:c>
      <x:c r="K29" s="46" t="n">
        <x:f>VLOOKUP(C29,'候选材料'!$A$4:$K$40,10,FALSE)</x:f>
        <x:v>0</x:v>
      </x:c>
      <x:c r="L29" s="46" t="n">
        <x:f>VLOOKUP(C29,'候选材料'!$A$4:$K$40,11,FALSE)</x:f>
        <x:v>0</x:v>
      </x:c>
      <x:c r="M29" s="46" t="n">
        <x:f>D29*I29</x:f>
        <x:v>600</x:v>
      </x:c>
      <x:c r="N29" s="46" t="n">
        <x:f>D29*J29</x:f>
        <x:v>160</x:v>
      </x:c>
    </x:row>
    <x:row r="30">
      <x:c r="A30" s="54" t="str">
        <x:v>S06</x:v>
      </x:c>
      <x:c r="B30" s="54" t="n">
        <x:v>2</x:v>
      </x:c>
      <x:c r="C30" s="54" t="str">
        <x:v>E-SUAN-H2</x:v>
      </x:c>
      <x:c r="D30" s="54" t="n">
        <x:v>2</x:v>
      </x:c>
      <x:c r="E30" s="46" t="str">
        <x:f>VLOOKUP(C30,'候选材料'!$A$4:$K$40,3,FALSE)</x:f>
        <x:v>使</x:v>
      </x:c>
      <x:c r="F30" s="46" t="str">
        <x:f>VLOOKUP(C30,'候选材料'!$A$4:$K$40,4,FALSE)</x:f>
      </x:c>
      <x:c r="G30" s="46" t="str">
        <x:f>VLOOKUP(C30,'候选材料'!$A$4:$K$40,5,FALSE)</x:f>
        <x:v>酸</x:v>
      </x:c>
      <x:c r="H30" s="46" t="n">
        <x:f>VLOOKUP(C30,'候选材料'!$A$4:$K$40,7,FALSE)</x:f>
        <x:v>2</x:v>
      </x:c>
      <x:c r="I30" s="46" t="n">
        <x:f>VLOOKUP(C30,'候选材料'!$A$4:$K$40,8,FALSE)</x:f>
        <x:v>300</x:v>
      </x:c>
      <x:c r="J30" s="46" t="n">
        <x:f>VLOOKUP(C30,'候选材料'!$A$4:$K$40,9,FALSE)</x:f>
        <x:v>80</x:v>
      </x:c>
      <x:c r="K30" s="46" t="n">
        <x:f>VLOOKUP(C30,'候选材料'!$A$4:$K$40,10,FALSE)</x:f>
        <x:v>0</x:v>
      </x:c>
      <x:c r="L30" s="46" t="n">
        <x:f>VLOOKUP(C30,'候选材料'!$A$4:$K$40,11,FALSE)</x:f>
        <x:v>0</x:v>
      </x:c>
      <x:c r="M30" s="46" t="n">
        <x:f>D30*I30</x:f>
        <x:v>600</x:v>
      </x:c>
      <x:c r="N30" s="46" t="n">
        <x:f>D30*J30</x:f>
        <x:v>160</x:v>
      </x:c>
    </x:row>
    <x:row r="31">
      <x:c r="A31" s="54" t="str">
        <x:v>S07</x:v>
      </x:c>
      <x:c r="B31" s="54" t="n">
        <x:v>0</x:v>
      </x:c>
      <x:c r="C31" s="54" t="str">
        <x:v>J-灵-W</x:v>
      </x:c>
      <x:c r="D31" s="54" t="n">
        <x:v>1</x:v>
      </x:c>
      <x:c r="E31" s="46" t="str">
        <x:f>VLOOKUP(C31,'候选材料'!$A$4:$K$40,3,FALSE)</x:f>
        <x:v>君</x:v>
      </x:c>
      <x:c r="F31" s="46" t="str">
        <x:f>VLOOKUP(C31,'候选材料'!$A$4:$K$40,4,FALSE)</x:f>
      </x:c>
      <x:c r="G31" s="46" t="str">
        <x:f>VLOOKUP(C31,'候选材料'!$A$4:$K$40,5,FALSE)</x:f>
      </x:c>
      <x:c r="H31" s="46" t="n">
        <x:f>VLOOKUP(C31,'候选材料'!$A$4:$K$40,7,FALSE)</x:f>
        <x:v>2</x:v>
      </x:c>
      <x:c r="I31" s="46" t="n">
        <x:f>VLOOKUP(C31,'候选材料'!$A$4:$K$40,8,FALSE)</x:f>
        <x:v>180</x:v>
      </x:c>
      <x:c r="J31" s="46" t="n">
        <x:f>VLOOKUP(C31,'候选材料'!$A$4:$K$40,9,FALSE)</x:f>
        <x:v>105</x:v>
      </x:c>
      <x:c r="K31" s="46" t="n">
        <x:f>VLOOKUP(C31,'候选材料'!$A$4:$K$40,10,FALSE)</x:f>
        <x:v>1250</x:v>
      </x:c>
      <x:c r="L31" s="46" t="n">
        <x:f>VLOOKUP(C31,'候选材料'!$A$4:$K$40,11,FALSE)</x:f>
        <x:v>0</x:v>
      </x:c>
      <x:c r="M31" s="46" t="n">
        <x:f>D31*I31</x:f>
        <x:v>180</x:v>
      </x:c>
      <x:c r="N31" s="46" t="n">
        <x:f>D31*J31</x:f>
        <x:v>105</x:v>
      </x:c>
    </x:row>
    <x:row r="32">
      <x:c r="A32" s="54" t="str">
        <x:v>S07</x:v>
      </x:c>
      <x:c r="B32" s="54" t="n">
        <x:v>0</x:v>
      </x:c>
      <x:c r="C32" s="54" t="str">
        <x:v>H-灵</x:v>
      </x:c>
      <x:c r="D32" s="54" t="n">
        <x:v>1</x:v>
      </x:c>
      <x:c r="E32" s="46" t="str">
        <x:f>VLOOKUP(C32,'候选材料'!$A$4:$K$40,3,FALSE)</x:f>
        <x:v>丹头</x:v>
      </x:c>
      <x:c r="F32" s="46" t="str">
        <x:f>VLOOKUP(C32,'候选材料'!$A$4:$K$40,4,FALSE)</x:f>
      </x:c>
      <x:c r="G32" s="46" t="str">
        <x:f>VLOOKUP(C32,'候选材料'!$A$4:$K$40,5,FALSE)</x:f>
      </x:c>
      <x:c r="H32" s="46" t="n">
        <x:f>VLOOKUP(C32,'候选材料'!$A$4:$K$40,7,FALSE)</x:f>
        <x:v>0</x:v>
      </x:c>
      <x:c r="I32" s="46" t="n">
        <x:f>VLOOKUP(C32,'候选材料'!$A$4:$K$40,8,FALSE)</x:f>
        <x:v>0</x:v>
      </x:c>
      <x:c r="J32" s="46" t="n">
        <x:f>VLOOKUP(C32,'候选材料'!$A$4:$K$40,9,FALSE)</x:f>
        <x:v>0</x:v>
      </x:c>
      <x:c r="K32" s="46" t="n">
        <x:f>VLOOKUP(C32,'候选材料'!$A$4:$K$40,10,FALSE)</x:f>
        <x:v>0</x:v>
      </x:c>
      <x:c r="L32" s="46" t="n">
        <x:f>VLOOKUP(C32,'候选材料'!$A$4:$K$40,11,FALSE)</x:f>
        <x:v>8</x:v>
      </x:c>
      <x:c r="M32" s="46" t="n">
        <x:f>D32*I32</x:f>
        <x:v>0</x:v>
      </x:c>
      <x:c r="N32" s="46" t="n">
        <x:f>D32*J32</x:f>
        <x:v>0</x:v>
      </x:c>
    </x:row>
    <x:row r="33">
      <x:c r="A33" s="54" t="str">
        <x:v>S07</x:v>
      </x:c>
      <x:c r="B33" s="54" t="n">
        <x:v>1</x:v>
      </x:c>
      <x:c r="C33" s="54" t="str">
        <x:v>E-SUAN-CN1</x:v>
      </x:c>
      <x:c r="D33" s="54" t="n">
        <x:v>4</x:v>
      </x:c>
      <x:c r="E33" s="46" t="str">
        <x:f>VLOOKUP(C33,'候选材料'!$A$4:$K$40,3,FALSE)</x:f>
        <x:v>使</x:v>
      </x:c>
      <x:c r="F33" s="46" t="str">
        <x:f>VLOOKUP(C33,'候选材料'!$A$4:$K$40,4,FALSE)</x:f>
      </x:c>
      <x:c r="G33" s="46" t="str">
        <x:f>VLOOKUP(C33,'候选材料'!$A$4:$K$40,5,FALSE)</x:f>
        <x:v>酸</x:v>
      </x:c>
      <x:c r="H33" s="46" t="n">
        <x:f>VLOOKUP(C33,'候选材料'!$A$4:$K$40,7,FALSE)</x:f>
        <x:v>-1</x:v>
      </x:c>
      <x:c r="I33" s="46" t="n">
        <x:f>VLOOKUP(C33,'候选材料'!$A$4:$K$40,8,FALSE)</x:f>
        <x:v>150</x:v>
      </x:c>
      <x:c r="J33" s="46" t="n">
        <x:f>VLOOKUP(C33,'候选材料'!$A$4:$K$40,9,FALSE)</x:f>
        <x:v>24</x:v>
      </x:c>
      <x:c r="K33" s="46" t="n">
        <x:f>VLOOKUP(C33,'候选材料'!$A$4:$K$40,10,FALSE)</x:f>
        <x:v>0</x:v>
      </x:c>
      <x:c r="L33" s="46" t="n">
        <x:f>VLOOKUP(C33,'候选材料'!$A$4:$K$40,11,FALSE)</x:f>
        <x:v>0</x:v>
      </x:c>
      <x:c r="M33" s="46" t="n">
        <x:f>D33*I33</x:f>
        <x:v>600</x:v>
      </x:c>
      <x:c r="N33" s="46" t="n">
        <x:f>D33*J33</x:f>
        <x:v>96</x:v>
      </x:c>
    </x:row>
    <x:row r="34">
      <x:c r="A34" s="54" t="str">
        <x:v>S07</x:v>
      </x:c>
      <x:c r="B34" s="54" t="n">
        <x:v>2</x:v>
      </x:c>
      <x:c r="C34" s="54" t="str">
        <x:v>M-TU-C1</x:v>
      </x:c>
      <x:c r="D34" s="54" t="n">
        <x:v>4</x:v>
      </x:c>
      <x:c r="E34" s="46" t="str">
        <x:f>VLOOKUP(C34,'候选材料'!$A$4:$K$40,3,FALSE)</x:f>
        <x:v>臣</x:v>
      </x:c>
      <x:c r="F34" s="46" t="str">
        <x:f>VLOOKUP(C34,'候选材料'!$A$4:$K$40,4,FALSE)</x:f>
        <x:v>土</x:v>
      </x:c>
      <x:c r="G34" s="46" t="str">
        <x:f>VLOOKUP(C34,'候选材料'!$A$4:$K$40,5,FALSE)</x:f>
      </x:c>
      <x:c r="H34" s="46" t="n">
        <x:f>VLOOKUP(C34,'候选材料'!$A$4:$K$40,7,FALSE)</x:f>
        <x:v>1</x:v>
      </x:c>
      <x:c r="I34" s="46" t="n">
        <x:f>VLOOKUP(C34,'候选材料'!$A$4:$K$40,8,FALSE)</x:f>
        <x:v>150</x:v>
      </x:c>
      <x:c r="J34" s="46" t="n">
        <x:f>VLOOKUP(C34,'候选材料'!$A$4:$K$40,9,FALSE)</x:f>
        <x:v>24</x:v>
      </x:c>
      <x:c r="K34" s="46" t="n">
        <x:f>VLOOKUP(C34,'候选材料'!$A$4:$K$40,10,FALSE)</x:f>
        <x:v>0</x:v>
      </x:c>
      <x:c r="L34" s="46" t="n">
        <x:f>VLOOKUP(C34,'候选材料'!$A$4:$K$40,11,FALSE)</x:f>
        <x:v>0</x:v>
      </x:c>
      <x:c r="M34" s="46" t="n">
        <x:f>D34*I34</x:f>
        <x:v>600</x:v>
      </x:c>
      <x:c r="N34" s="46" t="n">
        <x:f>D34*J34</x:f>
        <x:v>96</x:v>
      </x:c>
    </x:row>
    <x:row r="35">
      <x:c r="A35" s="54" t="str">
        <x:v>S08</x:v>
      </x:c>
      <x:c r="B35" s="54" t="n">
        <x:v>0</x:v>
      </x:c>
      <x:c r="C35" s="54" t="str">
        <x:v>J-灵-W</x:v>
      </x:c>
      <x:c r="D35" s="54" t="n">
        <x:v>1</x:v>
      </x:c>
      <x:c r="E35" s="46" t="str">
        <x:f>VLOOKUP(C35,'候选材料'!$A$4:$K$40,3,FALSE)</x:f>
        <x:v>君</x:v>
      </x:c>
      <x:c r="F35" s="46" t="str">
        <x:f>VLOOKUP(C35,'候选材料'!$A$4:$K$40,4,FALSE)</x:f>
      </x:c>
      <x:c r="G35" s="46" t="str">
        <x:f>VLOOKUP(C35,'候选材料'!$A$4:$K$40,5,FALSE)</x:f>
      </x:c>
      <x:c r="H35" s="46" t="n">
        <x:f>VLOOKUP(C35,'候选材料'!$A$4:$K$40,7,FALSE)</x:f>
        <x:v>2</x:v>
      </x:c>
      <x:c r="I35" s="46" t="n">
        <x:f>VLOOKUP(C35,'候选材料'!$A$4:$K$40,8,FALSE)</x:f>
        <x:v>180</x:v>
      </x:c>
      <x:c r="J35" s="46" t="n">
        <x:f>VLOOKUP(C35,'候选材料'!$A$4:$K$40,9,FALSE)</x:f>
        <x:v>105</x:v>
      </x:c>
      <x:c r="K35" s="46" t="n">
        <x:f>VLOOKUP(C35,'候选材料'!$A$4:$K$40,10,FALSE)</x:f>
        <x:v>1250</x:v>
      </x:c>
      <x:c r="L35" s="46" t="n">
        <x:f>VLOOKUP(C35,'候选材料'!$A$4:$K$40,11,FALSE)</x:f>
        <x:v>0</x:v>
      </x:c>
      <x:c r="M35" s="46" t="n">
        <x:f>D35*I35</x:f>
        <x:v>180</x:v>
      </x:c>
      <x:c r="N35" s="46" t="n">
        <x:f>D35*J35</x:f>
        <x:v>105</x:v>
      </x:c>
    </x:row>
    <x:row r="36">
      <x:c r="A36" s="54" t="str">
        <x:v>S08</x:v>
      </x:c>
      <x:c r="B36" s="54" t="n">
        <x:v>0</x:v>
      </x:c>
      <x:c r="C36" s="54" t="str">
        <x:v>H-灵</x:v>
      </x:c>
      <x:c r="D36" s="54" t="n">
        <x:v>1</x:v>
      </x:c>
      <x:c r="E36" s="46" t="str">
        <x:f>VLOOKUP(C36,'候选材料'!$A$4:$K$40,3,FALSE)</x:f>
        <x:v>丹头</x:v>
      </x:c>
      <x:c r="F36" s="46" t="str">
        <x:f>VLOOKUP(C36,'候选材料'!$A$4:$K$40,4,FALSE)</x:f>
      </x:c>
      <x:c r="G36" s="46" t="str">
        <x:f>VLOOKUP(C36,'候选材料'!$A$4:$K$40,5,FALSE)</x:f>
      </x:c>
      <x:c r="H36" s="46" t="n">
        <x:f>VLOOKUP(C36,'候选材料'!$A$4:$K$40,7,FALSE)</x:f>
        <x:v>0</x:v>
      </x:c>
      <x:c r="I36" s="46" t="n">
        <x:f>VLOOKUP(C36,'候选材料'!$A$4:$K$40,8,FALSE)</x:f>
        <x:v>0</x:v>
      </x:c>
      <x:c r="J36" s="46" t="n">
        <x:f>VLOOKUP(C36,'候选材料'!$A$4:$K$40,9,FALSE)</x:f>
        <x:v>0</x:v>
      </x:c>
      <x:c r="K36" s="46" t="n">
        <x:f>VLOOKUP(C36,'候选材料'!$A$4:$K$40,10,FALSE)</x:f>
        <x:v>0</x:v>
      </x:c>
      <x:c r="L36" s="46" t="n">
        <x:f>VLOOKUP(C36,'候选材料'!$A$4:$K$40,11,FALSE)</x:f>
        <x:v>8</x:v>
      </x:c>
      <x:c r="M36" s="46" t="n">
        <x:f>D36*I36</x:f>
        <x:v>0</x:v>
      </x:c>
      <x:c r="N36" s="46" t="n">
        <x:f>D36*J36</x:f>
        <x:v>0</x:v>
      </x:c>
    </x:row>
    <x:row r="37">
      <x:c r="A37" s="54" t="str">
        <x:v>S08</x:v>
      </x:c>
      <x:c r="B37" s="54" t="n">
        <x:v>1</x:v>
      </x:c>
      <x:c r="C37" s="54" t="str">
        <x:v>M-JIN-H2</x:v>
      </x:c>
      <x:c r="D37" s="54" t="n">
        <x:v>2</x:v>
      </x:c>
      <x:c r="E37" s="46" t="str">
        <x:f>VLOOKUP(C37,'候选材料'!$A$4:$K$40,3,FALSE)</x:f>
        <x:v>臣</x:v>
      </x:c>
      <x:c r="F37" s="46" t="str">
        <x:f>VLOOKUP(C37,'候选材料'!$A$4:$K$40,4,FALSE)</x:f>
        <x:v>金</x:v>
      </x:c>
      <x:c r="G37" s="46" t="str">
        <x:f>VLOOKUP(C37,'候选材料'!$A$4:$K$40,5,FALSE)</x:f>
      </x:c>
      <x:c r="H37" s="46" t="n">
        <x:f>VLOOKUP(C37,'候选材料'!$A$4:$K$40,7,FALSE)</x:f>
        <x:v>2</x:v>
      </x:c>
      <x:c r="I37" s="46" t="n">
        <x:f>VLOOKUP(C37,'候选材料'!$A$4:$K$40,8,FALSE)</x:f>
        <x:v>300</x:v>
      </x:c>
      <x:c r="J37" s="46" t="n">
        <x:f>VLOOKUP(C37,'候选材料'!$A$4:$K$40,9,FALSE)</x:f>
        <x:v>80</x:v>
      </x:c>
      <x:c r="K37" s="46" t="n">
        <x:f>VLOOKUP(C37,'候选材料'!$A$4:$K$40,10,FALSE)</x:f>
        <x:v>0</x:v>
      </x:c>
      <x:c r="L37" s="46" t="n">
        <x:f>VLOOKUP(C37,'候选材料'!$A$4:$K$40,11,FALSE)</x:f>
        <x:v>0</x:v>
      </x:c>
      <x:c r="M37" s="46" t="n">
        <x:f>D37*I37</x:f>
        <x:v>600</x:v>
      </x:c>
      <x:c r="N37" s="46" t="n">
        <x:f>D37*J37</x:f>
        <x:v>160</x:v>
      </x:c>
    </x:row>
    <x:row r="38">
      <x:c r="A38" s="54" t="str">
        <x:v>S08</x:v>
      </x:c>
      <x:c r="B38" s="54" t="n">
        <x:v>2</x:v>
      </x:c>
      <x:c r="C38" s="54" t="str">
        <x:v>E-KU-HN2B</x:v>
      </x:c>
      <x:c r="D38" s="54" t="n">
        <x:v>2</x:v>
      </x:c>
      <x:c r="E38" s="46" t="str">
        <x:f>VLOOKUP(C38,'候选材料'!$A$4:$K$40,3,FALSE)</x:f>
        <x:v>使</x:v>
      </x:c>
      <x:c r="F38" s="46" t="str">
        <x:f>VLOOKUP(C38,'候选材料'!$A$4:$K$40,4,FALSE)</x:f>
      </x:c>
      <x:c r="G38" s="46" t="str">
        <x:f>VLOOKUP(C38,'候选材料'!$A$4:$K$40,5,FALSE)</x:f>
        <x:v>苦</x:v>
      </x:c>
      <x:c r="H38" s="46" t="n">
        <x:f>VLOOKUP(C38,'候选材料'!$A$4:$K$40,7,FALSE)</x:f>
        <x:v>-2</x:v>
      </x:c>
      <x:c r="I38" s="46" t="n">
        <x:f>VLOOKUP(C38,'候选材料'!$A$4:$K$40,8,FALSE)</x:f>
        <x:v>300</x:v>
      </x:c>
      <x:c r="J38" s="46" t="n">
        <x:f>VLOOKUP(C38,'候选材料'!$A$4:$K$40,9,FALSE)</x:f>
        <x:v>80</x:v>
      </x:c>
      <x:c r="K38" s="46" t="n">
        <x:f>VLOOKUP(C38,'候选材料'!$A$4:$K$40,10,FALSE)</x:f>
        <x:v>0</x:v>
      </x:c>
      <x:c r="L38" s="46" t="n">
        <x:f>VLOOKUP(C38,'候选材料'!$A$4:$K$40,11,FALSE)</x:f>
        <x:v>0</x:v>
      </x:c>
      <x:c r="M38" s="46" t="n">
        <x:f>D38*I38</x:f>
        <x:v>600</x:v>
      </x:c>
      <x:c r="N38" s="46" t="n">
        <x:f>D38*J38</x:f>
        <x:v>160</x:v>
      </x:c>
    </x:row>
    <x:row r="39">
      <x:c r="A39" s="54" t="str">
        <x:v>S09</x:v>
      </x:c>
      <x:c r="B39" s="54" t="n">
        <x:v>0</x:v>
      </x:c>
      <x:c r="C39" s="54" t="str">
        <x:v>J-玄-P</x:v>
      </x:c>
      <x:c r="D39" s="54" t="n">
        <x:v>1</x:v>
      </x:c>
      <x:c r="E39" s="46" t="str">
        <x:f>VLOOKUP(C39,'候选材料'!$A$4:$K$40,3,FALSE)</x:f>
        <x:v>君</x:v>
      </x:c>
      <x:c r="F39" s="46" t="str">
        <x:f>VLOOKUP(C39,'候选材料'!$A$4:$K$40,4,FALSE)</x:f>
      </x:c>
      <x:c r="G39" s="46" t="str">
        <x:f>VLOOKUP(C39,'候选材料'!$A$4:$K$40,5,FALSE)</x:f>
      </x:c>
      <x:c r="H39" s="46" t="n">
        <x:f>VLOOKUP(C39,'候选材料'!$A$4:$K$40,7,FALSE)</x:f>
        <x:v>0</x:v>
      </x:c>
      <x:c r="I39" s="46" t="n">
        <x:f>VLOOKUP(C39,'候选材料'!$A$4:$K$40,8,FALSE)</x:f>
        <x:v>240</x:v>
      </x:c>
      <x:c r="J39" s="46" t="n">
        <x:f>VLOOKUP(C39,'候选材料'!$A$4:$K$40,9,FALSE)</x:f>
        <x:v>140</x:v>
      </x:c>
      <x:c r="K39" s="46" t="n">
        <x:f>VLOOKUP(C39,'候选材料'!$A$4:$K$40,10,FALSE)</x:f>
        <x:v>1550</x:v>
      </x:c>
      <x:c r="L39" s="46" t="n">
        <x:f>VLOOKUP(C39,'候选材料'!$A$4:$K$40,11,FALSE)</x:f>
        <x:v>0</x:v>
      </x:c>
      <x:c r="M39" s="46" t="n">
        <x:f>D39*I39</x:f>
        <x:v>240</x:v>
      </x:c>
      <x:c r="N39" s="46" t="n">
        <x:f>D39*J39</x:f>
        <x:v>140</x:v>
      </x:c>
    </x:row>
    <x:row r="40">
      <x:c r="A40" s="54" t="str">
        <x:v>S09</x:v>
      </x:c>
      <x:c r="B40" s="54" t="n">
        <x:v>0</x:v>
      </x:c>
      <x:c r="C40" s="54" t="str">
        <x:v>H-玄</x:v>
      </x:c>
      <x:c r="D40" s="54" t="n">
        <x:v>1</x:v>
      </x:c>
      <x:c r="E40" s="46" t="str">
        <x:f>VLOOKUP(C40,'候选材料'!$A$4:$K$40,3,FALSE)</x:f>
        <x:v>丹头</x:v>
      </x:c>
      <x:c r="F40" s="46" t="str">
        <x:f>VLOOKUP(C40,'候选材料'!$A$4:$K$40,4,FALSE)</x:f>
      </x:c>
      <x:c r="G40" s="46" t="str">
        <x:f>VLOOKUP(C40,'候选材料'!$A$4:$K$40,5,FALSE)</x:f>
      </x:c>
      <x:c r="H40" s="46" t="n">
        <x:f>VLOOKUP(C40,'候选材料'!$A$4:$K$40,7,FALSE)</x:f>
        <x:v>0</x:v>
      </x:c>
      <x:c r="I40" s="46" t="n">
        <x:f>VLOOKUP(C40,'候选材料'!$A$4:$K$40,8,FALSE)</x:f>
        <x:v>0</x:v>
      </x:c>
      <x:c r="J40" s="46" t="n">
        <x:f>VLOOKUP(C40,'候选材料'!$A$4:$K$40,9,FALSE)</x:f>
        <x:v>0</x:v>
      </x:c>
      <x:c r="K40" s="46" t="n">
        <x:f>VLOOKUP(C40,'候选材料'!$A$4:$K$40,10,FALSE)</x:f>
        <x:v>0</x:v>
      </x:c>
      <x:c r="L40" s="46" t="n">
        <x:f>VLOOKUP(C40,'候选材料'!$A$4:$K$40,11,FALSE)</x:f>
        <x:v>9</x:v>
      </x:c>
      <x:c r="M40" s="46" t="n">
        <x:f>D40*I40</x:f>
        <x:v>0</x:v>
      </x:c>
      <x:c r="N40" s="46" t="n">
        <x:f>D40*J40</x:f>
        <x:v>0</x:v>
      </x:c>
    </x:row>
    <x:row r="41">
      <x:c r="A41" s="54" t="str">
        <x:v>S09</x:v>
      </x:c>
      <x:c r="B41" s="54" t="n">
        <x:v>1</x:v>
      </x:c>
      <x:c r="C41" s="54" t="str">
        <x:v>M-TU-C1</x:v>
      </x:c>
      <x:c r="D41" s="54" t="n">
        <x:v>4</x:v>
      </x:c>
      <x:c r="E41" s="46" t="str">
        <x:f>VLOOKUP(C41,'候选材料'!$A$4:$K$40,3,FALSE)</x:f>
        <x:v>臣</x:v>
      </x:c>
      <x:c r="F41" s="46" t="str">
        <x:f>VLOOKUP(C41,'候选材料'!$A$4:$K$40,4,FALSE)</x:f>
        <x:v>土</x:v>
      </x:c>
      <x:c r="G41" s="46" t="str">
        <x:f>VLOOKUP(C41,'候选材料'!$A$4:$K$40,5,FALSE)</x:f>
      </x:c>
      <x:c r="H41" s="46" t="n">
        <x:f>VLOOKUP(C41,'候选材料'!$A$4:$K$40,7,FALSE)</x:f>
        <x:v>1</x:v>
      </x:c>
      <x:c r="I41" s="46" t="n">
        <x:f>VLOOKUP(C41,'候选材料'!$A$4:$K$40,8,FALSE)</x:f>
        <x:v>150</x:v>
      </x:c>
      <x:c r="J41" s="46" t="n">
        <x:f>VLOOKUP(C41,'候选材料'!$A$4:$K$40,9,FALSE)</x:f>
        <x:v>24</x:v>
      </x:c>
      <x:c r="K41" s="46" t="n">
        <x:f>VLOOKUP(C41,'候选材料'!$A$4:$K$40,10,FALSE)</x:f>
        <x:v>0</x:v>
      </x:c>
      <x:c r="L41" s="46" t="n">
        <x:f>VLOOKUP(C41,'候选材料'!$A$4:$K$40,11,FALSE)</x:f>
        <x:v>0</x:v>
      </x:c>
      <x:c r="M41" s="46" t="n">
        <x:f>D41*I41</x:f>
        <x:v>600</x:v>
      </x:c>
      <x:c r="N41" s="46" t="n">
        <x:f>D41*J41</x:f>
        <x:v>96</x:v>
      </x:c>
    </x:row>
    <x:row r="42">
      <x:c r="A42" s="54" t="str">
        <x:v>S09</x:v>
      </x:c>
      <x:c r="B42" s="54" t="n">
        <x:v>2</x:v>
      </x:c>
      <x:c r="C42" s="54" t="str">
        <x:v>E-XIN-CN1</x:v>
      </x:c>
      <x:c r="D42" s="54" t="n">
        <x:v>4</x:v>
      </x:c>
      <x:c r="E42" s="46" t="str">
        <x:f>VLOOKUP(C42,'候选材料'!$A$4:$K$40,3,FALSE)</x:f>
        <x:v>使</x:v>
      </x:c>
      <x:c r="F42" s="46" t="str">
        <x:f>VLOOKUP(C42,'候选材料'!$A$4:$K$40,4,FALSE)</x:f>
      </x:c>
      <x:c r="G42" s="46" t="str">
        <x:f>VLOOKUP(C42,'候选材料'!$A$4:$K$40,5,FALSE)</x:f>
        <x:v>辛</x:v>
      </x:c>
      <x:c r="H42" s="46" t="n">
        <x:f>VLOOKUP(C42,'候选材料'!$A$4:$K$40,7,FALSE)</x:f>
        <x:v>-1</x:v>
      </x:c>
      <x:c r="I42" s="46" t="n">
        <x:f>VLOOKUP(C42,'候选材料'!$A$4:$K$40,8,FALSE)</x:f>
        <x:v>150</x:v>
      </x:c>
      <x:c r="J42" s="46" t="n">
        <x:f>VLOOKUP(C42,'候选材料'!$A$4:$K$40,9,FALSE)</x:f>
        <x:v>24</x:v>
      </x:c>
      <x:c r="K42" s="46" t="n">
        <x:f>VLOOKUP(C42,'候选材料'!$A$4:$K$40,10,FALSE)</x:f>
        <x:v>0</x:v>
      </x:c>
      <x:c r="L42" s="46" t="n">
        <x:f>VLOOKUP(C42,'候选材料'!$A$4:$K$40,11,FALSE)</x:f>
        <x:v>0</x:v>
      </x:c>
      <x:c r="M42" s="46" t="n">
        <x:f>D42*I42</x:f>
        <x:v>600</x:v>
      </x:c>
      <x:c r="N42" s="46" t="n">
        <x:f>D42*J42</x:f>
        <x:v>96</x:v>
      </x:c>
    </x:row>
    <x:row r="43">
      <x:c r="A43" s="54" t="str">
        <x:v>S09</x:v>
      </x:c>
      <x:c r="B43" s="54" t="n">
        <x:v>3</x:v>
      </x:c>
      <x:c r="C43" s="54" t="str">
        <x:v>A-C0</x:v>
      </x:c>
      <x:c r="D43" s="54" t="n">
        <x:v>1</x:v>
      </x:c>
      <x:c r="E43" s="46" t="str">
        <x:f>VLOOKUP(C43,'候选材料'!$A$4:$K$40,3,FALSE)</x:f>
        <x:v>佐</x:v>
      </x:c>
      <x:c r="F43" s="46" t="str">
        <x:f>VLOOKUP(C43,'候选材料'!$A$4:$K$40,4,FALSE)</x:f>
      </x:c>
      <x:c r="G43" s="46" t="str">
        <x:f>VLOOKUP(C43,'候选材料'!$A$4:$K$40,5,FALSE)</x:f>
      </x:c>
      <x:c r="H43" s="46" t="n">
        <x:f>VLOOKUP(C43,'候选材料'!$A$4:$K$40,7,FALSE)</x:f>
        <x:v>0</x:v>
      </x:c>
      <x:c r="I43" s="46" t="n">
        <x:f>VLOOKUP(C43,'候选材料'!$A$4:$K$40,8,FALSE)</x:f>
        <x:v>150</x:v>
      </x:c>
      <x:c r="J43" s="46" t="n">
        <x:f>VLOOKUP(C43,'候选材料'!$A$4:$K$40,9,FALSE)</x:f>
        <x:v>24</x:v>
      </x:c>
      <x:c r="K43" s="46" t="n">
        <x:f>VLOOKUP(C43,'候选材料'!$A$4:$K$40,10,FALSE)</x:f>
        <x:v>0</x:v>
      </x:c>
      <x:c r="L43" s="46" t="n">
        <x:f>VLOOKUP(C43,'候选材料'!$A$4:$K$40,11,FALSE)</x:f>
        <x:v>0</x:v>
      </x:c>
      <x:c r="M43" s="46" t="n">
        <x:f>D43*I43</x:f>
        <x:v>150</x:v>
      </x:c>
      <x:c r="N43" s="46" t="n">
        <x:f>D43*J43</x:f>
        <x:v>24</x:v>
      </x:c>
    </x:row>
    <x:row r="44">
      <x:c r="A44" s="54" t="str">
        <x:v>S10</x:v>
      </x:c>
      <x:c r="B44" s="54" t="n">
        <x:v>0</x:v>
      </x:c>
      <x:c r="C44" s="54" t="str">
        <x:v>J-玄-H</x:v>
      </x:c>
      <x:c r="D44" s="54" t="n">
        <x:v>1</x:v>
      </x:c>
      <x:c r="E44" s="46" t="str">
        <x:f>VLOOKUP(C44,'候选材料'!$A$4:$K$40,3,FALSE)</x:f>
        <x:v>君</x:v>
      </x:c>
      <x:c r="F44" s="46" t="str">
        <x:f>VLOOKUP(C44,'候选材料'!$A$4:$K$40,4,FALSE)</x:f>
      </x:c>
      <x:c r="G44" s="46" t="str">
        <x:f>VLOOKUP(C44,'候选材料'!$A$4:$K$40,5,FALSE)</x:f>
      </x:c>
      <x:c r="H44" s="46" t="n">
        <x:f>VLOOKUP(C44,'候选材料'!$A$4:$K$40,7,FALSE)</x:f>
        <x:v>-2</x:v>
      </x:c>
      <x:c r="I44" s="46" t="n">
        <x:f>VLOOKUP(C44,'候选材料'!$A$4:$K$40,8,FALSE)</x:f>
        <x:v>240</x:v>
      </x:c>
      <x:c r="J44" s="46" t="n">
        <x:f>VLOOKUP(C44,'候选材料'!$A$4:$K$40,9,FALSE)</x:f>
        <x:v>140</x:v>
      </x:c>
      <x:c r="K44" s="46" t="n">
        <x:f>VLOOKUP(C44,'候选材料'!$A$4:$K$40,10,FALSE)</x:f>
        <x:v>1550</x:v>
      </x:c>
      <x:c r="L44" s="46" t="n">
        <x:f>VLOOKUP(C44,'候选材料'!$A$4:$K$40,11,FALSE)</x:f>
        <x:v>0</x:v>
      </x:c>
      <x:c r="M44" s="46" t="n">
        <x:f>D44*I44</x:f>
        <x:v>240</x:v>
      </x:c>
      <x:c r="N44" s="46" t="n">
        <x:f>D44*J44</x:f>
        <x:v>140</x:v>
      </x:c>
    </x:row>
    <x:row r="45">
      <x:c r="A45" s="54" t="str">
        <x:v>S10</x:v>
      </x:c>
      <x:c r="B45" s="54" t="n">
        <x:v>0</x:v>
      </x:c>
      <x:c r="C45" s="54" t="str">
        <x:v>H-玄</x:v>
      </x:c>
      <x:c r="D45" s="54" t="n">
        <x:v>1</x:v>
      </x:c>
      <x:c r="E45" s="46" t="str">
        <x:f>VLOOKUP(C45,'候选材料'!$A$4:$K$40,3,FALSE)</x:f>
        <x:v>丹头</x:v>
      </x:c>
      <x:c r="F45" s="46" t="str">
        <x:f>VLOOKUP(C45,'候选材料'!$A$4:$K$40,4,FALSE)</x:f>
      </x:c>
      <x:c r="G45" s="46" t="str">
        <x:f>VLOOKUP(C45,'候选材料'!$A$4:$K$40,5,FALSE)</x:f>
      </x:c>
      <x:c r="H45" s="46" t="n">
        <x:f>VLOOKUP(C45,'候选材料'!$A$4:$K$40,7,FALSE)</x:f>
        <x:v>0</x:v>
      </x:c>
      <x:c r="I45" s="46" t="n">
        <x:f>VLOOKUP(C45,'候选材料'!$A$4:$K$40,8,FALSE)</x:f>
        <x:v>0</x:v>
      </x:c>
      <x:c r="J45" s="46" t="n">
        <x:f>VLOOKUP(C45,'候选材料'!$A$4:$K$40,9,FALSE)</x:f>
        <x:v>0</x:v>
      </x:c>
      <x:c r="K45" s="46" t="n">
        <x:f>VLOOKUP(C45,'候选材料'!$A$4:$K$40,10,FALSE)</x:f>
        <x:v>0</x:v>
      </x:c>
      <x:c r="L45" s="46" t="n">
        <x:f>VLOOKUP(C45,'候选材料'!$A$4:$K$40,11,FALSE)</x:f>
        <x:v>9</x:v>
      </x:c>
      <x:c r="M45" s="46" t="n">
        <x:f>D45*I45</x:f>
        <x:v>0</x:v>
      </x:c>
      <x:c r="N45" s="46" t="n">
        <x:f>D45*J45</x:f>
        <x:v>0</x:v>
      </x:c>
    </x:row>
    <x:row r="46">
      <x:c r="A46" s="54" t="str">
        <x:v>S10</x:v>
      </x:c>
      <x:c r="B46" s="54" t="n">
        <x:v>1</x:v>
      </x:c>
      <x:c r="C46" s="54" t="str">
        <x:v>M-JIN-H0</x:v>
      </x:c>
      <x:c r="D46" s="54" t="n">
        <x:v>3</x:v>
      </x:c>
      <x:c r="E46" s="46" t="str">
        <x:f>VLOOKUP(C46,'候选材料'!$A$4:$K$40,3,FALSE)</x:f>
        <x:v>臣</x:v>
      </x:c>
      <x:c r="F46" s="46" t="str">
        <x:f>VLOOKUP(C46,'候选材料'!$A$4:$K$40,4,FALSE)</x:f>
        <x:v>金</x:v>
      </x:c>
      <x:c r="G46" s="46" t="str">
        <x:f>VLOOKUP(C46,'候选材料'!$A$4:$K$40,5,FALSE)</x:f>
      </x:c>
      <x:c r="H46" s="46" t="n">
        <x:f>VLOOKUP(C46,'候选材料'!$A$4:$K$40,7,FALSE)</x:f>
        <x:v>0</x:v>
      </x:c>
      <x:c r="I46" s="46" t="n">
        <x:f>VLOOKUP(C46,'候选材料'!$A$4:$K$40,8,FALSE)</x:f>
        <x:v>300</x:v>
      </x:c>
      <x:c r="J46" s="46" t="n">
        <x:f>VLOOKUP(C46,'候选材料'!$A$4:$K$40,9,FALSE)</x:f>
        <x:v>80</x:v>
      </x:c>
      <x:c r="K46" s="46" t="n">
        <x:f>VLOOKUP(C46,'候选材料'!$A$4:$K$40,10,FALSE)</x:f>
        <x:v>0</x:v>
      </x:c>
      <x:c r="L46" s="46" t="n">
        <x:f>VLOOKUP(C46,'候选材料'!$A$4:$K$40,11,FALSE)</x:f>
        <x:v>0</x:v>
      </x:c>
      <x:c r="M46" s="46" t="n">
        <x:f>D46*I46</x:f>
        <x:v>900</x:v>
      </x:c>
      <x:c r="N46" s="46" t="n">
        <x:f>D46*J46</x:f>
        <x:v>240</x:v>
      </x:c>
    </x:row>
    <x:row r="47">
      <x:c r="A47" s="55" t="str">
        <x:v>S10</x:v>
      </x:c>
      <x:c r="B47" s="55" t="n">
        <x:v>2</x:v>
      </x:c>
      <x:c r="C47" s="55" t="str">
        <x:v>E-GAN-H0</x:v>
      </x:c>
      <x:c r="D47" s="55" t="n">
        <x:v>2</x:v>
      </x:c>
      <x:c r="E47" s="48" t="str">
        <x:f>VLOOKUP(C47,'候选材料'!$A$4:$K$40,3,FALSE)</x:f>
        <x:v>使</x:v>
      </x:c>
      <x:c r="F47" s="48" t="str">
        <x:f>VLOOKUP(C47,'候选材料'!$A$4:$K$40,4,FALSE)</x:f>
      </x:c>
      <x:c r="G47" s="48" t="str">
        <x:f>VLOOKUP(C47,'候选材料'!$A$4:$K$40,5,FALSE)</x:f>
        <x:v>甘</x:v>
      </x:c>
      <x:c r="H47" s="48" t="n">
        <x:f>VLOOKUP(C47,'候选材料'!$A$4:$K$40,7,FALSE)</x:f>
        <x:v>0</x:v>
      </x:c>
      <x:c r="I47" s="48" t="n">
        <x:f>VLOOKUP(C47,'候选材料'!$A$4:$K$40,8,FALSE)</x:f>
        <x:v>300</x:v>
      </x:c>
      <x:c r="J47" s="48" t="n">
        <x:f>VLOOKUP(C47,'候选材料'!$A$4:$K$40,9,FALSE)</x:f>
        <x:v>80</x:v>
      </x:c>
      <x:c r="K47" s="48" t="n">
        <x:f>VLOOKUP(C47,'候选材料'!$A$4:$K$40,10,FALSE)</x:f>
        <x:v>0</x:v>
      </x:c>
      <x:c r="L47" s="48" t="n">
        <x:f>VLOOKUP(C47,'候选材料'!$A$4:$K$40,11,FALSE)</x:f>
        <x:v>0</x:v>
      </x:c>
      <x:c r="M47" s="48" t="n">
        <x:f>D47*I47</x:f>
        <x:v>600</x:v>
      </x:c>
      <x:c r="N47" s="48" t="n">
        <x:f>D47*J47</x:f>
        <x:v>160</x:v>
      </x:c>
    </x:row>
  </x:sheetData>
  <x:mergeCells>
    <x:mergeCell ref="A1:N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4" hidden="0" customWidth="1"/>
  </x:cols>
  <x:sheetData>
    <x:row r="1" ht="28" customHeight="1">
      <x:c r="A1" s="41" t="str">
        <x:v>逐份投药、安全顺序与炉型覆盖</x:v>
      </x:c>
      <x:c r="B1" s="41" t="str">
        <x:v>逐份投药、安全顺序与炉型覆盖</x:v>
      </x:c>
      <x:c r="C1" s="41" t="str">
        <x:v>逐份投药、安全顺序与炉型覆盖</x:v>
      </x:c>
      <x:c r="D1" s="41" t="str">
        <x:v>逐份投药、安全顺序与炉型覆盖</x:v>
      </x:c>
      <x:c r="E1" s="41" t="str">
        <x:v>逐份投药、安全顺序与炉型覆盖</x:v>
      </x:c>
      <x:c r="F1" s="41" t="str">
        <x:v>逐份投药、安全顺序与炉型覆盖</x:v>
      </x:c>
      <x:c r="G1" s="41" t="str">
        <x:v>逐份投药、安全顺序与炉型覆盖</x:v>
      </x:c>
      <x:c r="H1" s="41" t="str">
        <x:v>逐份投药、安全顺序与炉型覆盖</x:v>
      </x:c>
      <x:c r="I1" s="41" t="str">
        <x:v>逐份投药、安全顺序与炉型覆盖</x:v>
      </x:c>
      <x:c r="J1" s="41" t="str">
        <x:v>逐份投药、安全顺序与炉型覆盖</x:v>
      </x:c>
      <x:c r="K1" s="41" t="str">
        <x:v>逐份投药、安全顺序与炉型覆盖</x:v>
      </x:c>
      <x:c r="L1" s="41" t="str">
        <x:v>逐份投药、安全顺序与炉型覆盖</x:v>
      </x:c>
      <x:c r="M1" s="41" t="str">
        <x:v>逐份投药、安全顺序与炉型覆盖</x:v>
      </x:c>
      <x:c r="N1" s="41" t="str">
        <x:v>逐份投药、安全顺序与炉型覆盖</x:v>
      </x:c>
      <x:c r="O1" s="41" t="str">
        <x:v>逐份投药、安全顺序与炉型覆盖</x:v>
      </x:c>
      <x:c r="P1" s="41" t="str">
        <x:v>逐份投药、安全顺序与炉型覆盖</x:v>
      </x:c>
      <x:c r="Q1" s="41" t="str">
        <x:v>逐份投药、安全顺序与炉型覆盖</x:v>
      </x:c>
      <x:c r="R1" s="41" t="str">
        <x:v>逐份投药、安全顺序与炉型覆盖</x:v>
      </x:c>
      <x:c r="S1" s="41" t="str">
        <x:v>逐份投药、安全顺序与炉型覆盖</x:v>
      </x:c>
      <x:c r="T1" s="41" t="str">
        <x:v>逐份投药、安全顺序与炉型覆盖</x:v>
      </x:c>
      <x:c r="U1" s="41" t="str">
        <x:v>逐份投药、安全顺序与炉型覆盖</x:v>
      </x:c>
      <x:c r="V1" s="41" t="str">
        <x:v>逐份投药、安全顺序与炉型覆盖</x:v>
      </x:c>
      <x:c r="W1" s="41" t="str">
        <x:v>逐份投药、安全顺序与炉型覆盖</x:v>
      </x:c>
      <x:c r="X1" s="41" t="str">
        <x:v>逐份投药、安全顺序与炉型覆盖</x:v>
      </x:c>
      <x:c r="Y1" s="41" t="str">
        <x:v>逐份投药、安全顺序与炉型覆盖</x:v>
      </x:c>
      <x:c r="Z1" s="41" t="str">
        <x:v>逐份投药、安全顺序与炉型覆盖</x:v>
      </x:c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43" t="str">
        <x:v>案例</x:v>
      </x:c>
      <x:c r="B3" s="43" t="str">
        <x:v>君材初值</x:v>
      </x:c>
      <x:c r="C3" s="43" t="str">
        <x:v>承寒</x:v>
      </x:c>
      <x:c r="D3" s="43" t="str">
        <x:v>承热</x:v>
      </x:c>
      <x:c r="E3" s="43" t="str">
        <x:v>目标</x:v>
      </x:c>
      <x:c r="F3" s="43" t="str">
        <x:v>第1份药性</x:v>
      </x:c>
      <x:c r="G3" s="43" t="str">
        <x:v>第2份药性</x:v>
      </x:c>
      <x:c r="H3" s="43" t="str">
        <x:v>第3份药性</x:v>
      </x:c>
      <x:c r="I3" s="43" t="str">
        <x:v>第4份药性</x:v>
      </x:c>
      <x:c r="J3" s="43" t="str">
        <x:v>第5份药性</x:v>
      </x:c>
      <x:c r="K3" s="43" t="str">
        <x:v>第6份药性</x:v>
      </x:c>
      <x:c r="L3" s="43" t="str">
        <x:v>第7份药性</x:v>
      </x:c>
      <x:c r="M3" s="43" t="str">
        <x:v>第8份药性</x:v>
      </x:c>
      <x:c r="N3" s="43" t="str">
        <x:v>第9份药性</x:v>
      </x:c>
      <x:c r="O3" s="43" t="str">
        <x:v>累计1</x:v>
      </x:c>
      <x:c r="P3" s="43" t="str">
        <x:v>累计2</x:v>
      </x:c>
      <x:c r="Q3" s="43" t="str">
        <x:v>累计3</x:v>
      </x:c>
      <x:c r="R3" s="43" t="str">
        <x:v>累计4</x:v>
      </x:c>
      <x:c r="S3" s="43" t="str">
        <x:v>累计5</x:v>
      </x:c>
      <x:c r="T3" s="43" t="str">
        <x:v>累计6</x:v>
      </x:c>
      <x:c r="U3" s="43" t="str">
        <x:v>累计7</x:v>
      </x:c>
      <x:c r="V3" s="43" t="str">
        <x:v>累计8</x:v>
      </x:c>
      <x:c r="W3" s="43" t="str">
        <x:v>累计9</x:v>
      </x:c>
      <x:c r="X3" s="43" t="str">
        <x:v>安全顺序</x:v>
      </x:c>
      <x:c r="Y3" s="43" t="str">
        <x:v>基础炉可过</x:v>
      </x:c>
      <x:c r="Z3" s="43" t="str">
        <x:v>说明</x:v>
      </x:c>
    </x:row>
    <x:row r="4">
      <x:c r="A4" s="53" t="str">
        <x:v>S01</x:v>
      </x:c>
      <x:c r="B4" s="44" t="n">
        <x:f>VLOOKUP(VLOOKUP(A4,'选样'!$A$4:$N$13,10,FALSE),'候选材料'!$A$4:$K$40,7,FALSE)</x:f>
        <x:v>-2</x:v>
      </x:c>
      <x:c r="C4" s="44" t="n">
        <x:f>VLOOKUP(VLOOKUP(A4,'选样'!$A$4:$N$13,12,FALSE),'候选参数'!$A$10:$H$15,5,FALSE)</x:f>
        <x:v>-2</x:v>
      </x:c>
      <x:c r="D4" s="44" t="n">
        <x:f>VLOOKUP(VLOOKUP(A4,'选样'!$A$4:$N$13,12,FALSE),'候选参数'!$A$10:$H$15,6,FALSE)</x:f>
        <x:v>2</x:v>
      </x:c>
      <x:c r="E4" s="44" t="n">
        <x:f>VLOOKUP(A4,'选样'!$A$4:$N$13,9,FALSE)</x:f>
        <x:v>-2</x:v>
      </x:c>
      <x:c r="F4" s="53" t="n">
        <x:v>0</x:v>
      </x:c>
      <x:c r="G4" s="53" t="n">
        <x:v>0</x:v>
      </x:c>
      <x:c r="H4" s="53" t="n">
        <x:v>0</x:v>
      </x:c>
      <x:c r="I4" s="53" t="n">
        <x:v>0</x:v>
      </x:c>
      <x:c r="J4" s="53" t="n">
        <x:v>0</x:v>
      </x:c>
      <x:c r="K4" s="53" t="n">
        <x:v>0</x:v>
      </x:c>
      <x:c r="L4" s="53" t="n">
        <x:v>0</x:v>
      </x:c>
      <x:c r="M4" s="53" t="n">
        <x:v>0</x:v>
      </x:c>
      <x:c r="N4" s="53" t="n">
        <x:v>0</x:v>
      </x:c>
      <x:c r="O4" s="44" t="n">
        <x:f>B4+F4</x:f>
        <x:v>-2</x:v>
      </x:c>
      <x:c r="P4" s="44" t="n">
        <x:f>O4+G4</x:f>
        <x:v>-2</x:v>
      </x:c>
      <x:c r="Q4" s="44" t="n">
        <x:f>P4+H4</x:f>
        <x:v>-2</x:v>
      </x:c>
      <x:c r="R4" s="44" t="n">
        <x:f>Q4+I4</x:f>
        <x:v>-2</x:v>
      </x:c>
      <x:c r="S4" s="44" t="n">
        <x:f>R4+J4</x:f>
        <x:v>-2</x:v>
      </x:c>
      <x:c r="T4" s="44" t="n">
        <x:f>S4+K4</x:f>
        <x:v>-2</x:v>
      </x:c>
      <x:c r="U4" s="44" t="n">
        <x:f>T4+L4</x:f>
        <x:v>-2</x:v>
      </x:c>
      <x:c r="V4" s="44" t="n">
        <x:f>U4+M4</x:f>
        <x:v>-2</x:v>
      </x:c>
      <x:c r="W4" s="44" t="n">
        <x:f>V4+N4</x:f>
        <x:v>-2</x:v>
      </x:c>
      <x:c r="X4" s="44" t="b">
        <x:f>AND(MIN(B4,O4:W4)&gt;=C4,MAX(B4,O4:W4)&lt;=D4,W4=E4)</x:f>
        <x:v>1</x:v>
      </x:c>
      <x:c r="Y4" s="44" t="b">
        <x:f>AND(MIN(B4,O4:W4)&gt;=-2,MAX(B4,O4:W4)&lt;=2,W4=E4)</x:f>
        <x:v>1</x:v>
      </x:c>
      <x:c r="Z4" s="44" t="str">
        <x:f>IF(X4,"通过","失败")</x:f>
        <x:v>通过</x:v>
      </x:c>
    </x:row>
    <x:row r="5">
      <x:c r="A5" s="54" t="str">
        <x:v>S02</x:v>
      </x:c>
      <x:c r="B5" s="46" t="n">
        <x:f>VLOOKUP(VLOOKUP(A5,'选样'!$A$4:$N$13,10,FALSE),'候选材料'!$A$4:$K$40,7,FALSE)</x:f>
        <x:v>-2</x:v>
      </x:c>
      <x:c r="C5" s="46" t="n">
        <x:f>VLOOKUP(VLOOKUP(A5,'选样'!$A$4:$N$13,12,FALSE),'候选参数'!$A$10:$H$15,5,FALSE)</x:f>
        <x:v>-2</x:v>
      </x:c>
      <x:c r="D5" s="46" t="n">
        <x:f>VLOOKUP(VLOOKUP(A5,'选样'!$A$4:$N$13,12,FALSE),'候选参数'!$A$10:$H$15,6,FALSE)</x:f>
        <x:v>2</x:v>
      </x:c>
      <x:c r="E5" s="46" t="n">
        <x:f>VLOOKUP(A5,'选样'!$A$4:$N$13,9,FALSE)</x:f>
        <x:v>-2</x:v>
      </x:c>
      <x:c r="F5" s="54" t="n">
        <x:v>1</x:v>
      </x:c>
      <x:c r="G5" s="54" t="n">
        <x:v>-1</x:v>
      </x:c>
      <x:c r="H5" s="54" t="n">
        <x:v>1</x:v>
      </x:c>
      <x:c r="I5" s="54" t="n">
        <x:v>-1</x:v>
      </x:c>
      <x:c r="J5" s="54" t="n">
        <x:v>1</x:v>
      </x:c>
      <x:c r="K5" s="54" t="n">
        <x:v>-1</x:v>
      </x:c>
      <x:c r="L5" s="54" t="n">
        <x:v>0</x:v>
      </x:c>
      <x:c r="M5" s="54" t="n">
        <x:v>0</x:v>
      </x:c>
      <x:c r="N5" s="54" t="n">
        <x:v>0</x:v>
      </x:c>
      <x:c r="O5" s="46" t="n">
        <x:f>B5+F5</x:f>
        <x:v>-1</x:v>
      </x:c>
      <x:c r="P5" s="46" t="n">
        <x:f>O5+G5</x:f>
        <x:v>-2</x:v>
      </x:c>
      <x:c r="Q5" s="46" t="n">
        <x:f>P5+H5</x:f>
        <x:v>-1</x:v>
      </x:c>
      <x:c r="R5" s="46" t="n">
        <x:f>Q5+I5</x:f>
        <x:v>-2</x:v>
      </x:c>
      <x:c r="S5" s="46" t="n">
        <x:f>R5+J5</x:f>
        <x:v>-1</x:v>
      </x:c>
      <x:c r="T5" s="46" t="n">
        <x:f>S5+K5</x:f>
        <x:v>-2</x:v>
      </x:c>
      <x:c r="U5" s="46" t="n">
        <x:f>T5+L5</x:f>
        <x:v>-2</x:v>
      </x:c>
      <x:c r="V5" s="46" t="n">
        <x:f>U5+M5</x:f>
        <x:v>-2</x:v>
      </x:c>
      <x:c r="W5" s="46" t="n">
        <x:f>V5+N5</x:f>
        <x:v>-2</x:v>
      </x:c>
      <x:c r="X5" s="46" t="b">
        <x:f>AND(MIN(B5,O5:W5)&gt;=C5,MAX(B5,O5:W5)&lt;=D5,W5=E5)</x:f>
        <x:v>1</x:v>
      </x:c>
      <x:c r="Y5" s="46" t="b">
        <x:f>AND(MIN(B5,O5:W5)&gt;=-2,MAX(B5,O5:W5)&lt;=2,W5=E5)</x:f>
        <x:v>1</x:v>
      </x:c>
      <x:c r="Z5" s="46" t="str">
        <x:f>IF(X5,"通过","失败")</x:f>
        <x:v>通过</x:v>
      </x:c>
    </x:row>
    <x:row r="6">
      <x:c r="A6" s="54" t="str">
        <x:v>S03</x:v>
      </x:c>
      <x:c r="B6" s="46" t="n">
        <x:f>VLOOKUP(VLOOKUP(A6,'选样'!$A$4:$N$13,10,FALSE),'候选材料'!$A$4:$K$40,7,FALSE)</x:f>
        <x:v>0</x:v>
      </x:c>
      <x:c r="C6" s="46" t="n">
        <x:f>VLOOKUP(VLOOKUP(A6,'选样'!$A$4:$N$13,12,FALSE),'候选参数'!$A$10:$H$15,5,FALSE)</x:f>
        <x:v>-2</x:v>
      </x:c>
      <x:c r="D6" s="46" t="n">
        <x:f>VLOOKUP(VLOOKUP(A6,'选样'!$A$4:$N$13,12,FALSE),'候选参数'!$A$10:$H$15,6,FALSE)</x:f>
        <x:v>2</x:v>
      </x:c>
      <x:c r="E6" s="46" t="n">
        <x:f>VLOOKUP(A6,'选样'!$A$4:$N$13,9,FALSE)</x:f>
        <x:v>-1</x:v>
      </x:c>
      <x:c r="F6" s="54" t="n">
        <x:v>2</x:v>
      </x:c>
      <x:c r="G6" s="54" t="n">
        <x:v>-2</x:v>
      </x:c>
      <x:c r="H6" s="54" t="n">
        <x:v>2</x:v>
      </x:c>
      <x:c r="I6" s="54" t="n">
        <x:v>-2</x:v>
      </x:c>
      <x:c r="J6" s="54" t="n">
        <x:v>-1</x:v>
      </x:c>
      <x:c r="K6" s="54" t="n">
        <x:v>0</x:v>
      </x:c>
      <x:c r="L6" s="54" t="n">
        <x:v>0</x:v>
      </x:c>
      <x:c r="M6" s="54" t="n">
        <x:v>0</x:v>
      </x:c>
      <x:c r="N6" s="54" t="n">
        <x:v>0</x:v>
      </x:c>
      <x:c r="O6" s="46" t="n">
        <x:f>B6+F6</x:f>
        <x:v>2</x:v>
      </x:c>
      <x:c r="P6" s="46" t="n">
        <x:f>O6+G6</x:f>
        <x:v>0</x:v>
      </x:c>
      <x:c r="Q6" s="46" t="n">
        <x:f>P6+H6</x:f>
        <x:v>2</x:v>
      </x:c>
      <x:c r="R6" s="46" t="n">
        <x:f>Q6+I6</x:f>
        <x:v>0</x:v>
      </x:c>
      <x:c r="S6" s="46" t="n">
        <x:f>R6+J6</x:f>
        <x:v>-1</x:v>
      </x:c>
      <x:c r="T6" s="46" t="n">
        <x:f>S6+K6</x:f>
        <x:v>-1</x:v>
      </x:c>
      <x:c r="U6" s="46" t="n">
        <x:f>T6+L6</x:f>
        <x:v>-1</x:v>
      </x:c>
      <x:c r="V6" s="46" t="n">
        <x:f>U6+M6</x:f>
        <x:v>-1</x:v>
      </x:c>
      <x:c r="W6" s="46" t="n">
        <x:f>V6+N6</x:f>
        <x:v>-1</x:v>
      </x:c>
      <x:c r="X6" s="46" t="b">
        <x:f>AND(MIN(B6,O6:W6)&gt;=C6,MAX(B6,O6:W6)&lt;=D6,W6=E6)</x:f>
        <x:v>1</x:v>
      </x:c>
      <x:c r="Y6" s="46" t="b">
        <x:f>AND(MIN(B6,O6:W6)&gt;=-2,MAX(B6,O6:W6)&lt;=2,W6=E6)</x:f>
        <x:v>1</x:v>
      </x:c>
      <x:c r="Z6" s="46" t="str">
        <x:f>IF(X6,"通过","失败")</x:f>
        <x:v>通过</x:v>
      </x:c>
    </x:row>
    <x:row r="7">
      <x:c r="A7" s="54" t="str">
        <x:v>S04</x:v>
      </x:c>
      <x:c r="B7" s="46" t="n">
        <x:f>VLOOKUP(VLOOKUP(A7,'选样'!$A$4:$N$13,10,FALSE),'候选材料'!$A$4:$K$40,7,FALSE)</x:f>
        <x:v>0</x:v>
      </x:c>
      <x:c r="C7" s="46" t="n">
        <x:f>VLOOKUP(VLOOKUP(A7,'选样'!$A$4:$N$13,12,FALSE),'候选参数'!$A$10:$H$15,5,FALSE)</x:f>
        <x:v>-4</x:v>
      </x:c>
      <x:c r="D7" s="46" t="n">
        <x:f>VLOOKUP(VLOOKUP(A7,'选样'!$A$4:$N$13,12,FALSE),'候选参数'!$A$10:$H$15,6,FALSE)</x:f>
        <x:v>4</x:v>
      </x:c>
      <x:c r="E7" s="46" t="n">
        <x:f>VLOOKUP(A7,'选样'!$A$4:$N$13,9,FALSE)</x:f>
        <x:v>0</x:v>
      </x:c>
      <x:c r="F7" s="54" t="n">
        <x:v>2</x:v>
      </x:c>
      <x:c r="G7" s="54" t="n">
        <x:v>2</x:v>
      </x:c>
      <x:c r="H7" s="54" t="n">
        <x:v>-2</x:v>
      </x:c>
      <x:c r="I7" s="54" t="n">
        <x:v>-2</x:v>
      </x:c>
      <x:c r="J7" s="54" t="n">
        <x:v>0</x:v>
      </x:c>
      <x:c r="K7" s="54" t="n">
        <x:v>0</x:v>
      </x:c>
      <x:c r="L7" s="54" t="n">
        <x:v>0</x:v>
      </x:c>
      <x:c r="M7" s="54" t="n">
        <x:v>0</x:v>
      </x:c>
      <x:c r="N7" s="54" t="n">
        <x:v>0</x:v>
      </x:c>
      <x:c r="O7" s="46" t="n">
        <x:f>B7+F7</x:f>
        <x:v>2</x:v>
      </x:c>
      <x:c r="P7" s="46" t="n">
        <x:f>O7+G7</x:f>
        <x:v>4</x:v>
      </x:c>
      <x:c r="Q7" s="46" t="n">
        <x:f>P7+H7</x:f>
        <x:v>2</x:v>
      </x:c>
      <x:c r="R7" s="46" t="n">
        <x:f>Q7+I7</x:f>
        <x:v>0</x:v>
      </x:c>
      <x:c r="S7" s="46" t="n">
        <x:f>R7+J7</x:f>
        <x:v>0</x:v>
      </x:c>
      <x:c r="T7" s="46" t="n">
        <x:f>S7+K7</x:f>
        <x:v>0</x:v>
      </x:c>
      <x:c r="U7" s="46" t="n">
        <x:f>T7+L7</x:f>
        <x:v>0</x:v>
      </x:c>
      <x:c r="V7" s="46" t="n">
        <x:f>U7+M7</x:f>
        <x:v>0</x:v>
      </x:c>
      <x:c r="W7" s="46" t="n">
        <x:f>V7+N7</x:f>
        <x:v>0</x:v>
      </x:c>
      <x:c r="X7" s="46" t="b">
        <x:f>AND(MIN(B7,O7:W7)&gt;=C7,MAX(B7,O7:W7)&lt;=D7,W7=E7)</x:f>
        <x:v>1</x:v>
      </x:c>
      <x:c r="Y7" s="46" t="b">
        <x:f>AND(MIN(B7,O7:W7)&gt;=-2,MAX(B7,O7:W7)&lt;=2,W7=E7)</x:f>
        <x:v>0</x:v>
      </x:c>
      <x:c r="Z7" s="46" t="str">
        <x:f>IF(X7,"通过","失败")</x:f>
        <x:v>通过</x:v>
      </x:c>
    </x:row>
    <x:row r="8">
      <x:c r="A8" s="54" t="str">
        <x:v>S05</x:v>
      </x:c>
      <x:c r="B8" s="46" t="n">
        <x:f>VLOOKUP(VLOOKUP(A8,'选样'!$A$4:$N$13,10,FALSE),'候选材料'!$A$4:$K$40,7,FALSE)</x:f>
        <x:v>2</x:v>
      </x:c>
      <x:c r="C8" s="46" t="n">
        <x:f>VLOOKUP(VLOOKUP(A8,'选样'!$A$4:$N$13,12,FALSE),'候选参数'!$A$10:$H$15,5,FALSE)</x:f>
        <x:v>-1</x:v>
      </x:c>
      <x:c r="D8" s="46" t="n">
        <x:f>VLOOKUP(VLOOKUP(A8,'选样'!$A$4:$N$13,12,FALSE),'候选参数'!$A$10:$H$15,6,FALSE)</x:f>
        <x:v>5</x:v>
      </x:c>
      <x:c r="E8" s="46" t="n">
        <x:f>VLOOKUP(A8,'选样'!$A$4:$N$13,9,FALSE)</x:f>
        <x:v>1</x:v>
      </x:c>
      <x:c r="F8" s="54" t="n">
        <x:v>2</x:v>
      </x:c>
      <x:c r="G8" s="54" t="n">
        <x:v>-2</x:v>
      </x:c>
      <x:c r="H8" s="54" t="n">
        <x:v>0</x:v>
      </x:c>
      <x:c r="I8" s="54" t="n">
        <x:v>0</x:v>
      </x:c>
      <x:c r="J8" s="54" t="n">
        <x:v>-1</x:v>
      </x:c>
      <x:c r="K8" s="54" t="n">
        <x:v>0</x:v>
      </x:c>
      <x:c r="L8" s="54" t="n">
        <x:v>0</x:v>
      </x:c>
      <x:c r="M8" s="54" t="n">
        <x:v>0</x:v>
      </x:c>
      <x:c r="N8" s="54" t="n">
        <x:v>0</x:v>
      </x:c>
      <x:c r="O8" s="46" t="n">
        <x:f>B8+F8</x:f>
        <x:v>4</x:v>
      </x:c>
      <x:c r="P8" s="46" t="n">
        <x:f>O8+G8</x:f>
        <x:v>2</x:v>
      </x:c>
      <x:c r="Q8" s="46" t="n">
        <x:f>P8+H8</x:f>
        <x:v>2</x:v>
      </x:c>
      <x:c r="R8" s="46" t="n">
        <x:f>Q8+I8</x:f>
        <x:v>2</x:v>
      </x:c>
      <x:c r="S8" s="46" t="n">
        <x:f>R8+J8</x:f>
        <x:v>1</x:v>
      </x:c>
      <x:c r="T8" s="46" t="n">
        <x:f>S8+K8</x:f>
        <x:v>1</x:v>
      </x:c>
      <x:c r="U8" s="46" t="n">
        <x:f>T8+L8</x:f>
        <x:v>1</x:v>
      </x:c>
      <x:c r="V8" s="46" t="n">
        <x:f>U8+M8</x:f>
        <x:v>1</x:v>
      </x:c>
      <x:c r="W8" s="46" t="n">
        <x:f>V8+N8</x:f>
        <x:v>1</x:v>
      </x:c>
      <x:c r="X8" s="46" t="b">
        <x:f>AND(MIN(B8,O8:W8)&gt;=C8,MAX(B8,O8:W8)&lt;=D8,W8=E8)</x:f>
        <x:v>1</x:v>
      </x:c>
      <x:c r="Y8" s="46" t="b">
        <x:f>AND(MIN(B8,O8:W8)&gt;=-2,MAX(B8,O8:W8)&lt;=2,W8=E8)</x:f>
        <x:v>0</x:v>
      </x:c>
      <x:c r="Z8" s="46" t="str">
        <x:f>IF(X8,"通过","失败")</x:f>
        <x:v>通过</x:v>
      </x:c>
    </x:row>
    <x:row r="9">
      <x:c r="A9" s="54" t="str">
        <x:v>S06</x:v>
      </x:c>
      <x:c r="B9" s="46" t="n">
        <x:f>VLOOKUP(VLOOKUP(A9,'选样'!$A$4:$N$13,10,FALSE),'候选材料'!$A$4:$K$40,7,FALSE)</x:f>
        <x:v>-2</x:v>
      </x:c>
      <x:c r="C9" s="46" t="n">
        <x:f>VLOOKUP(VLOOKUP(A9,'选样'!$A$4:$N$13,12,FALSE),'候选参数'!$A$10:$H$15,5,FALSE)</x:f>
        <x:v>-5</x:v>
      </x:c>
      <x:c r="D9" s="46" t="n">
        <x:f>VLOOKUP(VLOOKUP(A9,'选样'!$A$4:$N$13,12,FALSE),'候选参数'!$A$10:$H$15,6,FALSE)</x:f>
        <x:v>1</x:v>
      </x:c>
      <x:c r="E9" s="46" t="n">
        <x:f>VLOOKUP(A9,'选样'!$A$4:$N$13,9,FALSE)</x:f>
        <x:v>-2</x:v>
      </x:c>
      <x:c r="F9" s="54" t="n">
        <x:v>-2</x:v>
      </x:c>
      <x:c r="G9" s="54" t="n">
        <x:v>2</x:v>
      </x:c>
      <x:c r="H9" s="54" t="n">
        <x:v>-2</x:v>
      </x:c>
      <x:c r="I9" s="54" t="n">
        <x:v>2</x:v>
      </x:c>
      <x:c r="J9" s="54" t="n">
        <x:v>0</x:v>
      </x:c>
      <x:c r="K9" s="54" t="n">
        <x:v>0</x:v>
      </x:c>
      <x:c r="L9" s="54" t="n">
        <x:v>0</x:v>
      </x:c>
      <x:c r="M9" s="54" t="n">
        <x:v>0</x:v>
      </x:c>
      <x:c r="N9" s="54" t="n">
        <x:v>0</x:v>
      </x:c>
      <x:c r="O9" s="46" t="n">
        <x:f>B9+F9</x:f>
        <x:v>-4</x:v>
      </x:c>
      <x:c r="P9" s="46" t="n">
        <x:f>O9+G9</x:f>
        <x:v>-2</x:v>
      </x:c>
      <x:c r="Q9" s="46" t="n">
        <x:f>P9+H9</x:f>
        <x:v>-4</x:v>
      </x:c>
      <x:c r="R9" s="46" t="n">
        <x:f>Q9+I9</x:f>
        <x:v>-2</x:v>
      </x:c>
      <x:c r="S9" s="46" t="n">
        <x:f>R9+J9</x:f>
        <x:v>-2</x:v>
      </x:c>
      <x:c r="T9" s="46" t="n">
        <x:f>S9+K9</x:f>
        <x:v>-2</x:v>
      </x:c>
      <x:c r="U9" s="46" t="n">
        <x:f>T9+L9</x:f>
        <x:v>-2</x:v>
      </x:c>
      <x:c r="V9" s="46" t="n">
        <x:f>U9+M9</x:f>
        <x:v>-2</x:v>
      </x:c>
      <x:c r="W9" s="46" t="n">
        <x:f>V9+N9</x:f>
        <x:v>-2</x:v>
      </x:c>
      <x:c r="X9" s="46" t="b">
        <x:f>AND(MIN(B9,O9:W9)&gt;=C9,MAX(B9,O9:W9)&lt;=D9,W9=E9)</x:f>
        <x:v>1</x:v>
      </x:c>
      <x:c r="Y9" s="46" t="b">
        <x:f>AND(MIN(B9,O9:W9)&gt;=-2,MAX(B9,O9:W9)&lt;=2,W9=E9)</x:f>
        <x:v>0</x:v>
      </x:c>
      <x:c r="Z9" s="46" t="str">
        <x:f>IF(X9,"通过","失败")</x:f>
        <x:v>通过</x:v>
      </x:c>
    </x:row>
    <x:row r="10">
      <x:c r="A10" s="54" t="str">
        <x:v>S07</x:v>
      </x:c>
      <x:c r="B10" s="46" t="n">
        <x:f>VLOOKUP(VLOOKUP(A10,'选样'!$A$4:$N$13,10,FALSE),'候选材料'!$A$4:$K$40,7,FALSE)</x:f>
        <x:v>2</x:v>
      </x:c>
      <x:c r="C10" s="46" t="n">
        <x:f>VLOOKUP(VLOOKUP(A10,'选样'!$A$4:$N$13,12,FALSE),'候选参数'!$A$10:$H$15,5,FALSE)</x:f>
        <x:v>-2</x:v>
      </x:c>
      <x:c r="D10" s="46" t="n">
        <x:f>VLOOKUP(VLOOKUP(A10,'选样'!$A$4:$N$13,12,FALSE),'候选参数'!$A$10:$H$15,6,FALSE)</x:f>
        <x:v>2</x:v>
      </x:c>
      <x:c r="E10" s="46" t="n">
        <x:f>VLOOKUP(A10,'选样'!$A$4:$N$13,9,FALSE)</x:f>
        <x:v>2</x:v>
      </x:c>
      <x:c r="F10" s="54" t="n">
        <x:v>-1</x:v>
      </x:c>
      <x:c r="G10" s="54" t="n">
        <x:v>1</x:v>
      </x:c>
      <x:c r="H10" s="54" t="n">
        <x:v>-1</x:v>
      </x:c>
      <x:c r="I10" s="54" t="n">
        <x:v>1</x:v>
      </x:c>
      <x:c r="J10" s="54" t="n">
        <x:v>-1</x:v>
      </x:c>
      <x:c r="K10" s="54" t="n">
        <x:v>1</x:v>
      </x:c>
      <x:c r="L10" s="54" t="n">
        <x:v>-1</x:v>
      </x:c>
      <x:c r="M10" s="54" t="n">
        <x:v>1</x:v>
      </x:c>
      <x:c r="N10" s="54" t="n">
        <x:v>0</x:v>
      </x:c>
      <x:c r="O10" s="46" t="n">
        <x:f>B10+F10</x:f>
        <x:v>1</x:v>
      </x:c>
      <x:c r="P10" s="46" t="n">
        <x:f>O10+G10</x:f>
        <x:v>2</x:v>
      </x:c>
      <x:c r="Q10" s="46" t="n">
        <x:f>P10+H10</x:f>
        <x:v>1</x:v>
      </x:c>
      <x:c r="R10" s="46" t="n">
        <x:f>Q10+I10</x:f>
        <x:v>2</x:v>
      </x:c>
      <x:c r="S10" s="46" t="n">
        <x:f>R10+J10</x:f>
        <x:v>1</x:v>
      </x:c>
      <x:c r="T10" s="46" t="n">
        <x:f>S10+K10</x:f>
        <x:v>2</x:v>
      </x:c>
      <x:c r="U10" s="46" t="n">
        <x:f>T10+L10</x:f>
        <x:v>1</x:v>
      </x:c>
      <x:c r="V10" s="46" t="n">
        <x:f>U10+M10</x:f>
        <x:v>2</x:v>
      </x:c>
      <x:c r="W10" s="46" t="n">
        <x:f>V10+N10</x:f>
        <x:v>2</x:v>
      </x:c>
      <x:c r="X10" s="46" t="b">
        <x:f>AND(MIN(B10,O10:W10)&gt;=C10,MAX(B10,O10:W10)&lt;=D10,W10=E10)</x:f>
        <x:v>1</x:v>
      </x:c>
      <x:c r="Y10" s="46" t="b">
        <x:f>AND(MIN(B10,O10:W10)&gt;=-2,MAX(B10,O10:W10)&lt;=2,W10=E10)</x:f>
        <x:v>1</x:v>
      </x:c>
      <x:c r="Z10" s="46" t="str">
        <x:f>IF(X10,"通过","失败")</x:f>
        <x:v>通过</x:v>
      </x:c>
    </x:row>
    <x:row r="11">
      <x:c r="A11" s="54" t="str">
        <x:v>S08</x:v>
      </x:c>
      <x:c r="B11" s="46" t="n">
        <x:f>VLOOKUP(VLOOKUP(A11,'选样'!$A$4:$N$13,10,FALSE),'候选材料'!$A$4:$K$40,7,FALSE)</x:f>
        <x:v>2</x:v>
      </x:c>
      <x:c r="C11" s="46" t="n">
        <x:f>VLOOKUP(VLOOKUP(A11,'选样'!$A$4:$N$13,12,FALSE),'候选参数'!$A$10:$H$15,5,FALSE)</x:f>
        <x:v>-4</x:v>
      </x:c>
      <x:c r="D11" s="46" t="n">
        <x:f>VLOOKUP(VLOOKUP(A11,'选样'!$A$4:$N$13,12,FALSE),'候选参数'!$A$10:$H$15,6,FALSE)</x:f>
        <x:v>4</x:v>
      </x:c>
      <x:c r="E11" s="46" t="n">
        <x:f>VLOOKUP(A11,'选样'!$A$4:$N$13,9,FALSE)</x:f>
        <x:v>2</x:v>
      </x:c>
      <x:c r="F11" s="54" t="n">
        <x:v>2</x:v>
      </x:c>
      <x:c r="G11" s="54" t="n">
        <x:v>-2</x:v>
      </x:c>
      <x:c r="H11" s="54" t="n">
        <x:v>2</x:v>
      </x:c>
      <x:c r="I11" s="54" t="n">
        <x:v>-2</x:v>
      </x:c>
      <x:c r="J11" s="54" t="n">
        <x:v>0</x:v>
      </x:c>
      <x:c r="K11" s="54" t="n">
        <x:v>0</x:v>
      </x:c>
      <x:c r="L11" s="54" t="n">
        <x:v>0</x:v>
      </x:c>
      <x:c r="M11" s="54" t="n">
        <x:v>0</x:v>
      </x:c>
      <x:c r="N11" s="54" t="n">
        <x:v>0</x:v>
      </x:c>
      <x:c r="O11" s="46" t="n">
        <x:f>B11+F11</x:f>
        <x:v>4</x:v>
      </x:c>
      <x:c r="P11" s="46" t="n">
        <x:f>O11+G11</x:f>
        <x:v>2</x:v>
      </x:c>
      <x:c r="Q11" s="46" t="n">
        <x:f>P11+H11</x:f>
        <x:v>4</x:v>
      </x:c>
      <x:c r="R11" s="46" t="n">
        <x:f>Q11+I11</x:f>
        <x:v>2</x:v>
      </x:c>
      <x:c r="S11" s="46" t="n">
        <x:f>R11+J11</x:f>
        <x:v>2</x:v>
      </x:c>
      <x:c r="T11" s="46" t="n">
        <x:f>S11+K11</x:f>
        <x:v>2</x:v>
      </x:c>
      <x:c r="U11" s="46" t="n">
        <x:f>T11+L11</x:f>
        <x:v>2</x:v>
      </x:c>
      <x:c r="V11" s="46" t="n">
        <x:f>U11+M11</x:f>
        <x:v>2</x:v>
      </x:c>
      <x:c r="W11" s="46" t="n">
        <x:f>V11+N11</x:f>
        <x:v>2</x:v>
      </x:c>
      <x:c r="X11" s="46" t="b">
        <x:f>AND(MIN(B11,O11:W11)&gt;=C11,MAX(B11,O11:W11)&lt;=D11,W11=E11)</x:f>
        <x:v>1</x:v>
      </x:c>
      <x:c r="Y11" s="46" t="b">
        <x:f>AND(MIN(B11,O11:W11)&gt;=-2,MAX(B11,O11:W11)&lt;=2,W11=E11)</x:f>
        <x:v>0</x:v>
      </x:c>
      <x:c r="Z11" s="46" t="str">
        <x:f>IF(X11,"通过","失败")</x:f>
        <x:v>通过</x:v>
      </x:c>
    </x:row>
    <x:row r="12">
      <x:c r="A12" s="54" t="str">
        <x:v>S09</x:v>
      </x:c>
      <x:c r="B12" s="46" t="n">
        <x:f>VLOOKUP(VLOOKUP(A12,'选样'!$A$4:$N$13,10,FALSE),'候选材料'!$A$4:$K$40,7,FALSE)</x:f>
        <x:v>0</x:v>
      </x:c>
      <x:c r="C12" s="46" t="n">
        <x:f>VLOOKUP(VLOOKUP(A12,'选样'!$A$4:$N$13,12,FALSE),'候选参数'!$A$10:$H$15,5,FALSE)</x:f>
        <x:v>-2</x:v>
      </x:c>
      <x:c r="D12" s="46" t="n">
        <x:f>VLOOKUP(VLOOKUP(A12,'选样'!$A$4:$N$13,12,FALSE),'候选参数'!$A$10:$H$15,6,FALSE)</x:f>
        <x:v>2</x:v>
      </x:c>
      <x:c r="E12" s="46" t="n">
        <x:f>VLOOKUP(A12,'选样'!$A$4:$N$13,9,FALSE)</x:f>
        <x:v>0</x:v>
      </x:c>
      <x:c r="F12" s="54" t="n">
        <x:v>1</x:v>
      </x:c>
      <x:c r="G12" s="54" t="n">
        <x:v>-1</x:v>
      </x:c>
      <x:c r="H12" s="54" t="n">
        <x:v>1</x:v>
      </x:c>
      <x:c r="I12" s="54" t="n">
        <x:v>-1</x:v>
      </x:c>
      <x:c r="J12" s="54" t="n">
        <x:v>1</x:v>
      </x:c>
      <x:c r="K12" s="54" t="n">
        <x:v>-1</x:v>
      </x:c>
      <x:c r="L12" s="54" t="n">
        <x:v>1</x:v>
      </x:c>
      <x:c r="M12" s="54" t="n">
        <x:v>-1</x:v>
      </x:c>
      <x:c r="N12" s="54" t="n">
        <x:v>0</x:v>
      </x:c>
      <x:c r="O12" s="46" t="n">
        <x:f>B12+F12</x:f>
        <x:v>1</x:v>
      </x:c>
      <x:c r="P12" s="46" t="n">
        <x:f>O12+G12</x:f>
        <x:v>0</x:v>
      </x:c>
      <x:c r="Q12" s="46" t="n">
        <x:f>P12+H12</x:f>
        <x:v>1</x:v>
      </x:c>
      <x:c r="R12" s="46" t="n">
        <x:f>Q12+I12</x:f>
        <x:v>0</x:v>
      </x:c>
      <x:c r="S12" s="46" t="n">
        <x:f>R12+J12</x:f>
        <x:v>1</x:v>
      </x:c>
      <x:c r="T12" s="46" t="n">
        <x:f>S12+K12</x:f>
        <x:v>0</x:v>
      </x:c>
      <x:c r="U12" s="46" t="n">
        <x:f>T12+L12</x:f>
        <x:v>1</x:v>
      </x:c>
      <x:c r="V12" s="46" t="n">
        <x:f>U12+M12</x:f>
        <x:v>0</x:v>
      </x:c>
      <x:c r="W12" s="46" t="n">
        <x:f>V12+N12</x:f>
        <x:v>0</x:v>
      </x:c>
      <x:c r="X12" s="46" t="b">
        <x:f>AND(MIN(B12,O12:W12)&gt;=C12,MAX(B12,O12:W12)&lt;=D12,W12=E12)</x:f>
        <x:v>1</x:v>
      </x:c>
      <x:c r="Y12" s="46" t="b">
        <x:f>AND(MIN(B12,O12:W12)&gt;=-2,MAX(B12,O12:W12)&lt;=2,W12=E12)</x:f>
        <x:v>1</x:v>
      </x:c>
      <x:c r="Z12" s="46" t="str">
        <x:f>IF(X12,"通过","失败")</x:f>
        <x:v>通过</x:v>
      </x:c>
    </x:row>
    <x:row r="13">
      <x:c r="A13" s="55" t="str">
        <x:v>S10</x:v>
      </x:c>
      <x:c r="B13" s="48" t="n">
        <x:f>VLOOKUP(VLOOKUP(A13,'选样'!$A$4:$N$13,10,FALSE),'候选材料'!$A$4:$K$40,7,FALSE)</x:f>
        <x:v>-2</x:v>
      </x:c>
      <x:c r="C13" s="48" t="n">
        <x:f>VLOOKUP(VLOOKUP(A13,'选样'!$A$4:$N$13,12,FALSE),'候选参数'!$A$10:$H$15,5,FALSE)</x:f>
        <x:v>-3</x:v>
      </x:c>
      <x:c r="D13" s="48" t="n">
        <x:f>VLOOKUP(VLOOKUP(A13,'选样'!$A$4:$N$13,12,FALSE),'候选参数'!$A$10:$H$15,6,FALSE)</x:f>
        <x:v>3</x:v>
      </x:c>
      <x:c r="E13" s="48" t="n">
        <x:f>VLOOKUP(A13,'选样'!$A$4:$N$13,9,FALSE)</x:f>
        <x:v>-2</x:v>
      </x:c>
      <x:c r="F13" s="55" t="n">
        <x:v>0</x:v>
      </x:c>
      <x:c r="G13" s="55" t="n">
        <x:v>0</x:v>
      </x:c>
      <x:c r="H13" s="55" t="n">
        <x:v>0</x:v>
      </x:c>
      <x:c r="I13" s="55" t="n">
        <x:v>0</x:v>
      </x:c>
      <x:c r="J13" s="55" t="n">
        <x:v>0</x:v>
      </x:c>
      <x:c r="K13" s="55" t="n">
        <x:v>0</x:v>
      </x:c>
      <x:c r="L13" s="55" t="n">
        <x:v>0</x:v>
      </x:c>
      <x:c r="M13" s="55" t="n">
        <x:v>0</x:v>
      </x:c>
      <x:c r="N13" s="55" t="n">
        <x:v>0</x:v>
      </x:c>
      <x:c r="O13" s="48" t="n">
        <x:f>B13+F13</x:f>
        <x:v>-2</x:v>
      </x:c>
      <x:c r="P13" s="48" t="n">
        <x:f>O13+G13</x:f>
        <x:v>-2</x:v>
      </x:c>
      <x:c r="Q13" s="48" t="n">
        <x:f>P13+H13</x:f>
        <x:v>-2</x:v>
      </x:c>
      <x:c r="R13" s="48" t="n">
        <x:f>Q13+I13</x:f>
        <x:v>-2</x:v>
      </x:c>
      <x:c r="S13" s="48" t="n">
        <x:f>R13+J13</x:f>
        <x:v>-2</x:v>
      </x:c>
      <x:c r="T13" s="48" t="n">
        <x:f>S13+K13</x:f>
        <x:v>-2</x:v>
      </x:c>
      <x:c r="U13" s="48" t="n">
        <x:f>T13+L13</x:f>
        <x:v>-2</x:v>
      </x:c>
      <x:c r="V13" s="48" t="n">
        <x:f>U13+M13</x:f>
        <x:v>-2</x:v>
      </x:c>
      <x:c r="W13" s="48" t="n">
        <x:f>V13+N13</x:f>
        <x:v>-2</x:v>
      </x:c>
      <x:c r="X13" s="48" t="b">
        <x:f>AND(MIN(B13,O13:W13)&gt;=C13,MAX(B13,O13:W13)&lt;=D13,W13=E13)</x:f>
        <x:v>1</x:v>
      </x:c>
      <x:c r="Y13" s="48" t="b">
        <x:f>AND(MIN(B13,O13:W13)&gt;=-2,MAX(B13,O13:W13)&lt;=2,W13=E13)</x:f>
        <x:v>1</x:v>
      </x:c>
      <x:c r="Z13" s="48" t="str">
        <x:f>IF(X13,"通过","失败")</x:f>
        <x:v>通过</x:v>
      </x:c>
    </x:row>
  </x:sheetData>
  <x:mergeCells>
    <x:mergeCell ref="A1:Z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</x:cols>
  <x:sheetData>
    <x:row r="1" ht="28" customHeight="1">
      <x:c r="A1" s="41" t="str">
        <x:v>完整结算链与数学验收指标</x:v>
      </x:c>
      <x:c r="B1" s="41" t="str">
        <x:v>完整结算链与数学验收指标</x:v>
      </x:c>
      <x:c r="C1" s="41" t="str">
        <x:v>完整结算链与数学验收指标</x:v>
      </x:c>
      <x:c r="D1" s="41" t="str">
        <x:v>完整结算链与数学验收指标</x:v>
      </x:c>
      <x:c r="E1" s="41" t="str">
        <x:v>完整结算链与数学验收指标</x:v>
      </x:c>
      <x:c r="F1" s="41" t="str">
        <x:v>完整结算链与数学验收指标</x:v>
      </x:c>
      <x:c r="G1" s="41" t="str">
        <x:v>完整结算链与数学验收指标</x:v>
      </x:c>
      <x:c r="H1" s="41" t="str">
        <x:v>完整结算链与数学验收指标</x:v>
      </x:c>
      <x:c r="I1" s="41" t="str">
        <x:v>完整结算链与数学验收指标</x:v>
      </x:c>
      <x:c r="J1" s="41" t="str">
        <x:v>完整结算链与数学验收指标</x:v>
      </x:c>
      <x:c r="K1" s="41" t="str">
        <x:v>完整结算链与数学验收指标</x:v>
      </x:c>
      <x:c r="L1" s="41" t="str">
        <x:v>完整结算链与数学验收指标</x:v>
      </x:c>
      <x:c r="M1" s="41" t="str">
        <x:v>完整结算链与数学验收指标</x:v>
      </x:c>
      <x:c r="N1" s="41" t="str">
        <x:v>完整结算链与数学验收指标</x:v>
      </x:c>
      <x:c r="O1" s="41" t="str">
        <x:v>完整结算链与数学验收指标</x:v>
      </x:c>
      <x:c r="P1" s="41" t="str">
        <x:v>完整结算链与数学验收指标</x:v>
      </x:c>
      <x:c r="Q1" s="41" t="str">
        <x:v>完整结算链与数学验收指标</x:v>
      </x:c>
      <x:c r="R1" s="41" t="str">
        <x:v>完整结算链与数学验收指标</x:v>
      </x:c>
      <x:c r="S1" s="41" t="str">
        <x:v>完整结算链与数学验收指标</x:v>
      </x:c>
      <x:c r="T1" s="41" t="str">
        <x:v>完整结算链与数学验收指标</x:v>
      </x:c>
      <x:c r="U1" s="41" t="str">
        <x:v>完整结算链与数学验收指标</x:v>
      </x:c>
      <x:c r="V1" s="41" t="str">
        <x:v>完整结算链与数学验收指标</x:v>
      </x:c>
      <x:c r="W1" s="41" t="str">
        <x:v>完整结算链与数学验收指标</x:v>
      </x:c>
      <x:c r="X1" s="41" t="str">
        <x:v>完整结算链与数学验收指标</x:v>
      </x:c>
      <x:c r="Y1" s="41" t="str">
        <x:v>完整结算链与数学验收指标</x:v>
      </x:c>
      <x:c r="Z1" s="41" t="str">
        <x:v>完整结算链与数学验收指标</x:v>
      </x:c>
      <x:c r="AA1" s="41" t="str">
        <x:v>完整结算链与数学验收指标</x:v>
      </x:c>
      <x:c r="AB1" s="41" t="str">
        <x:v>完整结算链与数学验收指标</x:v>
      </x:c>
      <x:c r="AC1" s="41" t="str">
        <x:v>完整结算链与数学验收指标</x:v>
      </x:c>
      <x:c r="AD1" s="41" t="str">
        <x:v>完整结算链与数学验收指标</x:v>
      </x:c>
      <x:c r="AE1" s="41" t="str">
        <x:v>完整结算链与数学验收指标</x:v>
      </x:c>
      <x:c r="AF1" s="41" t="str">
        <x:v>完整结算链与数学验收指标</x:v>
      </x:c>
      <x:c r="AG1" s="41" t="str">
        <x:v>完整结算链与数学验收指标</x:v>
      </x:c>
      <x:c r="AH1" s="41" t="str">
        <x:v>完整结算链与数学验收指标</x:v>
      </x:c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  <x:c r="AA2" s="51"/>
      <x:c r="AB2" s="51"/>
      <x:c r="AC2" s="51"/>
      <x:c r="AD2" s="51"/>
      <x:c r="AE2" s="51"/>
      <x:c r="AF2" s="51"/>
      <x:c r="AG2" s="51"/>
      <x:c r="AH2" s="51"/>
    </x:row>
    <x:row r="3">
      <x:c r="A3" s="43" t="str">
        <x:v>案例</x:v>
      </x:c>
      <x:c r="B3" s="43" t="str">
        <x:v>品质</x:v>
      </x:c>
      <x:c r="C3" s="43" t="str">
        <x:v>路线</x:v>
      </x:c>
      <x:c r="D3" s="43" t="str">
        <x:v>P</x:v>
      </x:c>
      <x:c r="E3" s="43" t="str">
        <x:v>U</x:v>
      </x:c>
      <x:c r="F3" s="43" t="str">
        <x:v>P/U</x:v>
      </x:c>
      <x:c r="G3" s="43" t="str">
        <x:v>N</x:v>
      </x:c>
      <x:c r="H3" s="43" t="str">
        <x:v>Nmax</x:v>
      </x:c>
      <x:c r="I3" s="43" t="str">
        <x:v>N/Nmax</x:v>
      </x:c>
      <x:c r="J3" s="43" t="str">
        <x:v>Z</x:v>
      </x:c>
      <x:c r="K3" s="43" t="str">
        <x:v>F基础</x:v>
      </x:c>
      <x:c r="L3" s="43" t="str">
        <x:v>Δ</x:v>
      </x:c>
      <x:c r="M3" s="43" t="str">
        <x:v>M</x:v>
      </x:c>
      <x:c r="N3" s="43" t="str">
        <x:v>Fe</x:v>
      </x:c>
      <x:c r="O3" s="43" t="str">
        <x:v>炼丹术A</x:v>
      </x:c>
      <x:c r="P3" s="43" t="str">
        <x:v>灵植术A</x:v>
      </x:c>
      <x:c r="Q3" s="43" t="str">
        <x:v>A合计</x:v>
      </x:c>
      <x:c r="R3" s="43" t="str">
        <x:v>Zf</x:v>
      </x:c>
      <x:c r="S3" s="43" t="str">
        <x:v>D</x:v>
      </x:c>
      <x:c r="T3" s="43" t="str">
        <x:v>L</x:v>
      </x:c>
      <x:c r="U3" s="43" t="str">
        <x:v>触底</x:v>
      </x:c>
      <x:c r="V3" s="43" t="str">
        <x:v>Q</x:v>
      </x:c>
      <x:c r="W3" s="43" t="str">
        <x:v>Qmin</x:v>
      </x:c>
      <x:c r="X3" s="43" t="str">
        <x:v>R</x:v>
      </x:c>
      <x:c r="Y3" s="43" t="str">
        <x:v>升品率</x:v>
      </x:c>
      <x:c r="Z3" s="43" t="str">
        <x:v>神识批次</x:v>
      </x:c>
      <x:c r="AA3" s="43" t="str">
        <x:v>实际批次</x:v>
      </x:c>
      <x:c r="AB3" s="43" t="str">
        <x:v>D/池</x:v>
      </x:c>
      <x:c r="AC3" s="43" t="str">
        <x:v>安全顺序</x:v>
      </x:c>
      <x:c r="AD3" s="43" t="str">
        <x:v>基础炉可过</x:v>
      </x:c>
      <x:c r="AE3" s="43" t="str">
        <x:v>硬条件</x:v>
      </x:c>
      <x:c r="AF3" s="43" t="str">
        <x:v>A/Zf</x:v>
      </x:c>
      <x:c r="AG3" s="43" t="str">
        <x:v>结论</x:v>
      </x:c>
      <x:c r="AH3" s="43" t="str">
        <x:v>备注</x:v>
      </x:c>
    </x:row>
    <x:row r="4">
      <x:c r="A4" s="44" t="str">
        <x:f>'选样'!A4</x:f>
        <x:v>S01</x:v>
      </x:c>
      <x:c r="B4" s="44" t="str">
        <x:f>'选样'!F4</x:f>
        <x:v>凡品</x:v>
      </x:c>
      <x:c r="C4" s="44" t="str">
        <x:f>'选样'!E4</x:f>
        <x:v>高药力省位</x:v>
      </x:c>
      <x:c r="D4" s="44" t="n">
        <x:f>SUMIF('配方明细'!$A$4:$A$47,A4,'配方明细'!$M$4:$M$47)</x:f>
        <x:v>1020</x:v>
      </x:c>
      <x:c r="E4" s="44" t="n">
        <x:f>VLOOKUP(B4,'候选参数'!$A$4:$M$6,2,FALSE)</x:f>
        <x:v>1000</x:v>
      </x:c>
      <x:c r="F4" s="56" t="n">
        <x:f>D4/E4</x:f>
        <x:v>1.02</x:v>
      </x:c>
      <x:c r="G4" s="44" t="n">
        <x:f>SUMIF('配方明细'!$A$4:$A$47,A4,'配方明细'!$D$4:$D$47)-2</x:f>
        <x:v>3</x:v>
      </x:c>
      <x:c r="H4" s="44" t="n">
        <x:f>VLOOKUP(B4,'候选参数'!$A$4:$M$6,11,FALSE)</x:f>
        <x:v>7</x:v>
      </x:c>
      <x:c r="I4" s="56" t="n">
        <x:f>G4/H4</x:f>
        <x:v>0.42857142857142855</x:v>
      </x:c>
      <x:c r="J4" s="44" t="n">
        <x:f>SUMIF('配方明细'!$A$4:$A$47,A4,'配方明细'!$N$4:$N$47)</x:f>
        <x:v>310</x:v>
      </x:c>
      <x:c r="K4" s="44" t="n">
        <x:f>VLOOKUP(VLOOKUP(A4,'选样'!$A$4:$N$13,12,FALSE),'候选参数'!$A$10:$H$15,7,FALSE)</x:f>
        <x:v>900</x:v>
      </x:c>
      <x:c r="L4" s="44" t="n">
        <x:f>VLOOKUP(VLOOKUP(A4,'选样'!$A$4:$N$13,12,FALSE),'候选参数'!$A$10:$H$15,4,FALSE)</x:f>
        <x:v>0</x:v>
      </x:c>
      <x:c r="M4" s="44" t="n">
        <x:f>POWER('候选参数'!$K$10,L4)</x:f>
        <x:v>1</x:v>
      </x:c>
      <x:c r="N4" s="44" t="n">
        <x:f>MIN(10000,ROUNDDOWN(K4*M4,0))</x:f>
        <x:v>900</x:v>
      </x:c>
      <x:c r="O4" s="44" t="n">
        <x:f>ROUNDDOWN(VLOOKUP(B4,'候选参数'!$A$4:$M$6,12,FALSE)*(10000+'候选参数'!$K$13*'候选参数'!$K$11)/10000*M4,0)</x:f>
        <x:v>44</x:v>
      </x:c>
      <x:c r="P4" s="44" t="n">
        <x:f>ROUNDDOWN(VLOOKUP(B4,'候选参数'!$A$4:$M$6,13,FALSE)*(10000+'候选参数'!$K$14*'候选参数'!$K$12)/10000*M4,0)</x:f>
        <x:v>32</x:v>
      </x:c>
      <x:c r="Q4" s="44" t="n">
        <x:f>O4+P4</x:f>
        <x:v>76</x:v>
      </x:c>
      <x:c r="R4" s="44" t="n">
        <x:f>ROUNDUP(J4*(10000-N4)/10000,0)</x:f>
        <x:v>283</x:v>
      </x:c>
      <x:c r="S4" s="44" t="n">
        <x:f>MAX(VLOOKUP(B4,'候选参数'!$A$4:$M$6,5,FALSE),R4-Q4)</x:f>
        <x:v>207</x:v>
      </x:c>
      <x:c r="T4" s="44" t="n">
        <x:f>VLOOKUP(B4,'候选参数'!$A$4:$M$6,5,FALSE)</x:f>
        <x:v>60</x:v>
      </x:c>
      <x:c r="U4" s="44" t="b">
        <x:f>S4=T4</x:f>
        <x:v>0</x:v>
      </x:c>
      <x:c r="V4" s="44" t="n">
        <x:f>MAX(0,10000-ROUNDUP(S4*10000/D4,0))</x:f>
        <x:v>7970</x:v>
      </x:c>
      <x:c r="W4" s="44" t="n">
        <x:f>VLOOKUP(B4,'候选参数'!$A$4:$M$6,6,FALSE)</x:f>
        <x:v>7600</x:v>
      </x:c>
      <x:c r="X4" s="44" t="n">
        <x:f>MIN(VLOOKUP(B4,'候选参数'!$A$4:$M$6,8,FALSE),VLOOKUP(B4,'候选参数'!$A$4:$M$6,7,FALSE)+ROUNDDOWN((VLOOKUP(B4,'候选参数'!$A$4:$M$6,8,FALSE)-VLOOKUP(B4,'候选参数'!$A$4:$M$6,7,FALSE))*(V4-W4)/(10000-W4),0))</x:f>
        <x:v>8700</x:v>
      </x:c>
      <x:c r="Y4" s="44" t="n">
        <x:f>VLOOKUP(B4,'候选参数'!$A$4:$M$6,9,FALSE)</x:f>
        <x:v>600</x:v>
      </x:c>
      <x:c r="Z4" s="44" t="n">
        <x:f>ROUNDDOWN(600/VLOOKUP(B4,'候选参数'!$A$4:$M$6,10,FALSE),0)</x:f>
        <x:v>6</x:v>
      </x:c>
      <x:c r="AA4" s="44" t="n">
        <x:f>MIN(Z4,VLOOKUP(A4,'选样'!$A$4:$N$13,13,FALSE))</x:f>
        <x:v>5</x:v>
      </x:c>
      <x:c r="AB4" s="57" t="n">
        <x:f>S4/'候选参数'!$K$16</x:f>
        <x:v>0.1725</x:v>
      </x:c>
      <x:c r="AC4" s="44" t="b">
        <x:f>VLOOKUP(A4,'逐份投药'!$A$4:$Y$13,24,FALSE)</x:f>
        <x:v>1</x:v>
      </x:c>
      <x:c r="AD4" s="44" t="b">
        <x:f>VLOOKUP(A4,'逐份投药'!$A$4:$Y$13,25,FALSE)</x:f>
        <x:v>1</x:v>
      </x:c>
      <x:c r="AE4" s="44" t="b">
        <x:f>AND(D4&gt;=E4,G4&lt;=H4,V4&gt;=W4,AC4)</x:f>
        <x:v>1</x:v>
      </x:c>
      <x:c r="AF4" s="57" t="n">
        <x:f>Q4/R4</x:f>
        <x:v>0.26855123674911663</x:v>
      </x:c>
      <x:c r="AG4" s="44" t="str">
        <x:f>IF(AE4,"通过","失败")</x:f>
        <x:v>通过</x:v>
      </x:c>
      <x:c r="AH4" s="44" t="str">
        <x:f>IF(U4,"最低杂质触底","未触底")</x:f>
        <x:v>未触底</x:v>
      </x:c>
    </x:row>
    <x:row r="5">
      <x:c r="A5" s="46" t="str">
        <x:f>'选样'!A5</x:f>
        <x:v>S02</x:v>
      </x:c>
      <x:c r="B5" s="46" t="str">
        <x:f>'选样'!F5</x:f>
        <x:v>凡品</x:v>
      </x:c>
      <x:c r="C5" s="46" t="str">
        <x:f>'选样'!E5</x:f>
        <x:v>低药力洁净</x:v>
      </x:c>
      <x:c r="D5" s="46" t="n">
        <x:f>SUMIF('配方明细'!$A$4:$A$47,A5,'配方明细'!$M$4:$M$47)</x:f>
        <x:v>1020</x:v>
      </x:c>
      <x:c r="E5" s="46" t="n">
        <x:f>VLOOKUP(B5,'候选参数'!$A$4:$M$6,2,FALSE)</x:f>
        <x:v>1000</x:v>
      </x:c>
      <x:c r="F5" s="58" t="n">
        <x:f>D5/E5</x:f>
        <x:v>1.02</x:v>
      </x:c>
      <x:c r="G5" s="46" t="n">
        <x:f>SUMIF('配方明细'!$A$4:$A$47,A5,'配方明细'!$D$4:$D$47)-2</x:f>
        <x:v>6</x:v>
      </x:c>
      <x:c r="H5" s="46" t="n">
        <x:f>VLOOKUP(B5,'候选参数'!$A$4:$M$6,11,FALSE)</x:f>
        <x:v>7</x:v>
      </x:c>
      <x:c r="I5" s="58" t="n">
        <x:f>G5/H5</x:f>
        <x:v>0.8571428571428571</x:v>
      </x:c>
      <x:c r="J5" s="46" t="n">
        <x:f>SUMIF('配方明细'!$A$4:$A$47,A5,'配方明细'!$N$4:$N$47)</x:f>
        <x:v>214</x:v>
      </x:c>
      <x:c r="K5" s="46" t="n">
        <x:f>VLOOKUP(VLOOKUP(A5,'选样'!$A$4:$N$13,12,FALSE),'候选参数'!$A$10:$H$15,7,FALSE)</x:f>
        <x:v>900</x:v>
      </x:c>
      <x:c r="L5" s="46" t="n">
        <x:f>VLOOKUP(VLOOKUP(A5,'选样'!$A$4:$N$13,12,FALSE),'候选参数'!$A$10:$H$15,4,FALSE)</x:f>
        <x:v>0</x:v>
      </x:c>
      <x:c r="M5" s="46" t="n">
        <x:f>POWER('候选参数'!$K$10,L5)</x:f>
        <x:v>1</x:v>
      </x:c>
      <x:c r="N5" s="46" t="n">
        <x:f>MIN(10000,ROUNDDOWN(K5*M5,0))</x:f>
        <x:v>900</x:v>
      </x:c>
      <x:c r="O5" s="46" t="n">
        <x:f>ROUNDDOWN(VLOOKUP(B5,'候选参数'!$A$4:$M$6,12,FALSE)*(10000+'候选参数'!$K$13*'候选参数'!$K$11)/10000*M5,0)</x:f>
        <x:v>44</x:v>
      </x:c>
      <x:c r="P5" s="46" t="n">
        <x:f>ROUNDDOWN(VLOOKUP(B5,'候选参数'!$A$4:$M$6,13,FALSE)*(10000+'候选参数'!$K$14*'候选参数'!$K$12)/10000*M5,0)</x:f>
        <x:v>32</x:v>
      </x:c>
      <x:c r="Q5" s="46" t="n">
        <x:f>O5+P5</x:f>
        <x:v>76</x:v>
      </x:c>
      <x:c r="R5" s="46" t="n">
        <x:f>ROUNDUP(J5*(10000-N5)/10000,0)</x:f>
        <x:v>195</x:v>
      </x:c>
      <x:c r="S5" s="46" t="n">
        <x:f>MAX(VLOOKUP(B5,'候选参数'!$A$4:$M$6,5,FALSE),R5-Q5)</x:f>
        <x:v>119</x:v>
      </x:c>
      <x:c r="T5" s="46" t="n">
        <x:f>VLOOKUP(B5,'候选参数'!$A$4:$M$6,5,FALSE)</x:f>
        <x:v>60</x:v>
      </x:c>
      <x:c r="U5" s="46" t="b">
        <x:f>S5=T5</x:f>
        <x:v>0</x:v>
      </x:c>
      <x:c r="V5" s="46" t="n">
        <x:f>MAX(0,10000-ROUNDUP(S5*10000/D5,0))</x:f>
        <x:v>8833</x:v>
      </x:c>
      <x:c r="W5" s="46" t="n">
        <x:f>VLOOKUP(B5,'候选参数'!$A$4:$M$6,6,FALSE)</x:f>
        <x:v>7600</x:v>
      </x:c>
      <x:c r="X5" s="46" t="n">
        <x:f>MIN(VLOOKUP(B5,'候选参数'!$A$4:$M$6,8,FALSE),VLOOKUP(B5,'候选参数'!$A$4:$M$6,7,FALSE)+ROUNDDOWN((VLOOKUP(B5,'候选参数'!$A$4:$M$6,8,FALSE)-VLOOKUP(B5,'候选参数'!$A$4:$M$6,7,FALSE))*(V5-W5)/(10000-W5),0))</x:f>
        <x:v>9167</x:v>
      </x:c>
      <x:c r="Y5" s="46" t="n">
        <x:f>VLOOKUP(B5,'候选参数'!$A$4:$M$6,9,FALSE)</x:f>
        <x:v>600</x:v>
      </x:c>
      <x:c r="Z5" s="46" t="n">
        <x:f>ROUNDDOWN(600/VLOOKUP(B5,'候选参数'!$A$4:$M$6,10,FALSE),0)</x:f>
        <x:v>6</x:v>
      </x:c>
      <x:c r="AA5" s="46" t="n">
        <x:f>MIN(Z5,VLOOKUP(A5,'选样'!$A$4:$N$13,13,FALSE))</x:f>
        <x:v>4</x:v>
      </x:c>
      <x:c r="AB5" s="59" t="n">
        <x:f>S5/'候选参数'!$K$16</x:f>
        <x:v>0.09916666666666667</x:v>
      </x:c>
      <x:c r="AC5" s="46" t="b">
        <x:f>VLOOKUP(A5,'逐份投药'!$A$4:$Y$13,24,FALSE)</x:f>
        <x:v>1</x:v>
      </x:c>
      <x:c r="AD5" s="46" t="b">
        <x:f>VLOOKUP(A5,'逐份投药'!$A$4:$Y$13,25,FALSE)</x:f>
        <x:v>1</x:v>
      </x:c>
      <x:c r="AE5" s="46" t="b">
        <x:f>AND(D5&gt;=E5,G5&lt;=H5,V5&gt;=W5,AC5)</x:f>
        <x:v>1</x:v>
      </x:c>
      <x:c r="AF5" s="59" t="n">
        <x:f>Q5/R5</x:f>
        <x:v>0.38974358974358975</x:v>
      </x:c>
      <x:c r="AG5" s="46" t="str">
        <x:f>IF(AE5,"通过","失败")</x:f>
        <x:v>通过</x:v>
      </x:c>
      <x:c r="AH5" s="46" t="str">
        <x:f>IF(U5,"最低杂质触底","未触底")</x:f>
        <x:v>未触底</x:v>
      </x:c>
    </x:row>
    <x:row r="6">
      <x:c r="A6" s="46" t="str">
        <x:f>'选样'!A6</x:f>
        <x:v>S03</x:v>
      </x:c>
      <x:c r="B6" s="46" t="str">
        <x:f>'选样'!F6</x:f>
        <x:v>凡品</x:v>
      </x:c>
      <x:c r="C6" s="46" t="str">
        <x:f>'选样'!E6</x:f>
        <x:v>窄炉顺序压力</x:v>
      </x:c>
      <x:c r="D6" s="46" t="n">
        <x:f>SUMIF('配方明细'!$A$4:$A$47,A6,'配方明细'!$M$4:$M$47)</x:f>
        <x:v>1430</x:v>
      </x:c>
      <x:c r="E6" s="46" t="n">
        <x:f>VLOOKUP(B6,'候选参数'!$A$4:$M$6,2,FALSE)</x:f>
        <x:v>1000</x:v>
      </x:c>
      <x:c r="F6" s="58" t="n">
        <x:f>D6/E6</x:f>
        <x:v>1.43</x:v>
      </x:c>
      <x:c r="G6" s="46" t="n">
        <x:f>SUMIF('配方明细'!$A$4:$A$47,A6,'配方明细'!$D$4:$D$47)-2</x:f>
        <x:v>5</x:v>
      </x:c>
      <x:c r="H6" s="46" t="n">
        <x:f>VLOOKUP(B6,'候选参数'!$A$4:$M$6,11,FALSE)</x:f>
        <x:v>7</x:v>
      </x:c>
      <x:c r="I6" s="58" t="n">
        <x:f>G6/H6</x:f>
        <x:v>0.7142857142857143</x:v>
      </x:c>
      <x:c r="J6" s="46" t="n">
        <x:f>SUMIF('配方明细'!$A$4:$A$47,A6,'配方明细'!$N$4:$N$47)</x:f>
        <x:v>415</x:v>
      </x:c>
      <x:c r="K6" s="46" t="n">
        <x:f>VLOOKUP(VLOOKUP(A6,'选样'!$A$4:$N$13,12,FALSE),'候选参数'!$A$10:$H$15,7,FALSE)</x:f>
        <x:v>900</x:v>
      </x:c>
      <x:c r="L6" s="46" t="n">
        <x:f>VLOOKUP(VLOOKUP(A6,'选样'!$A$4:$N$13,12,FALSE),'候选参数'!$A$10:$H$15,4,FALSE)</x:f>
        <x:v>0</x:v>
      </x:c>
      <x:c r="M6" s="46" t="n">
        <x:f>POWER('候选参数'!$K$10,L6)</x:f>
        <x:v>1</x:v>
      </x:c>
      <x:c r="N6" s="46" t="n">
        <x:f>MIN(10000,ROUNDDOWN(K6*M6,0))</x:f>
        <x:v>900</x:v>
      </x:c>
      <x:c r="O6" s="46" t="n">
        <x:f>ROUNDDOWN(VLOOKUP(B6,'候选参数'!$A$4:$M$6,12,FALSE)*(10000+'候选参数'!$K$13*'候选参数'!$K$11)/10000*M6,0)</x:f>
        <x:v>44</x:v>
      </x:c>
      <x:c r="P6" s="46" t="n">
        <x:f>ROUNDDOWN(VLOOKUP(B6,'候选参数'!$A$4:$M$6,13,FALSE)*(10000+'候选参数'!$K$14*'候选参数'!$K$12)/10000*M6,0)</x:f>
        <x:v>32</x:v>
      </x:c>
      <x:c r="Q6" s="46" t="n">
        <x:f>O6+P6</x:f>
        <x:v>76</x:v>
      </x:c>
      <x:c r="R6" s="46" t="n">
        <x:f>ROUNDUP(J6*(10000-N6)/10000,0)</x:f>
        <x:v>378</x:v>
      </x:c>
      <x:c r="S6" s="46" t="n">
        <x:f>MAX(VLOOKUP(B6,'候选参数'!$A$4:$M$6,5,FALSE),R6-Q6)</x:f>
        <x:v>302</x:v>
      </x:c>
      <x:c r="T6" s="46" t="n">
        <x:f>VLOOKUP(B6,'候选参数'!$A$4:$M$6,5,FALSE)</x:f>
        <x:v>60</x:v>
      </x:c>
      <x:c r="U6" s="46" t="b">
        <x:f>S6=T6</x:f>
        <x:v>0</x:v>
      </x:c>
      <x:c r="V6" s="46" t="n">
        <x:f>MAX(0,10000-ROUNDUP(S6*10000/D6,0))</x:f>
        <x:v>7888</x:v>
      </x:c>
      <x:c r="W6" s="46" t="n">
        <x:f>VLOOKUP(B6,'候选参数'!$A$4:$M$6,6,FALSE)</x:f>
        <x:v>7600</x:v>
      </x:c>
      <x:c r="X6" s="46" t="n">
        <x:f>MIN(VLOOKUP(B6,'候选参数'!$A$4:$M$6,8,FALSE),VLOOKUP(B6,'候选参数'!$A$4:$M$6,7,FALSE)+ROUNDDOWN((VLOOKUP(B6,'候选参数'!$A$4:$M$6,8,FALSE)-VLOOKUP(B6,'候选参数'!$A$4:$M$6,7,FALSE))*(V6-W6)/(10000-W6),0))</x:f>
        <x:v>8656</x:v>
      </x:c>
      <x:c r="Y6" s="46" t="n">
        <x:f>VLOOKUP(B6,'候选参数'!$A$4:$M$6,9,FALSE)</x:f>
        <x:v>600</x:v>
      </x:c>
      <x:c r="Z6" s="46" t="n">
        <x:f>ROUNDDOWN(600/VLOOKUP(B6,'候选参数'!$A$4:$M$6,10,FALSE),0)</x:f>
        <x:v>6</x:v>
      </x:c>
      <x:c r="AA6" s="46" t="n">
        <x:f>MIN(Z6,VLOOKUP(A6,'选样'!$A$4:$N$13,13,FALSE))</x:f>
        <x:v>5</x:v>
      </x:c>
      <x:c r="AB6" s="59" t="n">
        <x:f>S6/'候选参数'!$K$16</x:f>
        <x:v>0.25166666666666665</x:v>
      </x:c>
      <x:c r="AC6" s="46" t="b">
        <x:f>VLOOKUP(A6,'逐份投药'!$A$4:$Y$13,24,FALSE)</x:f>
        <x:v>1</x:v>
      </x:c>
      <x:c r="AD6" s="46" t="b">
        <x:f>VLOOKUP(A6,'逐份投药'!$A$4:$Y$13,25,FALSE)</x:f>
        <x:v>1</x:v>
      </x:c>
      <x:c r="AE6" s="46" t="b">
        <x:f>AND(D6&gt;=E6,G6&lt;=H6,V6&gt;=W6,AC6)</x:f>
        <x:v>1</x:v>
      </x:c>
      <x:c r="AF6" s="59" t="n">
        <x:f>Q6/R6</x:f>
        <x:v>0.20105820105820105</x:v>
      </x:c>
      <x:c r="AG6" s="46" t="str">
        <x:f>IF(AE6,"通过","失败")</x:f>
        <x:v>通过</x:v>
      </x:c>
      <x:c r="AH6" s="46" t="str">
        <x:f>IF(U6,"最低杂质触底","未触底")</x:f>
        <x:v>未触底</x:v>
      </x:c>
    </x:row>
    <x:row r="7">
      <x:c r="A7" s="46" t="str">
        <x:f>'选样'!A7</x:f>
        <x:v>S04</x:v>
      </x:c>
      <x:c r="B7" s="46" t="str">
        <x:f>'选样'!F7</x:f>
        <x:v>凡品</x:v>
      </x:c>
      <x:c r="C7" s="46" t="str">
        <x:f>'选样'!E7</x:f>
        <x:v>宽炉覆盖</x:v>
      </x:c>
      <x:c r="D7" s="46" t="n">
        <x:f>SUMIF('配方明细'!$A$4:$A$47,A7,'配方明细'!$M$4:$M$47)</x:f>
        <x:v>1320</x:v>
      </x:c>
      <x:c r="E7" s="46" t="n">
        <x:f>VLOOKUP(B7,'候选参数'!$A$4:$M$6,2,FALSE)</x:f>
        <x:v>1000</x:v>
      </x:c>
      <x:c r="F7" s="58" t="n">
        <x:f>D7/E7</x:f>
        <x:v>1.32</x:v>
      </x:c>
      <x:c r="G7" s="46" t="n">
        <x:f>SUMIF('配方明细'!$A$4:$A$47,A7,'配方明细'!$D$4:$D$47)-2</x:f>
        <x:v>4</x:v>
      </x:c>
      <x:c r="H7" s="46" t="n">
        <x:f>VLOOKUP(B7,'候选参数'!$A$4:$M$6,11,FALSE)</x:f>
        <x:v>7</x:v>
      </x:c>
      <x:c r="I7" s="58" t="n">
        <x:f>G7/H7</x:f>
        <x:v>0.5714285714285714</x:v>
      </x:c>
      <x:c r="J7" s="46" t="n">
        <x:f>SUMIF('配方明细'!$A$4:$A$47,A7,'配方明细'!$N$4:$N$47)</x:f>
        <x:v>390</x:v>
      </x:c>
      <x:c r="K7" s="46" t="n">
        <x:f>VLOOKUP(VLOOKUP(A7,'选样'!$A$4:$N$13,12,FALSE),'候选参数'!$A$10:$H$15,7,FALSE)</x:f>
        <x:v>500</x:v>
      </x:c>
      <x:c r="L7" s="46" t="n">
        <x:f>VLOOKUP(VLOOKUP(A7,'选样'!$A$4:$N$13,12,FALSE),'候选参数'!$A$10:$H$15,4,FALSE)</x:f>
        <x:v>0</x:v>
      </x:c>
      <x:c r="M7" s="46" t="n">
        <x:f>POWER('候选参数'!$K$10,L7)</x:f>
        <x:v>1</x:v>
      </x:c>
      <x:c r="N7" s="46" t="n">
        <x:f>MIN(10000,ROUNDDOWN(K7*M7,0))</x:f>
        <x:v>500</x:v>
      </x:c>
      <x:c r="O7" s="46" t="n">
        <x:f>ROUNDDOWN(VLOOKUP(B7,'候选参数'!$A$4:$M$6,12,FALSE)*(10000+'候选参数'!$K$13*'候选参数'!$K$11)/10000*M7,0)</x:f>
        <x:v>44</x:v>
      </x:c>
      <x:c r="P7" s="46" t="n">
        <x:f>ROUNDDOWN(VLOOKUP(B7,'候选参数'!$A$4:$M$6,13,FALSE)*(10000+'候选参数'!$K$14*'候选参数'!$K$12)/10000*M7,0)</x:f>
        <x:v>32</x:v>
      </x:c>
      <x:c r="Q7" s="46" t="n">
        <x:f>O7+P7</x:f>
        <x:v>76</x:v>
      </x:c>
      <x:c r="R7" s="46" t="n">
        <x:f>ROUNDUP(J7*(10000-N7)/10000,0)</x:f>
        <x:v>371</x:v>
      </x:c>
      <x:c r="S7" s="46" t="n">
        <x:f>MAX(VLOOKUP(B7,'候选参数'!$A$4:$M$6,5,FALSE),R7-Q7)</x:f>
        <x:v>295</x:v>
      </x:c>
      <x:c r="T7" s="46" t="n">
        <x:f>VLOOKUP(B7,'候选参数'!$A$4:$M$6,5,FALSE)</x:f>
        <x:v>60</x:v>
      </x:c>
      <x:c r="U7" s="46" t="b">
        <x:f>S7=T7</x:f>
        <x:v>0</x:v>
      </x:c>
      <x:c r="V7" s="46" t="n">
        <x:f>MAX(0,10000-ROUNDUP(S7*10000/D7,0))</x:f>
        <x:v>7765</x:v>
      </x:c>
      <x:c r="W7" s="46" t="n">
        <x:f>VLOOKUP(B7,'候选参数'!$A$4:$M$6,6,FALSE)</x:f>
        <x:v>7600</x:v>
      </x:c>
      <x:c r="X7" s="46" t="n">
        <x:f>MIN(VLOOKUP(B7,'候选参数'!$A$4:$M$6,8,FALSE),VLOOKUP(B7,'候选参数'!$A$4:$M$6,7,FALSE)+ROUNDDOWN((VLOOKUP(B7,'候选参数'!$A$4:$M$6,8,FALSE)-VLOOKUP(B7,'候选参数'!$A$4:$M$6,7,FALSE))*(V7-W7)/(10000-W7),0))</x:f>
        <x:v>8589</x:v>
      </x:c>
      <x:c r="Y7" s="46" t="n">
        <x:f>VLOOKUP(B7,'候选参数'!$A$4:$M$6,9,FALSE)</x:f>
        <x:v>600</x:v>
      </x:c>
      <x:c r="Z7" s="46" t="n">
        <x:f>ROUNDDOWN(600/VLOOKUP(B7,'候选参数'!$A$4:$M$6,10,FALSE),0)</x:f>
        <x:v>6</x:v>
      </x:c>
      <x:c r="AA7" s="46" t="n">
        <x:f>MIN(Z7,VLOOKUP(A7,'选样'!$A$4:$N$13,13,FALSE))</x:f>
        <x:v>5</x:v>
      </x:c>
      <x:c r="AB7" s="59" t="n">
        <x:f>S7/'候选参数'!$K$16</x:f>
        <x:v>0.24583333333333332</x:v>
      </x:c>
      <x:c r="AC7" s="46" t="b">
        <x:f>VLOOKUP(A7,'逐份投药'!$A$4:$Y$13,24,FALSE)</x:f>
        <x:v>1</x:v>
      </x:c>
      <x:c r="AD7" s="46" t="b">
        <x:f>VLOOKUP(A7,'逐份投药'!$A$4:$Y$13,25,FALSE)</x:f>
        <x:v>0</x:v>
      </x:c>
      <x:c r="AE7" s="46" t="b">
        <x:f>AND(D7&gt;=E7,G7&lt;=H7,V7&gt;=W7,AC7)</x:f>
        <x:v>1</x:v>
      </x:c>
      <x:c r="AF7" s="59" t="n">
        <x:f>Q7/R7</x:f>
        <x:v>0.20485175202156333</x:v>
      </x:c>
      <x:c r="AG7" s="46" t="str">
        <x:f>IF(AE7,"通过","失败")</x:f>
        <x:v>通过</x:v>
      </x:c>
      <x:c r="AH7" s="46" t="str">
        <x:f>IF(U7,"最低杂质触底","未触底")</x:f>
        <x:v>未触底</x:v>
      </x:c>
    </x:row>
    <x:row r="8">
      <x:c r="A8" s="46" t="str">
        <x:f>'选样'!A8</x:f>
        <x:v>S05</x:v>
      </x:c>
      <x:c r="B8" s="46" t="str">
        <x:f>'选样'!F8</x:f>
        <x:v>凡品</x:v>
      </x:c>
      <x:c r="C8" s="46" t="str">
        <x:f>'选样'!E8</x:f>
        <x:v>偏热炉覆盖</x:v>
      </x:c>
      <x:c r="D8" s="46" t="n">
        <x:f>SUMIF('配方明细'!$A$4:$A$47,A8,'配方明细'!$M$4:$M$47)</x:f>
        <x:v>1130</x:v>
      </x:c>
      <x:c r="E8" s="46" t="n">
        <x:f>VLOOKUP(B8,'候选参数'!$A$4:$M$6,2,FALSE)</x:f>
        <x:v>1000</x:v>
      </x:c>
      <x:c r="F8" s="58" t="n">
        <x:f>D8/E8</x:f>
        <x:v>1.13</x:v>
      </x:c>
      <x:c r="G8" s="46" t="n">
        <x:f>SUMIF('配方明细'!$A$4:$A$47,A8,'配方明细'!$D$4:$D$47)-2</x:f>
        <x:v>5</x:v>
      </x:c>
      <x:c r="H8" s="46" t="n">
        <x:f>VLOOKUP(B8,'候选参数'!$A$4:$M$6,11,FALSE)</x:f>
        <x:v>7</x:v>
      </x:c>
      <x:c r="I8" s="58" t="n">
        <x:f>G8/H8</x:f>
        <x:v>0.7142857142857143</x:v>
      </x:c>
      <x:c r="J8" s="46" t="n">
        <x:f>SUMIF('配方明细'!$A$4:$A$47,A8,'配方明细'!$N$4:$N$47)</x:f>
        <x:v>303</x:v>
      </x:c>
      <x:c r="K8" s="46" t="n">
        <x:f>VLOOKUP(VLOOKUP(A8,'选样'!$A$4:$N$13,12,FALSE),'候选参数'!$A$10:$H$15,7,FALSE)</x:f>
        <x:v>700</x:v>
      </x:c>
      <x:c r="L8" s="46" t="n">
        <x:f>VLOOKUP(VLOOKUP(A8,'选样'!$A$4:$N$13,12,FALSE),'候选参数'!$A$10:$H$15,4,FALSE)</x:f>
        <x:v>0</x:v>
      </x:c>
      <x:c r="M8" s="46" t="n">
        <x:f>POWER('候选参数'!$K$10,L8)</x:f>
        <x:v>1</x:v>
      </x:c>
      <x:c r="N8" s="46" t="n">
        <x:f>MIN(10000,ROUNDDOWN(K8*M8,0))</x:f>
        <x:v>700</x:v>
      </x:c>
      <x:c r="O8" s="46" t="n">
        <x:f>ROUNDDOWN(VLOOKUP(B8,'候选参数'!$A$4:$M$6,12,FALSE)*(10000+'候选参数'!$K$13*'候选参数'!$K$11)/10000*M8,0)</x:f>
        <x:v>44</x:v>
      </x:c>
      <x:c r="P8" s="46" t="n">
        <x:f>ROUNDDOWN(VLOOKUP(B8,'候选参数'!$A$4:$M$6,13,FALSE)*(10000+'候选参数'!$K$14*'候选参数'!$K$12)/10000*M8,0)</x:f>
        <x:v>32</x:v>
      </x:c>
      <x:c r="Q8" s="46" t="n">
        <x:f>O8+P8</x:f>
        <x:v>76</x:v>
      </x:c>
      <x:c r="R8" s="46" t="n">
        <x:f>ROUNDUP(J8*(10000-N8)/10000,0)</x:f>
        <x:v>282</x:v>
      </x:c>
      <x:c r="S8" s="46" t="n">
        <x:f>MAX(VLOOKUP(B8,'候选参数'!$A$4:$M$6,5,FALSE),R8-Q8)</x:f>
        <x:v>206</x:v>
      </x:c>
      <x:c r="T8" s="46" t="n">
        <x:f>VLOOKUP(B8,'候选参数'!$A$4:$M$6,5,FALSE)</x:f>
        <x:v>60</x:v>
      </x:c>
      <x:c r="U8" s="46" t="b">
        <x:f>S8=T8</x:f>
        <x:v>0</x:v>
      </x:c>
      <x:c r="V8" s="46" t="n">
        <x:f>MAX(0,10000-ROUNDUP(S8*10000/D8,0))</x:f>
        <x:v>8176</x:v>
      </x:c>
      <x:c r="W8" s="46" t="n">
        <x:f>VLOOKUP(B8,'候选参数'!$A$4:$M$6,6,FALSE)</x:f>
        <x:v>7600</x:v>
      </x:c>
      <x:c r="X8" s="46" t="n">
        <x:f>MIN(VLOOKUP(B8,'候选参数'!$A$4:$M$6,8,FALSE),VLOOKUP(B8,'候选参数'!$A$4:$M$6,7,FALSE)+ROUNDDOWN((VLOOKUP(B8,'候选参数'!$A$4:$M$6,8,FALSE)-VLOOKUP(B8,'候选参数'!$A$4:$M$6,7,FALSE))*(V8-W8)/(10000-W8),0))</x:f>
        <x:v>8812</x:v>
      </x:c>
      <x:c r="Y8" s="46" t="n">
        <x:f>VLOOKUP(B8,'候选参数'!$A$4:$M$6,9,FALSE)</x:f>
        <x:v>600</x:v>
      </x:c>
      <x:c r="Z8" s="46" t="n">
        <x:f>ROUNDDOWN(600/VLOOKUP(B8,'候选参数'!$A$4:$M$6,10,FALSE),0)</x:f>
        <x:v>6</x:v>
      </x:c>
      <x:c r="AA8" s="46" t="n">
        <x:f>MIN(Z8,VLOOKUP(A8,'选样'!$A$4:$N$13,13,FALSE))</x:f>
        <x:v>5</x:v>
      </x:c>
      <x:c r="AB8" s="59" t="n">
        <x:f>S8/'候选参数'!$K$16</x:f>
        <x:v>0.17166666666666666</x:v>
      </x:c>
      <x:c r="AC8" s="46" t="b">
        <x:f>VLOOKUP(A8,'逐份投药'!$A$4:$Y$13,24,FALSE)</x:f>
        <x:v>1</x:v>
      </x:c>
      <x:c r="AD8" s="46" t="b">
        <x:f>VLOOKUP(A8,'逐份投药'!$A$4:$Y$13,25,FALSE)</x:f>
        <x:v>0</x:v>
      </x:c>
      <x:c r="AE8" s="46" t="b">
        <x:f>AND(D8&gt;=E8,G8&lt;=H8,V8&gt;=W8,AC8)</x:f>
        <x:v>1</x:v>
      </x:c>
      <x:c r="AF8" s="59" t="n">
        <x:f>Q8/R8</x:f>
        <x:v>0.2695035460992908</x:v>
      </x:c>
      <x:c r="AG8" s="46" t="str">
        <x:f>IF(AE8,"通过","失败")</x:f>
        <x:v>通过</x:v>
      </x:c>
      <x:c r="AH8" s="46" t="str">
        <x:f>IF(U8,"最低杂质触底","未触底")</x:f>
        <x:v>未触底</x:v>
      </x:c>
    </x:row>
    <x:row r="9">
      <x:c r="A9" s="46" t="str">
        <x:f>'选样'!A9</x:f>
        <x:v>S06</x:v>
      </x:c>
      <x:c r="B9" s="46" t="str">
        <x:f>'选样'!F9</x:f>
        <x:v>凡品</x:v>
      </x:c>
      <x:c r="C9" s="46" t="str">
        <x:f>'选样'!E9</x:f>
        <x:v>偏寒炉顺序压力</x:v>
      </x:c>
      <x:c r="D9" s="46" t="n">
        <x:f>SUMIF('配方明细'!$A$4:$A$47,A9,'配方明细'!$M$4:$M$47)</x:f>
        <x:v>1320</x:v>
      </x:c>
      <x:c r="E9" s="46" t="n">
        <x:f>VLOOKUP(B9,'候选参数'!$A$4:$M$6,2,FALSE)</x:f>
        <x:v>1000</x:v>
      </x:c>
      <x:c r="F9" s="58" t="n">
        <x:f>D9/E9</x:f>
        <x:v>1.32</x:v>
      </x:c>
      <x:c r="G9" s="46" t="n">
        <x:f>SUMIF('配方明细'!$A$4:$A$47,A9,'配方明细'!$D$4:$D$47)-2</x:f>
        <x:v>4</x:v>
      </x:c>
      <x:c r="H9" s="46" t="n">
        <x:f>VLOOKUP(B9,'候选参数'!$A$4:$M$6,11,FALSE)</x:f>
        <x:v>7</x:v>
      </x:c>
      <x:c r="I9" s="58" t="n">
        <x:f>G9/H9</x:f>
        <x:v>0.5714285714285714</x:v>
      </x:c>
      <x:c r="J9" s="46" t="n">
        <x:f>SUMIF('配方明细'!$A$4:$A$47,A9,'配方明细'!$N$4:$N$47)</x:f>
        <x:v>390</x:v>
      </x:c>
      <x:c r="K9" s="46" t="n">
        <x:f>VLOOKUP(VLOOKUP(A9,'选样'!$A$4:$N$13,12,FALSE),'候选参数'!$A$10:$H$15,7,FALSE)</x:f>
        <x:v>700</x:v>
      </x:c>
      <x:c r="L9" s="46" t="n">
        <x:f>VLOOKUP(VLOOKUP(A9,'选样'!$A$4:$N$13,12,FALSE),'候选参数'!$A$10:$H$15,4,FALSE)</x:f>
        <x:v>0</x:v>
      </x:c>
      <x:c r="M9" s="46" t="n">
        <x:f>POWER('候选参数'!$K$10,L9)</x:f>
        <x:v>1</x:v>
      </x:c>
      <x:c r="N9" s="46" t="n">
        <x:f>MIN(10000,ROUNDDOWN(K9*M9,0))</x:f>
        <x:v>700</x:v>
      </x:c>
      <x:c r="O9" s="46" t="n">
        <x:f>ROUNDDOWN(VLOOKUP(B9,'候选参数'!$A$4:$M$6,12,FALSE)*(10000+'候选参数'!$K$13*'候选参数'!$K$11)/10000*M9,0)</x:f>
        <x:v>44</x:v>
      </x:c>
      <x:c r="P9" s="46" t="n">
        <x:f>ROUNDDOWN(VLOOKUP(B9,'候选参数'!$A$4:$M$6,13,FALSE)*(10000+'候选参数'!$K$14*'候选参数'!$K$12)/10000*M9,0)</x:f>
        <x:v>32</x:v>
      </x:c>
      <x:c r="Q9" s="46" t="n">
        <x:f>O9+P9</x:f>
        <x:v>76</x:v>
      </x:c>
      <x:c r="R9" s="46" t="n">
        <x:f>ROUNDUP(J9*(10000-N9)/10000,0)</x:f>
        <x:v>363</x:v>
      </x:c>
      <x:c r="S9" s="46" t="n">
        <x:f>MAX(VLOOKUP(B9,'候选参数'!$A$4:$M$6,5,FALSE),R9-Q9)</x:f>
        <x:v>287</x:v>
      </x:c>
      <x:c r="T9" s="46" t="n">
        <x:f>VLOOKUP(B9,'候选参数'!$A$4:$M$6,5,FALSE)</x:f>
        <x:v>60</x:v>
      </x:c>
      <x:c r="U9" s="46" t="b">
        <x:f>S9=T9</x:f>
        <x:v>0</x:v>
      </x:c>
      <x:c r="V9" s="46" t="n">
        <x:f>MAX(0,10000-ROUNDUP(S9*10000/D9,0))</x:f>
        <x:v>7825</x:v>
      </x:c>
      <x:c r="W9" s="46" t="n">
        <x:f>VLOOKUP(B9,'候选参数'!$A$4:$M$6,6,FALSE)</x:f>
        <x:v>7600</x:v>
      </x:c>
      <x:c r="X9" s="46" t="n">
        <x:f>MIN(VLOOKUP(B9,'候选参数'!$A$4:$M$6,8,FALSE),VLOOKUP(B9,'候选参数'!$A$4:$M$6,7,FALSE)+ROUNDDOWN((VLOOKUP(B9,'候选参数'!$A$4:$M$6,8,FALSE)-VLOOKUP(B9,'候选参数'!$A$4:$M$6,7,FALSE))*(V9-W9)/(10000-W9),0))</x:f>
        <x:v>8621</x:v>
      </x:c>
      <x:c r="Y9" s="46" t="n">
        <x:f>VLOOKUP(B9,'候选参数'!$A$4:$M$6,9,FALSE)</x:f>
        <x:v>600</x:v>
      </x:c>
      <x:c r="Z9" s="46" t="n">
        <x:f>ROUNDDOWN(600/VLOOKUP(B9,'候选参数'!$A$4:$M$6,10,FALSE),0)</x:f>
        <x:v>6</x:v>
      </x:c>
      <x:c r="AA9" s="46" t="n">
        <x:f>MIN(Z9,VLOOKUP(A9,'选样'!$A$4:$N$13,13,FALSE))</x:f>
        <x:v>5</x:v>
      </x:c>
      <x:c r="AB9" s="59" t="n">
        <x:f>S9/'候选参数'!$K$16</x:f>
        <x:v>0.23916666666666667</x:v>
      </x:c>
      <x:c r="AC9" s="46" t="b">
        <x:f>VLOOKUP(A9,'逐份投药'!$A$4:$Y$13,24,FALSE)</x:f>
        <x:v>1</x:v>
      </x:c>
      <x:c r="AD9" s="46" t="b">
        <x:f>VLOOKUP(A9,'逐份投药'!$A$4:$Y$13,25,FALSE)</x:f>
        <x:v>0</x:v>
      </x:c>
      <x:c r="AE9" s="46" t="b">
        <x:f>AND(D9&gt;=E9,G9&lt;=H9,V9&gt;=W9,AC9)</x:f>
        <x:v>1</x:v>
      </x:c>
      <x:c r="AF9" s="59" t="n">
        <x:f>Q9/R9</x:f>
        <x:v>0.209366391184573</x:v>
      </x:c>
      <x:c r="AG9" s="46" t="str">
        <x:f>IF(AE9,"通过","失败")</x:f>
        <x:v>通过</x:v>
      </x:c>
      <x:c r="AH9" s="46" t="str">
        <x:f>IF(U9,"最低杂质触底","未触底")</x:f>
        <x:v>未触底</x:v>
      </x:c>
    </x:row>
    <x:row r="10">
      <x:c r="A10" s="46" t="str">
        <x:f>'选样'!A10</x:f>
        <x:v>S07</x:v>
      </x:c>
      <x:c r="B10" s="46" t="str">
        <x:f>'选样'!F10</x:f>
        <x:v>灵品</x:v>
      </x:c>
      <x:c r="C10" s="46" t="str">
        <x:f>'选样'!E10</x:f>
        <x:v>灵品低药力极限份数</x:v>
      </x:c>
      <x:c r="D10" s="46" t="n">
        <x:f>SUMIF('配方明细'!$A$4:$A$47,A10,'配方明细'!$M$4:$M$47)</x:f>
        <x:v>1380</x:v>
      </x:c>
      <x:c r="E10" s="46" t="n">
        <x:f>VLOOKUP(B10,'候选参数'!$A$4:$M$6,2,FALSE)</x:f>
        <x:v>1250</x:v>
      </x:c>
      <x:c r="F10" s="58" t="n">
        <x:f>D10/E10</x:f>
        <x:v>1.104</x:v>
      </x:c>
      <x:c r="G10" s="46" t="n">
        <x:f>SUMIF('配方明细'!$A$4:$A$47,A10,'配方明细'!$D$4:$D$47)-2</x:f>
        <x:v>8</x:v>
      </x:c>
      <x:c r="H10" s="46" t="n">
        <x:f>VLOOKUP(B10,'候选参数'!$A$4:$M$6,11,FALSE)</x:f>
        <x:v>8</x:v>
      </x:c>
      <x:c r="I10" s="58" t="n">
        <x:f>G10/H10</x:f>
        <x:v>1</x:v>
      </x:c>
      <x:c r="J10" s="46" t="n">
        <x:f>SUMIF('配方明细'!$A$4:$A$47,A10,'配方明细'!$N$4:$N$47)</x:f>
        <x:v>297</x:v>
      </x:c>
      <x:c r="K10" s="46" t="n">
        <x:f>VLOOKUP(VLOOKUP(A10,'选样'!$A$4:$N$13,12,FALSE),'候选参数'!$A$10:$H$15,7,FALSE)</x:f>
        <x:v>1600</x:v>
      </x:c>
      <x:c r="L10" s="46" t="n">
        <x:f>VLOOKUP(VLOOKUP(A10,'选样'!$A$4:$N$13,12,FALSE),'候选参数'!$A$10:$H$15,4,FALSE)</x:f>
        <x:v>0</x:v>
      </x:c>
      <x:c r="M10" s="46" t="n">
        <x:f>POWER('候选参数'!$K$10,L10)</x:f>
        <x:v>1</x:v>
      </x:c>
      <x:c r="N10" s="46" t="n">
        <x:f>MIN(10000,ROUNDDOWN(K10*M10,0))</x:f>
        <x:v>1600</x:v>
      </x:c>
      <x:c r="O10" s="46" t="n">
        <x:f>ROUNDDOWN(VLOOKUP(B10,'候选参数'!$A$4:$M$6,12,FALSE)*(10000+'候选参数'!$K$13*'候选参数'!$K$11)/10000*M10,0)</x:f>
        <x:v>61</x:v>
      </x:c>
      <x:c r="P10" s="46" t="n">
        <x:f>ROUNDDOWN(VLOOKUP(B10,'候选参数'!$A$4:$M$6,13,FALSE)*(10000+'候选参数'!$K$14*'候选参数'!$K$12)/10000*M10,0)</x:f>
        <x:v>43</x:v>
      </x:c>
      <x:c r="Q10" s="46" t="n">
        <x:f>O10+P10</x:f>
        <x:v>104</x:v>
      </x:c>
      <x:c r="R10" s="46" t="n">
        <x:f>ROUNDUP(J10*(10000-N10)/10000,0)</x:f>
        <x:v>250</x:v>
      </x:c>
      <x:c r="S10" s="46" t="n">
        <x:f>MAX(VLOOKUP(B10,'候选参数'!$A$4:$M$6,5,FALSE),R10-Q10)</x:f>
        <x:v>146</x:v>
      </x:c>
      <x:c r="T10" s="46" t="n">
        <x:f>VLOOKUP(B10,'候选参数'!$A$4:$M$6,5,FALSE)</x:f>
        <x:v>75</x:v>
      </x:c>
      <x:c r="U10" s="46" t="b">
        <x:f>S10=T10</x:f>
        <x:v>0</x:v>
      </x:c>
      <x:c r="V10" s="46" t="n">
        <x:f>MAX(0,10000-ROUNDUP(S10*10000/D10,0))</x:f>
        <x:v>8942</x:v>
      </x:c>
      <x:c r="W10" s="46" t="n">
        <x:f>VLOOKUP(B10,'候选参数'!$A$4:$M$6,6,FALSE)</x:f>
        <x:v>7800</x:v>
      </x:c>
      <x:c r="X10" s="46" t="n">
        <x:f>MIN(VLOOKUP(B10,'候选参数'!$A$4:$M$6,8,FALSE),VLOOKUP(B10,'候选参数'!$A$4:$M$6,7,FALSE)+ROUNDDOWN((VLOOKUP(B10,'候选参数'!$A$4:$M$6,8,FALSE)-VLOOKUP(B10,'候选参数'!$A$4:$M$6,7,FALSE))*(V10-W10)/(10000-W10),0))</x:f>
        <x:v>7797</x:v>
      </x:c>
      <x:c r="Y10" s="46" t="n">
        <x:f>VLOOKUP(B10,'候选参数'!$A$4:$M$6,9,FALSE)</x:f>
        <x:v>200</x:v>
      </x:c>
      <x:c r="Z10" s="46" t="n">
        <x:f>ROUNDDOWN(600/VLOOKUP(B10,'候选参数'!$A$4:$M$6,10,FALSE),0)</x:f>
        <x:v>3</x:v>
      </x:c>
      <x:c r="AA10" s="46" t="n">
        <x:f>MIN(Z10,VLOOKUP(A10,'选样'!$A$4:$N$13,13,FALSE))</x:f>
        <x:v>3</x:v>
      </x:c>
      <x:c r="AB10" s="59" t="n">
        <x:f>S10/'候选参数'!$K$16</x:f>
        <x:v>0.12166666666666667</x:v>
      </x:c>
      <x:c r="AC10" s="46" t="b">
        <x:f>VLOOKUP(A10,'逐份投药'!$A$4:$Y$13,24,FALSE)</x:f>
        <x:v>1</x:v>
      </x:c>
      <x:c r="AD10" s="46" t="b">
        <x:f>VLOOKUP(A10,'逐份投药'!$A$4:$Y$13,25,FALSE)</x:f>
        <x:v>1</x:v>
      </x:c>
      <x:c r="AE10" s="46" t="b">
        <x:f>AND(D10&gt;=E10,G10&lt;=H10,V10&gt;=W10,AC10)</x:f>
        <x:v>1</x:v>
      </x:c>
      <x:c r="AF10" s="59" t="n">
        <x:f>Q10/R10</x:f>
        <x:v>0.416</x:v>
      </x:c>
      <x:c r="AG10" s="46" t="str">
        <x:f>IF(AE10,"通过","失败")</x:f>
        <x:v>通过</x:v>
      </x:c>
      <x:c r="AH10" s="46" t="str">
        <x:f>IF(U10,"最低杂质触底","未触底")</x:f>
        <x:v>未触底</x:v>
      </x:c>
    </x:row>
    <x:row r="11">
      <x:c r="A11" s="46" t="str">
        <x:f>'选样'!A11</x:f>
        <x:v>S08</x:v>
      </x:c>
      <x:c r="B11" s="46" t="str">
        <x:f>'选样'!F11</x:f>
        <x:v>灵品</x:v>
      </x:c>
      <x:c r="C11" s="46" t="str">
        <x:f>'选样'!E11</x:f>
        <x:v>灵品宽炉省位</x:v>
      </x:c>
      <x:c r="D11" s="46" t="n">
        <x:f>SUMIF('配方明细'!$A$4:$A$47,A11,'配方明细'!$M$4:$M$47)</x:f>
        <x:v>1380</x:v>
      </x:c>
      <x:c r="E11" s="46" t="n">
        <x:f>VLOOKUP(B11,'候选参数'!$A$4:$M$6,2,FALSE)</x:f>
        <x:v>1250</x:v>
      </x:c>
      <x:c r="F11" s="58" t="n">
        <x:f>D11/E11</x:f>
        <x:v>1.104</x:v>
      </x:c>
      <x:c r="G11" s="46" t="n">
        <x:f>SUMIF('配方明细'!$A$4:$A$47,A11,'配方明细'!$D$4:$D$47)-2</x:f>
        <x:v>4</x:v>
      </x:c>
      <x:c r="H11" s="46" t="n">
        <x:f>VLOOKUP(B11,'候选参数'!$A$4:$M$6,11,FALSE)</x:f>
        <x:v>8</x:v>
      </x:c>
      <x:c r="I11" s="58" t="n">
        <x:f>G11/H11</x:f>
        <x:v>0.5</x:v>
      </x:c>
      <x:c r="J11" s="46" t="n">
        <x:f>SUMIF('配方明细'!$A$4:$A$47,A11,'配方明细'!$N$4:$N$47)</x:f>
        <x:v>425</x:v>
      </x:c>
      <x:c r="K11" s="46" t="n">
        <x:f>VLOOKUP(VLOOKUP(A11,'选样'!$A$4:$N$13,12,FALSE),'候选参数'!$A$10:$H$15,7,FALSE)</x:f>
        <x:v>500</x:v>
      </x:c>
      <x:c r="L11" s="46" t="n">
        <x:f>VLOOKUP(VLOOKUP(A11,'选样'!$A$4:$N$13,12,FALSE),'候选参数'!$A$10:$H$15,4,FALSE)</x:f>
        <x:v>0</x:v>
      </x:c>
      <x:c r="M11" s="46" t="n">
        <x:f>POWER('候选参数'!$K$10,L11)</x:f>
        <x:v>1</x:v>
      </x:c>
      <x:c r="N11" s="46" t="n">
        <x:f>MIN(10000,ROUNDDOWN(K11*M11,0))</x:f>
        <x:v>500</x:v>
      </x:c>
      <x:c r="O11" s="46" t="n">
        <x:f>ROUNDDOWN(VLOOKUP(B11,'候选参数'!$A$4:$M$6,12,FALSE)*(10000+'候选参数'!$K$13*'候选参数'!$K$11)/10000*M11,0)</x:f>
        <x:v>61</x:v>
      </x:c>
      <x:c r="P11" s="46" t="n">
        <x:f>ROUNDDOWN(VLOOKUP(B11,'候选参数'!$A$4:$M$6,13,FALSE)*(10000+'候选参数'!$K$14*'候选参数'!$K$12)/10000*M11,0)</x:f>
        <x:v>43</x:v>
      </x:c>
      <x:c r="Q11" s="46" t="n">
        <x:f>O11+P11</x:f>
        <x:v>104</x:v>
      </x:c>
      <x:c r="R11" s="46" t="n">
        <x:f>ROUNDUP(J11*(10000-N11)/10000,0)</x:f>
        <x:v>404</x:v>
      </x:c>
      <x:c r="S11" s="46" t="n">
        <x:f>MAX(VLOOKUP(B11,'候选参数'!$A$4:$M$6,5,FALSE),R11-Q11)</x:f>
        <x:v>300</x:v>
      </x:c>
      <x:c r="T11" s="46" t="n">
        <x:f>VLOOKUP(B11,'候选参数'!$A$4:$M$6,5,FALSE)</x:f>
        <x:v>75</x:v>
      </x:c>
      <x:c r="U11" s="46" t="b">
        <x:f>S11=T11</x:f>
        <x:v>0</x:v>
      </x:c>
      <x:c r="V11" s="46" t="n">
        <x:f>MAX(0,10000-ROUNDUP(S11*10000/D11,0))</x:f>
        <x:v>7826</x:v>
      </x:c>
      <x:c r="W11" s="46" t="n">
        <x:f>VLOOKUP(B11,'候选参数'!$A$4:$M$6,6,FALSE)</x:f>
        <x:v>7800</x:v>
      </x:c>
      <x:c r="X11" s="46" t="n">
        <x:f>MIN(VLOOKUP(B11,'候选参数'!$A$4:$M$6,8,FALSE),VLOOKUP(B11,'候选参数'!$A$4:$M$6,7,FALSE)+ROUNDDOWN((VLOOKUP(B11,'候选参数'!$A$4:$M$6,8,FALSE)-VLOOKUP(B11,'候选参数'!$A$4:$M$6,7,FALSE))*(V11-W11)/(10000-W11),0))</x:f>
        <x:v>6529</x:v>
      </x:c>
      <x:c r="Y11" s="46" t="n">
        <x:f>VLOOKUP(B11,'候选参数'!$A$4:$M$6,9,FALSE)</x:f>
        <x:v>200</x:v>
      </x:c>
      <x:c r="Z11" s="46" t="n">
        <x:f>ROUNDDOWN(600/VLOOKUP(B11,'候选参数'!$A$4:$M$6,10,FALSE),0)</x:f>
        <x:v>3</x:v>
      </x:c>
      <x:c r="AA11" s="46" t="n">
        <x:f>MIN(Z11,VLOOKUP(A11,'选样'!$A$4:$N$13,13,FALSE))</x:f>
        <x:v>3</x:v>
      </x:c>
      <x:c r="AB11" s="59" t="n">
        <x:f>S11/'候选参数'!$K$16</x:f>
        <x:v>0.25</x:v>
      </x:c>
      <x:c r="AC11" s="46" t="b">
        <x:f>VLOOKUP(A11,'逐份投药'!$A$4:$Y$13,24,FALSE)</x:f>
        <x:v>1</x:v>
      </x:c>
      <x:c r="AD11" s="46" t="b">
        <x:f>VLOOKUP(A11,'逐份投药'!$A$4:$Y$13,25,FALSE)</x:f>
        <x:v>0</x:v>
      </x:c>
      <x:c r="AE11" s="46" t="b">
        <x:f>AND(D11&gt;=E11,G11&lt;=H11,V11&gt;=W11,AC11)</x:f>
        <x:v>1</x:v>
      </x:c>
      <x:c r="AF11" s="59" t="n">
        <x:f>Q11/R11</x:f>
        <x:v>0.25742574257425743</x:v>
      </x:c>
      <x:c r="AG11" s="46" t="str">
        <x:f>IF(AE11,"通过","失败")</x:f>
        <x:v>通过</x:v>
      </x:c>
      <x:c r="AH11" s="46" t="str">
        <x:f>IF(U11,"最低杂质触底","未触底")</x:f>
        <x:v>未触底</x:v>
      </x:c>
    </x:row>
    <x:row r="12">
      <x:c r="A12" s="46" t="str">
        <x:f>'选样'!A12</x:f>
        <x:v>S09</x:v>
      </x:c>
      <x:c r="B12" s="46" t="str">
        <x:f>'选样'!F12</x:f>
        <x:v>玄品</x:v>
      </x:c>
      <x:c r="C12" s="46" t="str">
        <x:f>'选样'!E12</x:f>
        <x:v>玄品净炉满份数</x:v>
      </x:c>
      <x:c r="D12" s="46" t="n">
        <x:f>SUMIF('配方明细'!$A$4:$A$47,A12,'配方明细'!$M$4:$M$47)</x:f>
        <x:v>1590</x:v>
      </x:c>
      <x:c r="E12" s="46" t="n">
        <x:f>VLOOKUP(B12,'候选参数'!$A$4:$M$6,2,FALSE)</x:f>
        <x:v>1550</x:v>
      </x:c>
      <x:c r="F12" s="58" t="n">
        <x:f>D12/E12</x:f>
        <x:v>1.0258064516129033</x:v>
      </x:c>
      <x:c r="G12" s="46" t="n">
        <x:f>SUMIF('配方明细'!$A$4:$A$47,A12,'配方明细'!$D$4:$D$47)-2</x:f>
        <x:v>9</x:v>
      </x:c>
      <x:c r="H12" s="46" t="n">
        <x:f>VLOOKUP(B12,'候选参数'!$A$4:$M$6,11,FALSE)</x:f>
        <x:v>9</x:v>
      </x:c>
      <x:c r="I12" s="58" t="n">
        <x:f>G12/H12</x:f>
        <x:v>1</x:v>
      </x:c>
      <x:c r="J12" s="46" t="n">
        <x:f>SUMIF('配方明细'!$A$4:$A$47,A12,'配方明细'!$N$4:$N$47)</x:f>
        <x:v>356</x:v>
      </x:c>
      <x:c r="K12" s="46" t="n">
        <x:f>VLOOKUP(VLOOKUP(A12,'选样'!$A$4:$N$13,12,FALSE),'候选参数'!$A$10:$H$15,7,FALSE)</x:f>
        <x:v>1600</x:v>
      </x:c>
      <x:c r="L12" s="46" t="n">
        <x:f>VLOOKUP(VLOOKUP(A12,'选样'!$A$4:$N$13,12,FALSE),'候选参数'!$A$10:$H$15,4,FALSE)</x:f>
        <x:v>0</x:v>
      </x:c>
      <x:c r="M12" s="46" t="n">
        <x:f>POWER('候选参数'!$K$10,L12)</x:f>
        <x:v>1</x:v>
      </x:c>
      <x:c r="N12" s="46" t="n">
        <x:f>MIN(10000,ROUNDDOWN(K12*M12,0))</x:f>
        <x:v>1600</x:v>
      </x:c>
      <x:c r="O12" s="46" t="n">
        <x:f>ROUNDDOWN(VLOOKUP(B12,'候选参数'!$A$4:$M$6,12,FALSE)*(10000+'候选参数'!$K$13*'候选参数'!$K$11)/10000*M12,0)</x:f>
        <x:v>78</x:v>
      </x:c>
      <x:c r="P12" s="46" t="n">
        <x:f>ROUNDDOWN(VLOOKUP(B12,'候选参数'!$A$4:$M$6,13,FALSE)*(10000+'候选参数'!$K$14*'候选参数'!$K$12)/10000*M12,0)</x:f>
        <x:v>54</x:v>
      </x:c>
      <x:c r="Q12" s="46" t="n">
        <x:f>O12+P12</x:f>
        <x:v>132</x:v>
      </x:c>
      <x:c r="R12" s="46" t="n">
        <x:f>ROUNDUP(J12*(10000-N12)/10000,0)</x:f>
        <x:v>300</x:v>
      </x:c>
      <x:c r="S12" s="46" t="n">
        <x:f>MAX(VLOOKUP(B12,'候选参数'!$A$4:$M$6,5,FALSE),R12-Q12)</x:f>
        <x:v>168</x:v>
      </x:c>
      <x:c r="T12" s="46" t="n">
        <x:f>VLOOKUP(B12,'候选参数'!$A$4:$M$6,5,FALSE)</x:f>
        <x:v>90</x:v>
      </x:c>
      <x:c r="U12" s="46" t="b">
        <x:f>S12=T12</x:f>
        <x:v>0</x:v>
      </x:c>
      <x:c r="V12" s="46" t="n">
        <x:f>MAX(0,10000-ROUNDUP(S12*10000/D12,0))</x:f>
        <x:v>8943</x:v>
      </x:c>
      <x:c r="W12" s="46" t="n">
        <x:f>VLOOKUP(B12,'候选参数'!$A$4:$M$6,6,FALSE)</x:f>
        <x:v>8000</x:v>
      </x:c>
      <x:c r="X12" s="46" t="n">
        <x:f>MIN(VLOOKUP(B12,'候选参数'!$A$4:$M$6,8,FALSE),VLOOKUP(B12,'候选参数'!$A$4:$M$6,7,FALSE)+ROUNDDOWN((VLOOKUP(B12,'候选参数'!$A$4:$M$6,8,FALSE)-VLOOKUP(B12,'候选参数'!$A$4:$M$6,7,FALSE))*(V12-W12)/(10000-W12),0))</x:f>
        <x:v>6150</x:v>
      </x:c>
      <x:c r="Y12" s="46" t="n">
        <x:f>VLOOKUP(B12,'候选参数'!$A$4:$M$6,9,FALSE)</x:f>
        <x:v>0</x:v>
      </x:c>
      <x:c r="Z12" s="46" t="n">
        <x:f>ROUNDDOWN(600/VLOOKUP(B12,'候选参数'!$A$4:$M$6,10,FALSE),0)</x:f>
        <x:v>2</x:v>
      </x:c>
      <x:c r="AA12" s="46" t="n">
        <x:f>MIN(Z12,VLOOKUP(A12,'选样'!$A$4:$N$13,13,FALSE))</x:f>
        <x:v>2</x:v>
      </x:c>
      <x:c r="AB12" s="59" t="n">
        <x:f>S12/'候选参数'!$K$16</x:f>
        <x:v>0.14</x:v>
      </x:c>
      <x:c r="AC12" s="46" t="b">
        <x:f>VLOOKUP(A12,'逐份投药'!$A$4:$Y$13,24,FALSE)</x:f>
        <x:v>1</x:v>
      </x:c>
      <x:c r="AD12" s="46" t="b">
        <x:f>VLOOKUP(A12,'逐份投药'!$A$4:$Y$13,25,FALSE)</x:f>
        <x:v>1</x:v>
      </x:c>
      <x:c r="AE12" s="46" t="b">
        <x:f>AND(D12&gt;=E12,G12&lt;=H12,V12&gt;=W12,AC12)</x:f>
        <x:v>1</x:v>
      </x:c>
      <x:c r="AF12" s="59" t="n">
        <x:f>Q12/R12</x:f>
        <x:v>0.44</x:v>
      </x:c>
      <x:c r="AG12" s="46" t="str">
        <x:f>IF(AE12,"通过","失败")</x:f>
        <x:v>通过</x:v>
      </x:c>
      <x:c r="AH12" s="46" t="str">
        <x:f>IF(U12,"最低杂质触底","未触底")</x:f>
        <x:v>未触底</x:v>
      </x:c>
    </x:row>
    <x:row r="13">
      <x:c r="A13" s="48" t="str">
        <x:f>'选样'!A13</x:f>
        <x:v>S10</x:v>
      </x:c>
      <x:c r="B13" s="48" t="str">
        <x:f>'选样'!F13</x:f>
        <x:v>玄品</x:v>
      </x:c>
      <x:c r="C13" s="48" t="str">
        <x:f>'选样'!E13</x:f>
        <x:v>玄品高境除渣</x:v>
      </x:c>
      <x:c r="D13" s="48" t="n">
        <x:f>SUMIF('配方明细'!$A$4:$A$47,A13,'配方明细'!$M$4:$M$47)</x:f>
        <x:v>1740</x:v>
      </x:c>
      <x:c r="E13" s="48" t="n">
        <x:f>VLOOKUP(B13,'候选参数'!$A$4:$M$6,2,FALSE)</x:f>
        <x:v>1550</x:v>
      </x:c>
      <x:c r="F13" s="60" t="n">
        <x:f>D13/E13</x:f>
        <x:v>1.1225806451612903</x:v>
      </x:c>
      <x:c r="G13" s="48" t="n">
        <x:f>SUMIF('配方明细'!$A$4:$A$47,A13,'配方明细'!$D$4:$D$47)-2</x:f>
        <x:v>5</x:v>
      </x:c>
      <x:c r="H13" s="48" t="n">
        <x:f>VLOOKUP(B13,'候选参数'!$A$4:$M$6,11,FALSE)</x:f>
        <x:v>9</x:v>
      </x:c>
      <x:c r="I13" s="60" t="n">
        <x:f>G13/H13</x:f>
        <x:v>0.5555555555555556</x:v>
      </x:c>
      <x:c r="J13" s="48" t="n">
        <x:f>SUMIF('配方明细'!$A$4:$A$47,A13,'配方明细'!$N$4:$N$47)</x:f>
        <x:v>540</x:v>
      </x:c>
      <x:c r="K13" s="48" t="n">
        <x:f>VLOOKUP(VLOOKUP(A13,'选样'!$A$4:$N$13,12,FALSE),'候选参数'!$A$10:$H$15,7,FALSE)</x:f>
        <x:v>1200</x:v>
      </x:c>
      <x:c r="L13" s="48" t="n">
        <x:f>VLOOKUP(VLOOKUP(A13,'选样'!$A$4:$N$13,12,FALSE),'候选参数'!$A$10:$H$15,4,FALSE)</x:f>
        <x:v>1</x:v>
      </x:c>
      <x:c r="M13" s="48" t="n">
        <x:f>POWER('候选参数'!$K$10,L13)</x:f>
        <x:v>1.03</x:v>
      </x:c>
      <x:c r="N13" s="48" t="n">
        <x:f>MIN(10000,ROUNDDOWN(K13*M13,0))</x:f>
        <x:v>1236</x:v>
      </x:c>
      <x:c r="O13" s="48" t="n">
        <x:f>ROUNDDOWN(VLOOKUP(B13,'候选参数'!$A$4:$M$6,12,FALSE)*(10000+'候选参数'!$K$13*'候选参数'!$K$11)/10000*M13,0)</x:f>
        <x:v>80</x:v>
      </x:c>
      <x:c r="P13" s="48" t="n">
        <x:f>ROUNDDOWN(VLOOKUP(B13,'候选参数'!$A$4:$M$6,13,FALSE)*(10000+'候选参数'!$K$14*'候选参数'!$K$12)/10000*M13,0)</x:f>
        <x:v>55</x:v>
      </x:c>
      <x:c r="Q13" s="48" t="n">
        <x:f>O13+P13</x:f>
        <x:v>135</x:v>
      </x:c>
      <x:c r="R13" s="48" t="n">
        <x:f>ROUNDUP(J13*(10000-N13)/10000,0)</x:f>
        <x:v>474</x:v>
      </x:c>
      <x:c r="S13" s="48" t="n">
        <x:f>MAX(VLOOKUP(B13,'候选参数'!$A$4:$M$6,5,FALSE),R13-Q13)</x:f>
        <x:v>339</x:v>
      </x:c>
      <x:c r="T13" s="48" t="n">
        <x:f>VLOOKUP(B13,'候选参数'!$A$4:$M$6,5,FALSE)</x:f>
        <x:v>90</x:v>
      </x:c>
      <x:c r="U13" s="48" t="b">
        <x:f>S13=T13</x:f>
        <x:v>0</x:v>
      </x:c>
      <x:c r="V13" s="48" t="n">
        <x:f>MAX(0,10000-ROUNDUP(S13*10000/D13,0))</x:f>
        <x:v>8051</x:v>
      </x:c>
      <x:c r="W13" s="48" t="n">
        <x:f>VLOOKUP(B13,'候选参数'!$A$4:$M$6,6,FALSE)</x:f>
        <x:v>8000</x:v>
      </x:c>
      <x:c r="X13" s="48" t="n">
        <x:f>MIN(VLOOKUP(B13,'候选参数'!$A$4:$M$6,8,FALSE),VLOOKUP(B13,'候选参数'!$A$4:$M$6,7,FALSE)+ROUNDDOWN((VLOOKUP(B13,'候选参数'!$A$4:$M$6,8,FALSE)-VLOOKUP(B13,'候选参数'!$A$4:$M$6,7,FALSE))*(V13-W13)/(10000-W13),0))</x:f>
        <x:v>4589</x:v>
      </x:c>
      <x:c r="Y13" s="48" t="n">
        <x:f>VLOOKUP(B13,'候选参数'!$A$4:$M$6,9,FALSE)</x:f>
        <x:v>0</x:v>
      </x:c>
      <x:c r="Z13" s="48" t="n">
        <x:f>ROUNDDOWN(600/VLOOKUP(B13,'候选参数'!$A$4:$M$6,10,FALSE),0)</x:f>
        <x:v>2</x:v>
      </x:c>
      <x:c r="AA13" s="48" t="n">
        <x:f>MIN(Z13,VLOOKUP(A13,'选样'!$A$4:$N$13,13,FALSE))</x:f>
        <x:v>2</x:v>
      </x:c>
      <x:c r="AB13" s="61" t="n">
        <x:f>S13/'候选参数'!$K$16</x:f>
        <x:v>0.2825</x:v>
      </x:c>
      <x:c r="AC13" s="48" t="b">
        <x:f>VLOOKUP(A13,'逐份投药'!$A$4:$Y$13,24,FALSE)</x:f>
        <x:v>1</x:v>
      </x:c>
      <x:c r="AD13" s="48" t="b">
        <x:f>VLOOKUP(A13,'逐份投药'!$A$4:$Y$13,25,FALSE)</x:f>
        <x:v>1</x:v>
      </x:c>
      <x:c r="AE13" s="48" t="b">
        <x:f>AND(D13&gt;=E13,G13&lt;=H13,V13&gt;=W13,AC13)</x:f>
        <x:v>1</x:v>
      </x:c>
      <x:c r="AF13" s="61" t="n">
        <x:f>Q13/R13</x:f>
        <x:v>0.2848101265822785</x:v>
      </x:c>
      <x:c r="AG13" s="48" t="str">
        <x:f>IF(AE13,"通过","失败")</x:f>
        <x:v>通过</x:v>
      </x:c>
      <x:c r="AH13" s="48" t="str">
        <x:f>IF(U13,"最低杂质触底","未触底")</x:f>
        <x:v>未触底</x:v>
      </x:c>
    </x:row>
  </x:sheetData>
  <x:mergeCells>
    <x:mergeCell ref="A1:AH1"/>
  </x:mergeCells>
  <x:conditionalFormatting sqref="AG4:AG13">
    <x:cfRule type="containsText" dxfId="0" priority="1" operator="containsText" text="通过"/>
    <x:cfRule type="containsText" dxfId="1" priority="2" operator="containsText" text="失败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38" hidden="0" customWidth="1"/>
    <x:col min="10" max="10" width="14" hidden="0" customWidth="1"/>
    <x:col min="11" max="11" width="14" hidden="0" customWidth="1"/>
  </x:cols>
  <x:sheetData>
    <x:row r="1" ht="28" customHeight="1">
      <x:c r="A1" s="41" t="str">
        <x:v>批次独立判定与边界检查</x:v>
      </x:c>
      <x:c r="B1" s="41" t="str">
        <x:v>批次独立判定与边界检查</x:v>
      </x:c>
      <x:c r="C1" s="41" t="str">
        <x:v>批次独立判定与边界检查</x:v>
      </x:c>
      <x:c r="D1" s="41" t="str">
        <x:v>批次独立判定与边界检查</x:v>
      </x:c>
      <x:c r="E1" s="41" t="str">
        <x:v>批次独立判定与边界检查</x:v>
      </x:c>
      <x:c r="F1" s="41" t="str">
        <x:v>批次独立判定与边界检查</x:v>
      </x:c>
      <x:c r="G1" s="41" t="str">
        <x:v>批次独立判定与边界检查</x:v>
      </x:c>
      <x:c r="H1" s="41" t="str">
        <x:v>批次独立判定与边界检查</x:v>
      </x:c>
      <x:c r="I1" s="41" t="str">
        <x:v>批次独立判定与边界检查</x:v>
      </x:c>
      <x:c r="J1" s="41" t="str">
        <x:v>批次独立判定与边界检查</x:v>
      </x:c>
      <x:c r="K1" s="41" t="str">
        <x:v>批次独立判定与边界检查</x:v>
      </x:c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</x:row>
    <x:row r="3">
      <x:c r="A3" s="43" t="str">
        <x:v>批次案例</x:v>
      </x:c>
      <x:c r="B3" s="43" t="str">
        <x:v>枚数</x:v>
      </x:c>
      <x:c r="C3" s="43" t="str">
        <x:v>成丹率R</x:v>
      </x:c>
      <x:c r="D3" s="43" t="str">
        <x:v>成丹随机数</x:v>
      </x:c>
      <x:c r="E3" s="43" t="str">
        <x:v>成丹结果</x:v>
      </x:c>
      <x:c r="F3" s="43" t="str">
        <x:v>升品随机数</x:v>
      </x:c>
      <x:c r="G3" s="43" t="str">
        <x:v>最终品质</x:v>
      </x:c>
      <x:c r="H3" s="51"/>
      <x:c r="I3" s="51"/>
      <x:c r="J3" s="51"/>
      <x:c r="K3" s="51"/>
    </x:row>
    <x:row r="4">
      <x:c r="A4" s="53" t="str">
        <x:v>S02</x:v>
      </x:c>
      <x:c r="B4" s="53" t="n">
        <x:v>1</x:v>
      </x:c>
      <x:c r="C4" s="44" t="n">
        <x:f>VLOOKUP(A4,'全链验算'!$A$4:$X$13,24,FALSE)</x:f>
        <x:v>9167</x:v>
      </x:c>
      <x:c r="D4" s="53" t="n">
        <x:v>1200</x:v>
      </x:c>
      <x:c r="E4" s="44" t="b">
        <x:f>D4&lt;=C4</x:f>
        <x:v>1</x:v>
      </x:c>
      <x:c r="F4" s="53" t="n">
        <x:v>500</x:v>
      </x:c>
      <x:c r="G4" s="44" t="str">
        <x:f>IF(E4=FALSE,"失败无丹",IF(F4&lt;=VLOOKUP(A4,'全链验算'!$A$4:$Y$13,25,FALSE),"灵品","凡品"))</x:f>
        <x:v>灵品</x:v>
      </x:c>
      <x:c r="H4" s="51"/>
      <x:c r="I4" s="51"/>
      <x:c r="J4" s="51"/>
      <x:c r="K4" s="51"/>
    </x:row>
    <x:row r="5">
      <x:c r="A5" s="54" t="str">
        <x:v>S02</x:v>
      </x:c>
      <x:c r="B5" s="54" t="n">
        <x:v>2</x:v>
      </x:c>
      <x:c r="C5" s="46" t="n">
        <x:f>VLOOKUP(A5,'全链验算'!$A$4:$X$13,24,FALSE)</x:f>
        <x:v>9167</x:v>
      </x:c>
      <x:c r="D5" s="54" t="n">
        <x:v>9300</x:v>
      </x:c>
      <x:c r="E5" s="46" t="b">
        <x:f>D5&lt;=C5</x:f>
        <x:v>0</x:v>
      </x:c>
      <x:c r="F5" s="54" t="n">
        <x:v>100</x:v>
      </x:c>
      <x:c r="G5" s="46" t="str">
        <x:f>IF(E5=FALSE,"失败无丹",IF(F5&lt;=VLOOKUP(A5,'全链验算'!$A$4:$Y$13,25,FALSE),"灵品","凡品"))</x:f>
        <x:v>失败无丹</x:v>
      </x:c>
      <x:c r="H5" s="51"/>
      <x:c r="I5" s="51"/>
      <x:c r="J5" s="51"/>
      <x:c r="K5" s="51"/>
    </x:row>
    <x:row r="6">
      <x:c r="A6" s="54" t="str">
        <x:v>S02</x:v>
      </x:c>
      <x:c r="B6" s="54" t="n">
        <x:v>3</x:v>
      </x:c>
      <x:c r="C6" s="46" t="n">
        <x:f>VLOOKUP(A6,'全链验算'!$A$4:$X$13,24,FALSE)</x:f>
        <x:v>9167</x:v>
      </x:c>
      <x:c r="D6" s="54" t="n">
        <x:v>4500</x:v>
      </x:c>
      <x:c r="E6" s="46" t="b">
        <x:f>D6&lt;=C6</x:f>
        <x:v>1</x:v>
      </x:c>
      <x:c r="F6" s="54" t="n">
        <x:v>9000</x:v>
      </x:c>
      <x:c r="G6" s="46" t="str">
        <x:f>IF(E6=FALSE,"失败无丹",IF(F6&lt;=VLOOKUP(A6,'全链验算'!$A$4:$Y$13,25,FALSE),"灵品","凡品"))</x:f>
        <x:v>凡品</x:v>
      </x:c>
      <x:c r="H6" s="51"/>
      <x:c r="I6" s="51"/>
      <x:c r="J6" s="51"/>
      <x:c r="K6" s="51"/>
    </x:row>
    <x:row r="7">
      <x:c r="A7" s="55" t="str">
        <x:v>S02</x:v>
      </x:c>
      <x:c r="B7" s="55" t="n">
        <x:v>4</x:v>
      </x:c>
      <x:c r="C7" s="48" t="n">
        <x:f>VLOOKUP(A7,'全链验算'!$A$4:$X$13,24,FALSE)</x:f>
        <x:v>9167</x:v>
      </x:c>
      <x:c r="D7" s="55" t="n">
        <x:v>9800</x:v>
      </x:c>
      <x:c r="E7" s="48" t="b">
        <x:f>D7&lt;=C7</x:f>
        <x:v>0</x:v>
      </x:c>
      <x:c r="F7" s="55" t="n">
        <x:v>200</x:v>
      </x:c>
      <x:c r="G7" s="48" t="str">
        <x:f>IF(E7=FALSE,"失败无丹",IF(F7&lt;=VLOOKUP(A7,'全链验算'!$A$4:$Y$13,25,FALSE),"灵品","凡品"))</x:f>
        <x:v>失败无丹</x:v>
      </x:c>
      <x:c r="H7" s="51"/>
      <x:c r="I7" s="51"/>
      <x:c r="J7" s="51"/>
      <x:c r="K7" s="51"/>
    </x:row>
    <x:row r="8">
      <x:c r="A8" s="51"/>
      <x:c r="B8" s="51"/>
      <x:c r="C8" s="51"/>
      <x:c r="D8" s="51"/>
      <x:c r="E8" s="51"/>
      <x:c r="F8" s="51"/>
      <x:c r="G8" s="51"/>
      <x:c r="H8" s="51"/>
      <x:c r="I8" s="51"/>
      <x:c r="J8" s="51"/>
      <x:c r="K8" s="51"/>
    </x:row>
    <x:row r="9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</x:row>
    <x:row r="10">
      <x:c r="A10" s="43" t="str">
        <x:v>边界</x:v>
      </x:c>
      <x:c r="B10" s="43" t="str">
        <x:v>输入</x:v>
      </x:c>
      <x:c r="C10" s="43" t="str">
        <x:v>规则结果</x:v>
      </x:c>
      <x:c r="D10" s="43" t="str">
        <x:v>验算</x:v>
      </x:c>
      <x:c r="E10" s="43" t="str">
        <x:v>状态</x:v>
      </x:c>
      <x:c r="F10" s="51"/>
      <x:c r="G10" s="51"/>
      <x:c r="H10" s="66" t="str">
        <x:v>公式边界</x:v>
      </x:c>
      <x:c r="I10" s="66" t="str">
        <x:v>输入</x:v>
      </x:c>
      <x:c r="J10" s="66" t="str">
        <x:v>验算</x:v>
      </x:c>
      <x:c r="K10" s="66" t="str">
        <x:v>状态</x:v>
      </x:c>
    </x:row>
    <x:row r="11">
      <x:c r="A11" s="53" t="str">
        <x:v>丹毒7999</x:v>
      </x:c>
      <x:c r="B11" s="53" t="str">
        <x:v>T_before=7999</x:v>
      </x:c>
      <x:c r="C11" s="53" t="str">
        <x:v>完整效果</x:v>
      </x:c>
      <x:c r="D11" s="44" t="str">
        <x:f>IF(7999&lt;'候选参数'!$K$15,"完整效果","错误")</x:f>
        <x:v>完整效果</x:v>
      </x:c>
      <x:c r="E11" s="44" t="str">
        <x:f>IF(D11=C11,"通过","失败")</x:f>
        <x:v>通过</x:v>
      </x:c>
      <x:c r="F11" s="51"/>
      <x:c r="G11" s="51"/>
      <x:c r="H11" s="68" t="str">
        <x:v>最低杂质触底</x:v>
      </x:c>
      <x:c r="I11" s="68" t="str">
        <x:v>Zf=100，A=70，L=60</x:v>
      </x:c>
      <x:c r="J11" s="69" t="n">
        <x:f>MAX(60,100-70)</x:f>
        <x:v>60</x:v>
      </x:c>
      <x:c r="K11" s="69" t="str">
        <x:f>IF(J11=60,"通过","失败")</x:f>
        <x:v>通过</x:v>
      </x:c>
    </x:row>
    <x:row r="12">
      <x:c r="A12" s="54" t="str">
        <x:v>丹毒8000</x:v>
      </x:c>
      <x:c r="B12" s="54" t="str">
        <x:v>T_before=8000</x:v>
      </x:c>
      <x:c r="C12" s="54" t="str">
        <x:v>效果减半</x:v>
      </x:c>
      <x:c r="D12" s="46" t="str">
        <x:f>IF(8000&gt;=10000,"禁止服用",IF(8000&gt;='候选参数'!$K$15,"效果减半","完整效果"))</x:f>
        <x:v>效果减半</x:v>
      </x:c>
      <x:c r="E12" s="46" t="str">
        <x:f>IF(D12=C12,"通过","失败")</x:f>
        <x:v>通过</x:v>
      </x:c>
      <x:c r="F12" s="51"/>
      <x:c r="G12" s="51"/>
      <x:c r="H12" s="70" t="str">
        <x:v>最低杂质未触底</x:v>
      </x:c>
      <x:c r="I12" s="70" t="str">
        <x:v>Zf=100，A=20，L=60</x:v>
      </x:c>
      <x:c r="J12" s="71" t="n">
        <x:f>MAX(60,100-20)</x:f>
        <x:v>80</x:v>
      </x:c>
      <x:c r="K12" s="71" t="str">
        <x:f>IF(J12=80,"通过","失败")</x:f>
        <x:v>通过</x:v>
      </x:c>
    </x:row>
    <x:row r="13">
      <x:c r="A13" s="54" t="str">
        <x:v>丹毒10000</x:v>
      </x:c>
      <x:c r="B13" s="54" t="str">
        <x:v>T_before=10000</x:v>
      </x:c>
      <x:c r="C13" s="54" t="str">
        <x:v>禁止服用</x:v>
      </x:c>
      <x:c r="D13" s="46" t="str">
        <x:f>IF(10000&gt;=10000,"禁止服用","错误")</x:f>
        <x:v>禁止服用</x:v>
      </x:c>
      <x:c r="E13" s="46" t="str">
        <x:f>IF(D13=C13,"通过","失败")</x:f>
        <x:v>通过</x:v>
      </x:c>
      <x:c r="F13" s="51"/>
      <x:c r="G13" s="51"/>
      <x:c r="H13" s="72" t="str">
        <x:v>纯度恰到门槛</x:v>
      </x:c>
      <x:c r="I13" s="72" t="str">
        <x:v>Q=7600，Qmin=7600，B=8500，C=9800</x:v>
      </x:c>
      <x:c r="J13" s="73" t="n">
        <x:f>MIN(9800,8500+ROUNDDOWN((9800-8500)*(7600-7600)/(10000-7600),0))</x:f>
        <x:v>8500</x:v>
      </x:c>
      <x:c r="K13" s="73" t="str">
        <x:f>IF(J13=8500,"通过","失败")</x:f>
        <x:v>通过</x:v>
      </x:c>
    </x:row>
    <x:row r="14">
      <x:c r="A14" s="54" t="str">
        <x:v>低境来源</x:v>
      </x:c>
      <x:c r="B14" s="54" t="str">
        <x:v>Δ=-1</x:v>
      </x:c>
      <x:c r="C14" s="54" t="str">
        <x:v>贡献=0</x:v>
      </x:c>
      <x:c r="D14" s="46" t="n">
        <x:f>IF(-1&lt;0,0,POWER('候选参数'!$K$10,-1))</x:f>
        <x:v>0</x:v>
      </x:c>
      <x:c r="E14" s="46" t="str">
        <x:f>IF(D14=0,"通过","失败")</x:f>
        <x:v>通过</x:v>
      </x:c>
      <x:c r="F14" s="51"/>
      <x:c r="G14" s="51"/>
      <x:c r="H14" s="51"/>
      <x:c r="I14" s="51"/>
      <x:c r="J14" s="51"/>
      <x:c r="K14" s="51"/>
    </x:row>
    <x:row r="15">
      <x:c r="A15" s="54" t="str">
        <x:v>同境来源</x:v>
      </x:c>
      <x:c r="B15" s="54" t="str">
        <x:v>Δ=0</x:v>
      </x:c>
      <x:c r="C15" s="54" t="str">
        <x:v>M=1</x:v>
      </x:c>
      <x:c r="D15" s="46" t="n">
        <x:f>POWER('候选参数'!$K$10,0)</x:f>
        <x:v>1</x:v>
      </x:c>
      <x:c r="E15" s="46" t="str">
        <x:f>IF(D15=1,"通过","失败")</x:f>
        <x:v>通过</x:v>
      </x:c>
      <x:c r="F15" s="51"/>
      <x:c r="G15" s="51"/>
      <x:c r="H15" s="51"/>
      <x:c r="I15" s="51"/>
      <x:c r="J15" s="51"/>
      <x:c r="K15" s="51"/>
    </x:row>
    <x:row r="16">
      <x:c r="A16" s="54" t="str">
        <x:v>高境来源</x:v>
      </x:c>
      <x:c r="B16" s="54" t="str">
        <x:v>Δ=1</x:v>
      </x:c>
      <x:c r="C16" s="54" t="str">
        <x:v>M=1.03</x:v>
      </x:c>
      <x:c r="D16" s="46" t="n">
        <x:f>POWER('候选参数'!$K$10,1)</x:f>
        <x:v>1.03</x:v>
      </x:c>
      <x:c r="E16" s="46" t="str">
        <x:f>IF(D16=1.03,"通过","失败")</x:f>
        <x:v>通过</x:v>
      </x:c>
      <x:c r="F16" s="51"/>
      <x:c r="G16" s="51"/>
      <x:c r="H16" s="51"/>
      <x:c r="I16" s="51"/>
      <x:c r="J16" s="51"/>
      <x:c r="K16" s="51"/>
    </x:row>
    <x:row r="17">
      <x:c r="A17" s="55" t="str">
        <x:v>每日消退</x:v>
      </x:c>
      <x:c r="B17" s="55" t="str">
        <x:v>C=1200，rate=300</x:v>
      </x:c>
      <x:c r="C17" s="55" t="str">
        <x:v>36点</x:v>
      </x:c>
      <x:c r="D17" s="48" t="n">
        <x:f>'候选参数'!$K$16*'候选参数'!$K$18/10000</x:f>
        <x:v>36</x:v>
      </x:c>
      <x:c r="E17" s="48" t="str">
        <x:f>IF(D17=36,"通过","失败")</x:f>
        <x:v>通过</x:v>
      </x:c>
      <x:c r="F17" s="51"/>
      <x:c r="G17" s="51"/>
      <x:c r="H17" s="51"/>
      <x:c r="I17" s="51"/>
      <x:c r="J17" s="51"/>
      <x:c r="K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</x:row>
    <x:row r="20">
      <x:c r="A20" s="43" t="str">
        <x:v>顺序反例</x:v>
      </x:c>
      <x:c r="B20" s="43" t="str">
        <x:v>初值</x:v>
      </x:c>
      <x:c r="C20" s="43" t="str">
        <x:v>错误顺序</x:v>
      </x:c>
      <x:c r="D20" s="43" t="str">
        <x:v>越界点</x:v>
      </x:c>
      <x:c r="E20" s="43" t="str">
        <x:v>结论</x:v>
      </x:c>
      <x:c r="F20" s="51"/>
      <x:c r="G20" s="51"/>
      <x:c r="H20" s="51"/>
      <x:c r="I20" s="51"/>
      <x:c r="J20" s="51"/>
      <x:c r="K20" s="51"/>
    </x:row>
    <x:row r="21">
      <x:c r="A21" s="53" t="str">
        <x:v>S03</x:v>
      </x:c>
      <x:c r="B21" s="53" t="n">
        <x:v>0</x:v>
      </x:c>
      <x:c r="C21" s="53" t="str">
        <x:v>+2,+2,-2,-2,-1</x:v>
      </x:c>
      <x:c r="D21" s="53" t="n">
        <x:v>4</x:v>
      </x:c>
      <x:c r="E21" s="53" t="str">
        <x:v>基础炉失败</x:v>
      </x:c>
      <x:c r="F21" s="51"/>
      <x:c r="G21" s="51"/>
      <x:c r="H21" s="51"/>
      <x:c r="I21" s="51"/>
      <x:c r="J21" s="51"/>
      <x:c r="K21" s="51"/>
    </x:row>
    <x:row r="22">
      <x:c r="A22" s="54" t="str">
        <x:v>S06</x:v>
      </x:c>
      <x:c r="B22" s="54" t="n">
        <x:v>-2</x:v>
      </x:c>
      <x:c r="C22" s="54" t="str">
        <x:v>+2,+2,-2,-2</x:v>
      </x:c>
      <x:c r="D22" s="54" t="n">
        <x:v>2</x:v>
      </x:c>
      <x:c r="E22" s="54" t="str">
        <x:v>偏寒炉失败</x:v>
      </x:c>
      <x:c r="F22" s="51"/>
      <x:c r="G22" s="51"/>
      <x:c r="H22" s="51"/>
      <x:c r="I22" s="51"/>
      <x:c r="J22" s="51"/>
      <x:c r="K22" s="51"/>
    </x:row>
    <x:row r="23">
      <x:c r="A23" s="54" t="str">
        <x:v>S08</x:v>
      </x:c>
      <x:c r="B23" s="54" t="n">
        <x:v>2</x:v>
      </x:c>
      <x:c r="C23" s="54" t="str">
        <x:v>+2,+2,-2,-2</x:v>
      </x:c>
      <x:c r="D23" s="54" t="n">
        <x:v>6</x:v>
      </x:c>
      <x:c r="E23" s="54" t="str">
        <x:v>宽炉失败</x:v>
      </x:c>
      <x:c r="F23" s="51"/>
      <x:c r="G23" s="51"/>
      <x:c r="H23" s="51"/>
      <x:c r="I23" s="51"/>
      <x:c r="J23" s="51"/>
      <x:c r="K23" s="51"/>
    </x:row>
    <x:row r="24">
      <x:c r="A24" s="55" t="str">
        <x:v>炉型覆盖</x:v>
      </x:c>
      <x:c r="B24" s="55" t="str">
        <x:v>S04/S05/S06/S08</x:v>
      </x:c>
      <x:c r="C24" s="55" t="str">
        <x:v>同一安全顺序</x:v>
      </x:c>
      <x:c r="D24" s="55"/>
      <x:c r="E24" s="55" t="str">
        <x:v>基础炉失败、目标炉通过</x:v>
      </x:c>
      <x:c r="F24" s="51"/>
      <x:c r="G24" s="51"/>
      <x:c r="H24" s="51"/>
      <x:c r="I24" s="51"/>
      <x:c r="J24" s="51"/>
      <x:c r="K24" s="51"/>
    </x:row>
  </x:sheetData>
  <x:mergeCells>
    <x:mergeCell ref="A1:K1"/>
  </x:mergeCells>
  <x:conditionalFormatting sqref="E11:E17">
    <x:cfRule type="containsText" dxfId="2" priority="1" operator="containsText" text="通过"/>
  </x:conditionalFormatting>
  <x:conditionalFormatting sqref="K11:K13">
    <x:cfRule type="containsText" dxfId="3" priority="2" operator="containsText" text="通过"/>
  </x:conditionalFormatting>
  <x:pageMargins left="0.7" right="0.7" top="0.75" bottom="0.75" header="0.3" footer="0.3"/>
</x:worksheet>
</file>