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1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4b2ec7ef9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9600048d02384f8f"/>
    <x:sheet xmlns:r="http://schemas.openxmlformats.org/officeDocument/2006/relationships" name="01_用途九类" sheetId="2" r:id="Ra56b10aa0a8a49ab"/>
    <x:sheet xmlns:r="http://schemas.openxmlformats.org/officeDocument/2006/relationships" name="02_子类规格" sheetId="3" r:id="Rcfc8706acadf461e"/>
    <x:sheet xmlns:r="http://schemas.openxmlformats.org/officeDocument/2006/relationships" name="03_六步生效链" sheetId="4" r:id="Ree6e078813b74e4d"/>
    <x:sheet xmlns:r="http://schemas.openxmlformats.org/officeDocument/2006/relationships" name="04_五行与七操作" sheetId="5" r:id="Rc55be492564e4c45"/>
    <x:sheet xmlns:r="http://schemas.openxmlformats.org/officeDocument/2006/relationships" name="05_四性五味配伍" sheetId="6" r:id="R5b195c18fcf645c1"/>
    <x:sheet xmlns:r="http://schemas.openxmlformats.org/officeDocument/2006/relationships" name="06_境界品质适配" sheetId="7" r:id="Rbc217ad4c00841a4"/>
    <x:sheet xmlns:r="http://schemas.openxmlformats.org/officeDocument/2006/relationships" name="07_四代价与错配" sheetId="8" r:id="Rd6bd9836042e4168"/>
    <x:sheet xmlns:r="http://schemas.openxmlformats.org/officeDocument/2006/relationships" name="08_丹药实例库" sheetId="9" r:id="R095519d096804a1a"/>
    <x:sheet xmlns:r="http://schemas.openxmlformats.org/officeDocument/2006/relationships" name="09_配置接口" sheetId="10" r:id="Rfcca2a42bc72457a"/>
    <x:sheet xmlns:r="http://schemas.openxmlformats.org/officeDocument/2006/relationships" name="10_审阅与冻结" sheetId="11" r:id="R1179819eed10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4"/>
      <x:color rgb="FF1F4E78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sz val="9"/>
      <x:name val="Microsoft YaHei"/>
    </x:font>
    <x:font>
      <x:b/>
      <x:sz val="9"/>
      <x:color rgb="FF1F2937"/>
      <x:name val="Microsoft YaHei"/>
    </x:font>
    <x:font>
      <x:b/>
      <x:sz val="13"/>
      <x:color rgb="FF1F4E78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2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bottom style="thin">
        <x:color rgb="FFD0D7DE"/>
      </x:bottom>
    </x:border>
    <x:border>
      <x:top style="thin">
        <x:color rgb="FFD0D7DE"/>
      </x:top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6" borderId="2" xfId="0" applyNumberFormat="1" applyFont="1" applyFill="1" applyBorder="1"/>
    <x:xf numFmtId="0" fontId="4" fillId="6" borderId="4" xfId="0" applyNumberFormat="1" applyFont="1" applyFill="1" applyBorder="1"/>
    <x:xf numFmtId="0" fontId="4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9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8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horizontal="center" vertical="top" wrapText="1"/>
    </x:xf>
    <x:xf numFmtId="0" fontId="9" fillId="0" borderId="8" xfId="0" applyNumberFormat="1" applyFont="1" applyFill="1" applyBorder="1" applyAlignment="1">
      <x:alignment horizontal="center" vertical="top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10" fillId="5" borderId="2" xfId="0" applyNumberFormat="1" applyFont="1" applyFill="1" applyBorder="1"/>
    <x:xf numFmtId="0" fontId="10" fillId="5" borderId="4" xfId="0" applyNumberFormat="1" applyFont="1" applyFill="1" applyBorder="1"/>
    <x:xf numFmtId="0" fontId="10" fillId="5" borderId="6" xfId="0" applyNumberFormat="1" applyFont="1" applyFill="1" applyBorder="1"/>
    <x:xf numFmtId="0" fontId="10" fillId="5" borderId="2" xfId="0" applyNumberFormat="1" applyFont="1" applyFill="1" applyBorder="1" applyAlignment="1">
      <x:alignment horizontal="center"/>
    </x:xf>
    <x:xf numFmtId="0" fontId="10" fillId="5" borderId="4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horizontal="center" vertical="top"/>
    </x:xf>
    <x:xf numFmtId="0" fontId="4" fillId="5" borderId="3" xfId="0" applyNumberFormat="1" applyFont="1" applyFill="1" applyBorder="1" applyAlignment="1">
      <x:alignment vertical="top"/>
    </x:xf>
    <x:xf numFmtId="0" fontId="5" fillId="6" borderId="4" xfId="0" applyNumberFormat="1" applyFont="1" applyFill="1" applyBorder="1" applyAlignment="1">
      <x:alignment horizontal="center" vertical="top"/>
    </x:xf>
    <x:xf numFmtId="0" fontId="4" fillId="5" borderId="5" xfId="0" applyNumberFormat="1" applyFont="1" applyFill="1" applyBorder="1" applyAlignment="1">
      <x:alignment vertical="top"/>
    </x:xf>
    <x:xf numFmtId="0" fontId="5" fillId="6" borderId="6" xfId="0" applyNumberFormat="1" applyFont="1" applyFill="1" applyBorder="1" applyAlignment="1">
      <x:alignment horizontal="center" vertical="top"/>
    </x:xf>
    <x:xf numFmtId="0" fontId="6" fillId="7" borderId="7" xfId="0" applyNumberFormat="1" applyFont="1" applyFill="1" applyBorder="1" applyAlignment="1">
      <x:alignment horizontal="center" vertical="top" wrapText="1"/>
    </x:xf>
    <x:xf numFmtId="0" fontId="6" fillId="7" borderId="8" xfId="0" applyNumberFormat="1" applyFont="1" applyFill="1" applyBorder="1" applyAlignment="1">
      <x:alignment horizontal="center" vertical="top" wrapText="1"/>
    </x:xf>
    <x:xf numFmtId="0" fontId="6" fillId="7" borderId="9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/>
    </x:xf>
    <x:xf numFmtId="0" fontId="10" fillId="5" borderId="2" xfId="0" applyNumberFormat="1" applyFont="1" applyFill="1" applyBorder="1" applyAlignment="1">
      <x:alignment horizontal="center" vertical="top"/>
    </x:xf>
    <x:xf numFmtId="0" fontId="10" fillId="5" borderId="4" xfId="0" applyNumberFormat="1" applyFont="1" applyFill="1" applyBorder="1" applyAlignment="1">
      <x:alignment horizontal="center" vertical="top"/>
    </x:xf>
    <x:xf numFmtId="0" fontId="10" fillId="5" borderId="6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48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a49950d174cc5" /><Relationship Type="http://schemas.openxmlformats.org/officeDocument/2006/relationships/theme" Target="/xl/theme/theme1.xml" Id="Ree775d3902df43b7" /><Relationship Type="http://schemas.openxmlformats.org/officeDocument/2006/relationships/sharedStrings" Target="/xl/sharedStrings.xml" Id="R81905768d4d34514" /><Relationship Type="http://schemas.openxmlformats.org/officeDocument/2006/relationships/worksheet" Target="/xl/worksheets/sheet1.xml" Id="R9600048d02384f8f" /><Relationship Type="http://schemas.openxmlformats.org/officeDocument/2006/relationships/worksheet" Target="/xl/worksheets/sheet2.xml" Id="Ra56b10aa0a8a49ab" /><Relationship Type="http://schemas.openxmlformats.org/officeDocument/2006/relationships/worksheet" Target="/xl/worksheets/sheet3.xml" Id="Rcfc8706acadf461e" /><Relationship Type="http://schemas.openxmlformats.org/officeDocument/2006/relationships/worksheet" Target="/xl/worksheets/sheet4.xml" Id="Ree6e078813b74e4d" /><Relationship Type="http://schemas.openxmlformats.org/officeDocument/2006/relationships/worksheet" Target="/xl/worksheets/sheet5.xml" Id="Rc55be492564e4c45" /><Relationship Type="http://schemas.openxmlformats.org/officeDocument/2006/relationships/worksheet" Target="/xl/worksheets/sheet6.xml" Id="R5b195c18fcf645c1" /><Relationship Type="http://schemas.openxmlformats.org/officeDocument/2006/relationships/worksheet" Target="/xl/worksheets/sheet7.xml" Id="Rbc217ad4c00841a4" /><Relationship Type="http://schemas.openxmlformats.org/officeDocument/2006/relationships/worksheet" Target="/xl/worksheets/sheet8.xml" Id="Rd6bd9836042e4168" /><Relationship Type="http://schemas.openxmlformats.org/officeDocument/2006/relationships/worksheet" Target="/xl/worksheets/sheet9.xml" Id="R095519d096804a1a" /><Relationship Type="http://schemas.openxmlformats.org/officeDocument/2006/relationships/worksheet" Target="/xl/worksheets/sheet10.xml" Id="Rfcca2a42bc72457a" /><Relationship Type="http://schemas.openxmlformats.org/officeDocument/2006/relationships/worksheet" Target="/xl/worksheets/sheet11.xml" Id="R1179819eed10401b" /></Relationships>
</file>

<file path=xl/tables/table1.xml><?xml version="1.0" encoding="utf-8"?>
<x:table xmlns:x="http://schemas.openxmlformats.org/spreadsheetml/2006/main" id="1" name="OverviewDecisions" displayName="OverviewDecisions" ref="A12:C20" headerRowCount="1" totalsRowCount="0" totalsRowShown="0">
  <x:autoFilter ref="A12:C20"/>
  <x:tableColumns count="3">
    <x:tableColumn id="1" name="议题"/>
    <x:tableColumn id="2" name="第13轮结论"/>
    <x:tableColumn id="3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Principles" displayName="OverviewPrinciples" ref="A24:B30" headerRowCount="1" totalsRowCount="0" totalsRowShown="0">
  <x:autoFilter ref="A24:B30"/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poseSpecs" displayName="PurposeSpecs" ref="A3:N12" headerRowCount="1" totalsRowCount="0" totalsRowShown="0">
  <x:autoFilter ref="A3:N12"/>
  <x:tableColumns count="14">
    <x:tableColumn id="1" name="用途ID"/>
    <x:tableColumn id="2" name="四族候选"/>
    <x:tableColumn id="3" name="主用途类"/>
    <x:tableColumn id="4" name="系统定义"/>
    <x:tableColumn id="5" name="玩家问题"/>
    <x:tableColumn id="6" name="固定子类/内容线"/>
    <x:tableColumn id="7" name="主要对象"/>
    <x:tableColumn id="8" name="核心操作"/>
    <x:tableColumn id="9" name="默认时间形态"/>
    <x:tableColumn id="10" name="五行生效摘要"/>
    <x:tableColumn id="11" name="主要代价"/>
    <x:tableColumn id="12" name="分类边界"/>
    <x:tableColumn id="13" name="玩家反馈"/>
    <x:tableColumn id="14" name="设定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typeSpecs" displayName="SubtypeSpecs" ref="A3:M37" headerRowCount="1" totalsRowCount="0" totalsRowShown="0">
  <x:autoFilter ref="A3:M37"/>
  <x:tableColumns count="13">
    <x:tableColumn id="1" name="用途ID"/>
    <x:tableColumn id="2" name="子类ID"/>
    <x:tableColumn id="3" name="固定子类"/>
    <x:tableColumn id="4" name="目标境界/场景"/>
    <x:tableColumn id="5" name="主要对象"/>
    <x:tableColumn id="6" name="操作组合"/>
    <x:tableColumn id="7" name="时间形态"/>
    <x:tableColumn id="8" name="目标结果"/>
    <x:tableColumn id="9" name="核心五行职责"/>
    <x:tableColumn id="10" name="关键失败"/>
    <x:tableColumn id="11" name="分类边界"/>
    <x:tableColumn id="12" name="推荐玩家信息"/>
    <x:tableColumn id="13" name="设定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xStepChain" displayName="SixStepChain" ref="A3:L9" headerRowCount="1" totalsRowCount="0" totalsRowShown="0">
  <x:autoFilter ref="A3:L9"/>
  <x:tableColumns count="12">
    <x:tableColumn id="1" name="步骤"/>
    <x:tableColumn id="2" name="阶段名"/>
    <x:tableColumn id="3" name="物理发生"/>
    <x:tableColumn id="4" name="主导五行职责"/>
    <x:tableColumn id="5" name="四性关注"/>
    <x:tableColumn id="6" name="五味关注"/>
    <x:tableColumn id="7" name="君臣佐使依赖"/>
    <x:tableColumn id="8" name="成功标志"/>
    <x:tableColumn id="9" name="典型失败"/>
    <x:tableColumn id="10" name="形成代价"/>
    <x:tableColumn id="11" name="可见反馈"/>
    <x:tableColumn id="12" name="设定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lementRoles" displayName="ElementRoles" ref="A4:K9" headerRowCount="1" totalsRowCount="0" totalsRowShown="0">
  <x:autoFilter ref="A4:K9"/>
  <x:tableColumns count="11">
    <x:tableColumn id="1" name="五行"/>
    <x:tableColumn id="2" name="核心结构动词"/>
    <x:tableColumn id="3" name="在丹构中的职责"/>
    <x:tableColumn id="4" name="充足表现"/>
    <x:tableColumn id="5" name="过强风险"/>
    <x:tableColumn id="6" name="不足风险"/>
    <x:tableColumn id="7" name="常见工序角色"/>
    <x:tableColumn id="8" name="常见用途"/>
    <x:tableColumn id="9" name="不是"/>
    <x:tableColumn id="10" name="设定状态"/>
    <x:tableColumn id="11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perationSpecs" displayName="OperationSpecs" ref="A12:K19" headerRowCount="1" totalsRowCount="0" totalsRowShown="0">
  <x:autoFilter ref="A12:K19"/>
  <x:tableColumns count="11">
    <x:tableColumn id="1" name="操作"/>
    <x:tableColumn id="2" name="定义"/>
    <x:tableColumn id="3" name="最低职责组合"/>
    <x:tableColumn id="4" name="典型目标"/>
    <x:tableColumn id="5" name="常见用途类"/>
    <x:tableColumn id="6" name="成功条件"/>
    <x:tableColumn id="7" name="典型失败"/>
    <x:tableColumn id="8" name="时间倾向"/>
    <x:tableColumn id="9" name="配置标签"/>
    <x:tableColumn id="10" name="设定状态"/>
    <x:tableColumn id="11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atureSpecs" displayName="NatureSpecs" ref="A4:I9" headerRowCount="1" totalsRowCount="0" totalsRowShown="0">
  <x:autoFilter ref="A4:I9"/>
  <x:tableColumns count="9">
    <x:tableColumn id="1" name="性向"/>
    <x:tableColumn id="2" name="展开倾向"/>
    <x:tableColumn id="3" name="常见价值"/>
    <x:tableColumn id="4" name="过强风险"/>
    <x:tableColumn id="5" name="适用操作"/>
    <x:tableColumn id="6" name="不等于"/>
    <x:tableColumn id="7" name="状态"/>
    <x:tableColumn id="8" name="设计备注"/>
    <x:tableColumn id="9" name="示例问法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lavorSpecs" displayName="FlavorSpecs" ref="A12:I17" headerRowCount="1" totalsRowCount="0" totalsRowShown="0">
  <x:autoFilter ref="A12:I17"/>
  <x:tableColumns count="9">
    <x:tableColumn id="1" name="五味"/>
    <x:tableColumn id="2" name="古典对应"/>
    <x:tableColumn id="3" name="项目归经倾向"/>
    <x:tableColumn id="4" name="常见动作感"/>
    <x:tableColumn id="5" name="常见用途"/>
    <x:tableColumn id="6" name="过强风险"/>
    <x:tableColumn id="7" name="状态"/>
    <x:tableColumn id="8" name="边界"/>
    <x:tableColumn id="9" name="设计问法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ormulaRoles" displayName="FormulaRoles" ref="A20:I24" headerRowCount="1" totalsRowCount="0" totalsRowShown="0">
  <x:autoFilter ref="A20:I24"/>
  <x:tableColumns count="9">
    <x:tableColumn id="1" name="角色"/>
    <x:tableColumn id="2" name="核心问题"/>
    <x:tableColumn id="3" name="职责"/>
    <x:tableColumn id="4" name="缺失后果"/>
    <x:tableColumn id="5" name="可一材多职"/>
    <x:tableColumn id="6" name="与品质关系"/>
    <x:tableColumn id="7" name="状态"/>
    <x:tableColumn id="8" name="设计检查"/>
    <x:tableColumn id="9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almCurve" displayName="RealmCurve" ref="A4:K12" headerRowCount="1" totalsRowCount="0" totalsRowShown="0">
  <x:autoFilter ref="A4:K12"/>
  <x:tableColumns count="11">
    <x:tableColumn id="1" name="境界"/>
    <x:tableColumn id="2" name="结构框架"/>
    <x:tableColumn id="3" name="修为丹设计重点"/>
    <x:tableColumn id="4" name="标准化程度"/>
    <x:tableColumn id="5" name="通用市场"/>
    <x:tableColumn id="6" name="道路依赖"/>
    <x:tableColumn id="7" name="默认整合"/>
    <x:tableColumn id="8" name="低境丹给本境"/>
    <x:tableColumn id="9" name="高境丹误服风险"/>
    <x:tableColumn id="10" name="破境产品线"/>
    <x:tableColumn id="11" name="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xisDiscipline" displayName="AxisDiscipline" ref="A15:K20" headerRowCount="1" totalsRowCount="0" totalsRowShown="0">
  <x:autoFilter ref="A15:K20"/>
  <x:tableColumns count="11">
    <x:tableColumn id="1" name="轴"/>
    <x:tableColumn id="2" name="回答的问题"/>
    <x:tableColumn id="3" name="可影响"/>
    <x:tableColumn id="4" name="不得承担"/>
    <x:tableColumn id="5" name="配置建议"/>
    <x:tableColumn id="6" name="玩家显示"/>
    <x:tableColumn id="7" name="错误示例"/>
    <x:tableColumn id="8" name="正确示例"/>
    <x:tableColumn id="9" name="状态"/>
    <x:tableColumn id="10" name="数值状态"/>
    <x:tableColumn id="11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stMechanisms" displayName="CostMechanisms" ref="A4:K8" headerRowCount="1" totalsRowCount="0" totalsRowShown="0">
  <x:autoFilter ref="A4:K8"/>
  <x:tableColumns count="11">
    <x:tableColumn id="1" name="机制"/>
    <x:tableColumn id="2" name="本质"/>
    <x:tableColumn id="3" name="状态形式"/>
    <x:tableColumn id="4" name="触发来源"/>
    <x:tableColumn id="5" name="主要后果"/>
    <x:tableColumn id="6" name="恢复/处理"/>
    <x:tableColumn id="7" name="玩家常驻显示"/>
    <x:tableColumn id="8" name="服用前提示"/>
    <x:tableColumn id="9" name="禁止混淆"/>
    <x:tableColumn id="10" name="推荐接口"/>
    <x:tableColumn id="11" name="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ismatchRules" displayName="MismatchRules" ref="A11:K17" headerRowCount="1" totalsRowCount="0" totalsRowShown="0">
  <x:autoFilter ref="A11:K17"/>
  <x:tableColumns count="11">
    <x:tableColumn id="1" name="错配情形"/>
    <x:tableColumn id="2" name="世界原因"/>
    <x:tableColumn id="3" name="效果变化"/>
    <x:tableColumn id="4" name="丹毒变化"/>
    <x:tableColumn id="5" name="排异风险"/>
    <x:tableColumn id="6" name="典型伤害"/>
    <x:tableColumn id="7" name="玩家警告"/>
    <x:tableColumn id="8" name="可否服用"/>
    <x:tableColumn id="9" name="建议处理"/>
    <x:tableColumn id="10" name="数值状态"/>
    <x:tableColumn id="11" name="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illInstances" displayName="PillInstances" ref="A3:AD37" headerRowCount="1" totalsRowCount="0" totalsRowShown="0">
  <x:autoFilter ref="A3:AD37"/>
  <x:tableColumns count="30">
    <x:tableColumn id="1" name="丹药ID"/>
    <x:tableColumn id="2" name="占位丹名"/>
    <x:tableColumn id="3" name="定名状态"/>
    <x:tableColumn id="4" name="四族候选"/>
    <x:tableColumn id="5" name="主用途"/>
    <x:tableColumn id="6" name="固定子类"/>
    <x:tableColumn id="7" name="目标境界"/>
    <x:tableColumn id="8" name="目标对象"/>
    <x:tableColumn id="9" name="底层操作"/>
    <x:tableColumn id="10" name="时间形态"/>
    <x:tableColumn id="11" name="丹构模板"/>
    <x:tableColumn id="12" name="主行"/>
    <x:tableColumn id="13" name="辅行"/>
    <x:tableColumn id="14" name="性向"/>
    <x:tableColumn id="15" name="主味"/>
    <x:tableColumn id="16" name="君药职能"/>
    <x:tableColumn id="17" name="臣药职能"/>
    <x:tableColumn id="18" name="佐药职能"/>
    <x:tableColumn id="19" name="使药职能"/>
    <x:tableColumn id="20" name="一句话丹效"/>
    <x:tableColumn id="21" name="整合/排出方式"/>
    <x:tableColumn id="22" name="丹毒特征"/>
    <x:tableColumn id="23" name="排异触发"/>
    <x:tableColumn id="24" name="耐药组"/>
    <x:tableColumn id="25" name="永久递减"/>
    <x:tableColumn id="26" name="典型失败反馈"/>
    <x:tableColumn id="27" name="玩家提示"/>
    <x:tableColumn id="28" name="设定状态"/>
    <x:tableColumn id="29" name="字段完整度"/>
    <x:tableColumn id="30" name="分类校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nfigFields" displayName="ConfigFields" ref="A3:J27" headerRowCount="1" totalsRowCount="0" totalsRowShown="0">
  <x:autoFilter ref="A3:J27"/>
  <x:tableColumns count="10">
    <x:tableColumn id="1" name="字段"/>
    <x:tableColumn id="2" name="类型建议"/>
    <x:tableColumn id="3" name="必填"/>
    <x:tableColumn id="4" name="语义"/>
    <x:tableColumn id="5" name="示例"/>
    <x:tableColumn id="6" name="来源层"/>
    <x:tableColumn id="7" name="玩家可见"/>
    <x:tableColumn id="8" name="验证规则"/>
    <x:tableColumn id="9" name="状态"/>
    <x:tableColumn id="10" name="备注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ffectComponentFields" displayName="EffectComponentFields" ref="A31:J38" headerRowCount="1" totalsRowCount="0" totalsRowShown="0">
  <x:autoFilter ref="A31:J38"/>
  <x:tableColumns count="10">
    <x:tableColumn id="1" name="子字段"/>
    <x:tableColumn id="2" name="类型"/>
    <x:tableColumn id="3" name="必填"/>
    <x:tableColumn id="4" name="语义"/>
    <x:tableColumn id="5" name="示例"/>
    <x:tableColumn id="6" name="验证"/>
    <x:tableColumn id="7" name="状态"/>
    <x:tableColumn id="8" name="玩家可见"/>
    <x:tableColumn id="9" name="备注"/>
    <x:tableColumn id="10" name="署名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viewDecisions" displayName="ReviewDecisions" ref="A3:I13" headerRowCount="1" totalsRowCount="0" totalsRowShown="0">
  <x:autoFilter ref="A3:I13"/>
  <x:tableColumns count="9">
    <x:tableColumn id="1" name="议题"/>
    <x:tableColumn id="2" name="小C第12轮"/>
    <x:tableColumn id="3" name="小G第12轮"/>
    <x:tableColumn id="4" name="小龙第12轮"/>
    <x:tableColumn id="5" name="第13轮小G裁定"/>
    <x:tableColumn id="6" name="状态"/>
    <x:tableColumn id="7" name="理由"/>
    <x:tableColumn id="8" name="下游位置"/>
    <x:tableColumn id="9" name="署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b02a182d6f449d" /><Relationship Type="http://schemas.openxmlformats.org/officeDocument/2006/relationships/table" Target="/xl/tables/table2.xml" Id="R827b62d1d28542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38022e7026243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2800eea6fd64b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6df6742931543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ae298fa983441e7" /><Relationship Type="http://schemas.openxmlformats.org/officeDocument/2006/relationships/table" Target="/xl/tables/table7.xml" Id="Rafe15e0e690443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1dace69cf1ad43e6" /><Relationship Type="http://schemas.openxmlformats.org/officeDocument/2006/relationships/table" Target="/xl/tables/table9.xml" Id="R75ee27337c7146ca" /><Relationship Type="http://schemas.openxmlformats.org/officeDocument/2006/relationships/table" Target="/xl/tables/table10.xml" Id="R7b2321e2ac554d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21c2e18be88a4cc0" /><Relationship Type="http://schemas.openxmlformats.org/officeDocument/2006/relationships/table" Target="/xl/tables/table12.xml" Id="R1d1e8b90530a4e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f7d3e7cfc5334676" /><Relationship Type="http://schemas.openxmlformats.org/officeDocument/2006/relationships/table" Target="/xl/tables/table14.xml" Id="R2aa9f61bc4854b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5.xml" Id="Rf926056564264b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6.xml" Id="Ra8e7267fd5ad4371" /><Relationship Type="http://schemas.openxmlformats.org/officeDocument/2006/relationships/table" Target="/xl/tables/table17.xml" Id="R8772309aab6b45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8.xml" Id="R5123ba2ba106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8" hidden="0" customWidth="1"/>
    <x:col min="3" max="3" width="22" hidden="0" customWidth="1"/>
  </x:cols>
  <x:sheetData>
    <x:row r="1" ht="32" customHeight="1">
      <x:c r="A1" s="69" t="str">
        <x:v>第13轮｜丹药系统详细设定（小G）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32" customHeight="1">
      <x:c r="A2" s="71" t="str">
        <x:v>已完整读取第12轮小C、小G、小龙三份发言。本工作簿把第三阶段共识转为可审阅、可配置、可扩展的详细规格；不修改正式世界观。——小G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 ht="24" customHeight="1">
      <x:c r="A4" s="72" t="str">
        <x:v>核心规模（公式联动）</x:v>
      </x:c>
      <x:c r="B4" s="72" t="str">
        <x:v>核心规模（公式联动）</x:v>
      </x:c>
      <x:c r="C4" s="72" t="str">
        <x:v>核心规模（公式联动）</x:v>
      </x:c>
      <x:c r="D4" s="72" t="str">
        <x:v>核心规模（公式联动）</x:v>
      </x:c>
      <x:c r="E4" s="72" t="str">
        <x:v>核心规模（公式联动）</x:v>
      </x:c>
      <x:c r="F4" s="72" t="str">
        <x:v>核心规模（公式联动）</x:v>
      </x:c>
      <x:c r="G4" s="72" t="str">
        <x:v>核心规模（公式联动）</x:v>
      </x:c>
      <x:c r="H4" s="72" t="str">
        <x:v>核心规模（公式联动）</x:v>
      </x:c>
      <x:c r="I4" s="72" t="str">
        <x:v>核心规模（公式联动）</x:v>
      </x:c>
      <x:c r="J4" s="72" t="str">
        <x:v>核心规模（公式联动）</x:v>
      </x:c>
    </x:row>
    <x:row r="5">
      <x:c r="A5" s="73" t="str">
        <x:v>权威用途主类</x:v>
      </x:c>
      <x:c r="B5" s="74" t="n">
        <x:f>COUNTA('01_用途九类'!$C$4:$C$12)</x:f>
        <x:v>9</x:v>
      </x:c>
      <x:c r="C5" s="70"/>
      <x:c r="D5" s="70"/>
      <x:c r="E5" s="70"/>
      <x:c r="F5" s="70"/>
      <x:c r="G5" s="70"/>
      <x:c r="H5" s="70"/>
      <x:c r="I5" s="70"/>
      <x:c r="J5" s="70"/>
    </x:row>
    <x:row r="6">
      <x:c r="A6" s="75" t="str">
        <x:v>固定子类/产品线</x:v>
      </x:c>
      <x:c r="B6" s="76" t="n">
        <x:f>COUNTA('02_子类规格'!$C$4:$C$37)</x:f>
        <x:v>34</x:v>
      </x:c>
      <x:c r="C6" s="70"/>
      <x:c r="D6" s="70"/>
      <x:c r="E6" s="70"/>
      <x:c r="F6" s="70"/>
      <x:c r="G6" s="70"/>
      <x:c r="H6" s="70"/>
      <x:c r="I6" s="70"/>
      <x:c r="J6" s="70"/>
    </x:row>
    <x:row r="7">
      <x:c r="A7" s="75" t="str">
        <x:v>代表性丹药实例</x:v>
      </x:c>
      <x:c r="B7" s="76" t="n">
        <x:f>COUNTA('08_丹药实例库'!$B$4:$B$37)</x:f>
        <x:v>34</x:v>
      </x:c>
      <x:c r="C7" s="70"/>
      <x:c r="D7" s="70"/>
      <x:c r="E7" s="70"/>
      <x:c r="F7" s="70"/>
      <x:c r="G7" s="70"/>
      <x:c r="H7" s="70"/>
      <x:c r="I7" s="70"/>
      <x:c r="J7" s="70"/>
    </x:row>
    <x:row r="8">
      <x:c r="A8" s="75" t="str">
        <x:v>底层操作</x:v>
      </x:c>
      <x:c r="B8" s="76" t="n">
        <x:f>COUNTA('04_五行与七操作'!$A$13:$A$19)</x:f>
        <x:v>7</x:v>
      </x:c>
      <x:c r="C8" s="70"/>
      <x:c r="D8" s="70"/>
      <x:c r="E8" s="70"/>
      <x:c r="F8" s="70"/>
      <x:c r="G8" s="70"/>
      <x:c r="H8" s="70"/>
      <x:c r="I8" s="70"/>
      <x:c r="J8" s="70"/>
    </x:row>
    <x:row r="9">
      <x:c r="A9" s="77" t="str">
        <x:v>配置接口字段</x:v>
      </x:c>
      <x:c r="B9" s="78" t="n">
        <x:f>COUNTA('09_配置接口'!$A$4:$A$27)</x:f>
        <x:v>24</x:v>
      </x:c>
      <x:c r="C9" s="70"/>
      <x:c r="D9" s="70"/>
      <x:c r="E9" s="70"/>
      <x:c r="F9" s="70"/>
      <x:c r="G9" s="70"/>
      <x:c r="H9" s="70"/>
      <x:c r="I9" s="70"/>
      <x:c r="J9" s="70"/>
    </x:row>
    <x:row r="10">
      <x:c r="A10" s="70"/>
      <x:c r="B10" s="70"/>
      <x:c r="C10" s="70"/>
      <x:c r="D10" s="70"/>
      <x:c r="E10" s="70"/>
      <x:c r="F10" s="70"/>
      <x:c r="G10" s="70"/>
      <x:c r="H10" s="70"/>
      <x:c r="I10" s="70"/>
      <x:c r="J10" s="70"/>
    </x:row>
    <x:row r="11" ht="24" customHeight="1">
      <x:c r="A11" s="72" t="str">
        <x:v>本轮冻结判断</x:v>
      </x:c>
      <x:c r="B11" s="72" t="str">
        <x:v>本轮冻结判断</x:v>
      </x:c>
      <x:c r="C11" s="72" t="str">
        <x:v>本轮冻结判断</x:v>
      </x:c>
      <x:c r="D11" s="72" t="str">
        <x:v>本轮冻结判断</x:v>
      </x:c>
      <x:c r="E11" s="72" t="str">
        <x:v>本轮冻结判断</x:v>
      </x:c>
      <x:c r="F11" s="72" t="str">
        <x:v>本轮冻结判断</x:v>
      </x:c>
      <x:c r="G11" s="72" t="str">
        <x:v>本轮冻结判断</x:v>
      </x:c>
      <x:c r="H11" s="72" t="str">
        <x:v>本轮冻结判断</x:v>
      </x:c>
      <x:c r="I11" s="72" t="str">
        <x:v>本轮冻结判断</x:v>
      </x:c>
      <x:c r="J11" s="72" t="str">
        <x:v>本轮冻结判断</x:v>
      </x:c>
    </x:row>
    <x:row r="12" ht="34" customHeight="1">
      <x:c r="A12" s="79" t="str">
        <x:v>议题</x:v>
      </x:c>
      <x:c r="B12" s="80" t="str">
        <x:v>第13轮结论</x:v>
      </x:c>
      <x:c r="C12" s="81" t="str">
        <x:v>状态</x:v>
      </x:c>
      <x:c r="D12" s="70"/>
      <x:c r="E12" s="70"/>
      <x:c r="F12" s="70"/>
      <x:c r="G12" s="70"/>
      <x:c r="H12" s="70"/>
      <x:c r="I12" s="70"/>
      <x:c r="J12" s="70"/>
    </x:row>
    <x:row r="13" ht="48" customHeight="1">
      <x:c r="A13" s="48" t="str">
        <x:v>四族位置</x:v>
      </x:c>
      <x:c r="B13" s="48" t="str">
        <x:v>养/清/改/发保留为人间经验语言与检索候选；不当作世界物理，不锁定UI一级页签。</x:v>
      </x:c>
      <x:c r="C13" s="48" t="str">
        <x:v>冻结层级，名称/界面待测试</x:v>
      </x:c>
      <x:c r="D13" s="70"/>
      <x:c r="E13" s="70"/>
      <x:c r="F13" s="70"/>
      <x:c r="G13" s="70"/>
      <x:c r="H13" s="70"/>
      <x:c r="I13" s="70"/>
      <x:c r="J13" s="70"/>
    </x:row>
    <x:row r="14" ht="48" customHeight="1">
      <x:c r="A14" s="49" t="str">
        <x:v>修为丹结算</x:v>
      </x:c>
      <x:c r="B14" s="49" t="str">
        <x:v>世界物理始终经历整合；普通丹在服药/调息动作结束时结算，高阶定制丹可持续整合。</x:v>
      </x:c>
      <x:c r="C14" s="49" t="str">
        <x:v>采用小G第12轮口径</x:v>
      </x:c>
      <x:c r="D14" s="70"/>
      <x:c r="E14" s="70"/>
      <x:c r="F14" s="70"/>
      <x:c r="G14" s="70"/>
      <x:c r="H14" s="70"/>
      <x:c r="I14" s="70"/>
      <x:c r="J14" s="70"/>
    </x:row>
    <x:row r="15" ht="48" customHeight="1">
      <x:c r="A15" s="49" t="str">
        <x:v>服药节流</x:v>
      </x:c>
      <x:c r="B15" s="49" t="str">
        <x:v>不设每日次数硬上限；用丹毒、耐药、排异和永久递减自然节流。</x:v>
      </x:c>
      <x:c r="C15" s="49" t="str">
        <x:v>冻结</x:v>
      </x:c>
      <x:c r="D15" s="70"/>
      <x:c r="E15" s="70"/>
      <x:c r="F15" s="70"/>
      <x:c r="G15" s="70"/>
      <x:c r="H15" s="70"/>
      <x:c r="I15" s="70"/>
      <x:c r="J15" s="70"/>
    </x:row>
    <x:row r="16" ht="48" customHeight="1">
      <x:c r="A16" s="49" t="str">
        <x:v>破境丹</x:v>
      </x:c>
      <x:c r="B16" s="49" t="str">
        <x:v>每次突破尝试至多投入一颗主破境丹；失败不退，下次尝试可再投入。</x:v>
      </x:c>
      <x:c r="C16" s="49" t="str">
        <x:v>冻结</x:v>
      </x:c>
      <x:c r="D16" s="70"/>
      <x:c r="E16" s="70"/>
      <x:c r="F16" s="70"/>
      <x:c r="G16" s="70"/>
      <x:c r="H16" s="70"/>
      <x:c r="I16" s="70"/>
      <x:c r="J16" s="70"/>
    </x:row>
    <x:row r="17" ht="48" customHeight="1">
      <x:c r="A17" s="49" t="str">
        <x:v>炼丹权限</x:v>
      </x:c>
      <x:c r="B17" s="49" t="str">
        <x:v>不得把炼丹师境界直接写成工序硬权限；结果由知识、神识精度、材料、设备和熟练共同决定。</x:v>
      </x:c>
      <x:c r="C17" s="49" t="str">
        <x:v>纠偏并冻结边界</x:v>
      </x:c>
      <x:c r="D17" s="70"/>
      <x:c r="E17" s="70"/>
      <x:c r="F17" s="70"/>
      <x:c r="G17" s="70"/>
      <x:c r="H17" s="70"/>
      <x:c r="I17" s="70"/>
      <x:c r="J17" s="70"/>
    </x:row>
    <x:row r="18" ht="48" customHeight="1">
      <x:c r="A18" s="49" t="str">
        <x:v>品质与配伍</x:v>
      </x:c>
      <x:c r="B18" s="49" t="str">
        <x:v>品质不决定有没有佐药/使药；君臣佐使是方内职能，品质是成丹完整度等公共物品轴。</x:v>
      </x:c>
      <x:c r="C18" s="49" t="str">
        <x:v>纠偏并冻结边界</x:v>
      </x:c>
      <x:c r="D18" s="70"/>
      <x:c r="E18" s="70"/>
      <x:c r="F18" s="70"/>
      <x:c r="G18" s="70"/>
      <x:c r="H18" s="70"/>
      <x:c r="I18" s="70"/>
      <x:c r="J18" s="70"/>
    </x:row>
    <x:row r="19" ht="48" customHeight="1">
      <x:c r="A19" s="49" t="str">
        <x:v>数字口径</x:v>
      </x:c>
      <x:c r="B19" s="49" t="str">
        <x:v>20%损失、第三颗近乎无效等数字均不冻结；只保留可配置机制。</x:v>
      </x:c>
      <x:c r="C19" s="49" t="str">
        <x:v>纸推占位</x:v>
      </x:c>
      <x:c r="D19" s="70"/>
      <x:c r="E19" s="70"/>
      <x:c r="F19" s="70"/>
      <x:c r="G19" s="70"/>
      <x:c r="H19" s="70"/>
      <x:c r="I19" s="70"/>
      <x:c r="J19" s="70"/>
    </x:row>
    <x:row r="20" ht="48" customHeight="1">
      <x:c r="A20" s="49" t="str">
        <x:v>高境通用丹</x:v>
      </x:c>
      <x:c r="B20" s="49" t="str">
        <x:v>炼虚以上通用丹显著衰减但不绝对无效，个人定制为主。</x:v>
      </x:c>
      <x:c r="C20" s="49" t="str">
        <x:v>冻结</x:v>
      </x:c>
      <x:c r="D20" s="70"/>
      <x:c r="E20" s="70"/>
      <x:c r="F20" s="70"/>
      <x:c r="G20" s="70"/>
      <x:c r="H20" s="70"/>
      <x:c r="I20" s="70"/>
      <x:c r="J20" s="70"/>
    </x:row>
    <x:row r="21">
      <x:c r="A21" s="70"/>
      <x:c r="B21" s="70"/>
      <x:c r="C21" s="70"/>
      <x:c r="D21" s="70"/>
      <x:c r="E21" s="70"/>
      <x:c r="F21" s="70"/>
      <x:c r="G21" s="70"/>
      <x:c r="H21" s="70"/>
      <x:c r="I21" s="70"/>
      <x:c r="J21" s="70"/>
    </x:row>
    <x:row r="22">
      <x:c r="A22" s="70"/>
      <x:c r="B22" s="70"/>
      <x:c r="C22" s="70"/>
      <x:c r="D22" s="70"/>
      <x:c r="E22" s="70"/>
      <x:c r="F22" s="70"/>
      <x:c r="G22" s="70"/>
      <x:c r="H22" s="70"/>
      <x:c r="I22" s="70"/>
      <x:c r="J22" s="70"/>
    </x:row>
    <x:row r="23" ht="24" customHeight="1">
      <x:c r="A23" s="72" t="str">
        <x:v>最高纲领与边界</x:v>
      </x:c>
      <x:c r="B23" s="72" t="str">
        <x:v>最高纲领与边界</x:v>
      </x:c>
      <x:c r="C23" s="72" t="str">
        <x:v>最高纲领与边界</x:v>
      </x:c>
      <x:c r="D23" s="72" t="str">
        <x:v>最高纲领与边界</x:v>
      </x:c>
      <x:c r="E23" s="72" t="str">
        <x:v>最高纲领与边界</x:v>
      </x:c>
      <x:c r="F23" s="72" t="str">
        <x:v>最高纲领与边界</x:v>
      </x:c>
      <x:c r="G23" s="72" t="str">
        <x:v>最高纲领与边界</x:v>
      </x:c>
      <x:c r="H23" s="72" t="str">
        <x:v>最高纲领与边界</x:v>
      </x:c>
      <x:c r="I23" s="72" t="str">
        <x:v>最高纲领与边界</x:v>
      </x:c>
      <x:c r="J23" s="72" t="str">
        <x:v>最高纲领与边界</x:v>
      </x:c>
    </x:row>
    <x:row r="24" ht="34" customHeight="1">
      <x:c r="A24" s="79" t="str">
        <x:v>项目</x:v>
      </x:c>
      <x:c r="B24" s="81" t="str">
        <x:v>内容</x:v>
      </x:c>
      <x:c r="C24" s="70"/>
      <x:c r="D24" s="70"/>
      <x:c r="E24" s="70"/>
      <x:c r="F24" s="70"/>
      <x:c r="G24" s="70"/>
      <x:c r="H24" s="70"/>
      <x:c r="I24" s="70"/>
      <x:c r="J24" s="70"/>
    </x:row>
    <x:row r="25" ht="44" customHeight="1">
      <x:c r="A25" s="48" t="str">
        <x:v>丹药本体</x:v>
      </x:c>
      <x:c r="B25" s="48" t="str">
        <x:v>可吞服、可携带、预先完成配伍、织构与封存的微型秩序结构。</x:v>
      </x:c>
      <x:c r="C25" s="70"/>
      <x:c r="D25" s="70"/>
      <x:c r="E25" s="70"/>
      <x:c r="F25" s="70"/>
      <x:c r="G25" s="70"/>
      <x:c r="H25" s="70"/>
      <x:c r="I25" s="70"/>
      <x:c r="J25" s="70"/>
    </x:row>
    <x:row r="26" ht="44" customHeight="1">
      <x:c r="A26" s="49" t="str">
        <x:v>服丹过程</x:v>
      </x:c>
      <x:c r="B26" s="49" t="str">
        <x:v>丹构→入体解封→归经定向→目标耦合→受控展开与耗散→整合、排出或残留。</x:v>
      </x:c>
      <x:c r="C26" s="70"/>
      <x:c r="D26" s="70"/>
      <x:c r="E26" s="70"/>
      <x:c r="F26" s="70"/>
      <x:c r="G26" s="70"/>
      <x:c r="H26" s="70"/>
      <x:c r="I26" s="70"/>
      <x:c r="J26" s="70"/>
    </x:row>
    <x:row r="27" ht="44" customHeight="1">
      <x:c r="A27" s="49" t="str">
        <x:v>最高纲领</x:v>
      </x:c>
      <x:c r="B27" s="49" t="str">
        <x:v>服丹是丹构的受控逆展开，不是把炼丹炉程机械倒放。</x:v>
      </x:c>
      <x:c r="C27" s="70"/>
      <x:c r="D27" s="70"/>
      <x:c r="E27" s="70"/>
      <x:c r="F27" s="70"/>
      <x:c r="G27" s="70"/>
      <x:c r="H27" s="70"/>
      <x:c r="I27" s="70"/>
      <x:c r="J27" s="70"/>
    </x:row>
    <x:row r="28" ht="44" customHeight="1">
      <x:c r="A28" s="49" t="str">
        <x:v>分类表达式</x:v>
      </x:c>
      <x:c r="B28" s="49" t="str">
        <x:v>具体丹药＝唯一主用途×作用对象×操作组合×时间形态×境界适配×品质×行谱/道路适配×代价与来源风险。</x:v>
      </x:c>
      <x:c r="C28" s="70"/>
      <x:c r="D28" s="70"/>
      <x:c r="E28" s="70"/>
      <x:c r="F28" s="70"/>
      <x:c r="G28" s="70"/>
      <x:c r="H28" s="70"/>
      <x:c r="I28" s="70"/>
      <x:c r="J28" s="70"/>
    </x:row>
    <x:row r="29" ht="44" customHeight="1">
      <x:c r="A29" s="49" t="str">
        <x:v>本轮范围</x:v>
      </x:c>
      <x:c r="B29" s="49" t="str">
        <x:v>只处理修士本人服用的核心丹药；不含投毒、兽丹、外敷、炼器药液、炼丹辅材与伴服丹。</x:v>
      </x:c>
      <x:c r="C29" s="70"/>
      <x:c r="D29" s="70"/>
      <x:c r="E29" s="70"/>
      <x:c r="F29" s="70"/>
      <x:c r="G29" s="70"/>
      <x:c r="H29" s="70"/>
      <x:c r="I29" s="70"/>
      <x:c r="J29" s="70"/>
    </x:row>
    <x:row r="30" ht="44" customHeight="1">
      <x:c r="A30" s="49" t="str">
        <x:v>署名</x:v>
      </x:c>
      <x:c r="B30" s="49" t="str">
        <x:v>——小G｜五行设计第13轮｜2026-08-08</x:v>
      </x:c>
      <x:c r="C30" s="70"/>
      <x:c r="D30" s="70"/>
      <x:c r="E30" s="70"/>
      <x:c r="F30" s="70"/>
      <x:c r="G30" s="70"/>
      <x:c r="H30" s="70"/>
      <x:c r="I30" s="70"/>
      <x:c r="J30" s="70"/>
    </x:row>
  </x:sheetData>
  <x:mergeCells>
    <x:mergeCell ref="A1:J1"/>
    <x:mergeCell ref="A2:J2"/>
    <x:mergeCell ref="A4:J4"/>
    <x:mergeCell ref="A11:J11"/>
    <x:mergeCell ref="A23:J23"/>
  </x:mergeCells>
  <x:pageMargins left="0.7" right="0.7" top="0.75" bottom="0.75" header="0.3" footer="0.3"/>
  <x:tableParts count="2">
    <x:tablePart xmlns:r="http://schemas.openxmlformats.org/officeDocument/2006/relationships" r:id="R50b02a182d6f449d"/>
    <x:tablePart xmlns:r="http://schemas.openxmlformats.org/officeDocument/2006/relationships" r:id="R827b62d1d28542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6" hidden="0" customWidth="1"/>
    <x:col min="4" max="4" width="42" hidden="0" customWidth="1"/>
    <x:col min="5" max="5" width="28" hidden="0" customWidth="1"/>
    <x:col min="6" max="6" width="34" hidden="0" customWidth="1"/>
    <x:col min="7" max="7" width="30" hidden="0" customWidth="1"/>
    <x:col min="8" max="8" width="22" hidden="0" customWidth="1"/>
    <x:col min="9" max="9" width="24" hidden="0" customWidth="1"/>
    <x:col min="10" max="10" width="48" hidden="0" customWidth="1"/>
    <x:col min="11" max="11" width="30" hidden="0" customWidth="1"/>
    <x:col min="12" max="12" width="42" hidden="0" customWidth="1"/>
    <x:col min="13" max="13" width="32" hidden="0" customWidth="1"/>
    <x:col min="14" max="14" width="16" hidden="0" customWidth="1"/>
  </x:cols>
  <x:sheetData>
    <x:row r="1" ht="32" customHeight="1">
      <x:c r="A1" s="69" t="str">
        <x:v>九类用途总规格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</x:row>
    <x:row r="2" ht="32" customHeight="1">
      <x:c r="A2" s="71" t="str">
        <x:v>每颗丹必须且只能有一个主用途；允许副效果与多个机制标签。四族仅为候选检索语言。——小G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 ht="34" customHeight="1">
      <x:c r="A3" s="79" t="str">
        <x:v>用途ID</x:v>
      </x:c>
      <x:c r="B3" s="80" t="str">
        <x:v>四族候选</x:v>
      </x:c>
      <x:c r="C3" s="80" t="str">
        <x:v>主用途类</x:v>
      </x:c>
      <x:c r="D3" s="80" t="str">
        <x:v>系统定义</x:v>
      </x:c>
      <x:c r="E3" s="80" t="str">
        <x:v>玩家问题</x:v>
      </x:c>
      <x:c r="F3" s="80" t="str">
        <x:v>固定子类/内容线</x:v>
      </x:c>
      <x:c r="G3" s="80" t="str">
        <x:v>主要对象</x:v>
      </x:c>
      <x:c r="H3" s="80" t="str">
        <x:v>核心操作</x:v>
      </x:c>
      <x:c r="I3" s="80" t="str">
        <x:v>默认时间形态</x:v>
      </x:c>
      <x:c r="J3" s="80" t="str">
        <x:v>五行生效摘要</x:v>
      </x:c>
      <x:c r="K3" s="80" t="str">
        <x:v>主要代价</x:v>
      </x:c>
      <x:c r="L3" s="80" t="str">
        <x:v>分类边界</x:v>
      </x:c>
      <x:c r="M3" s="80" t="str">
        <x:v>玩家反馈</x:v>
      </x:c>
      <x:c r="N3" s="81" t="str">
        <x:v>设定状态</x:v>
      </x:c>
    </x:row>
    <x:row r="4" ht="72" customHeight="1">
      <x:c r="A4" s="48" t="str">
        <x:v>PUR01</x:v>
      </x:c>
      <x:c r="B4" s="48" t="str">
        <x:v>养</x:v>
      </x:c>
      <x:c r="C4" s="48" t="str">
        <x:v>修为精进</x:v>
      </x:c>
      <x:c r="D4" s="48" t="str">
        <x:v>把已筛选的有序灵气与结构片段整合进当前境界稳定结构。</x:v>
      </x:c>
      <x:c r="E4" s="48" t="str">
        <x:v>长期成长与境界内积累</x:v>
      </x:c>
      <x:c r="F4" s="48" t="str">
        <x:v>八境修为丹产品线</x:v>
      </x:c>
      <x:c r="G4" s="48" t="str">
        <x:v>当前境界稳定结构</x:v>
      </x:c>
      <x:c r="H4" s="48" t="str">
        <x:v>供给＋导流＋稳固</x:v>
      </x:c>
      <x:c r="I4" s="48" t="str">
        <x:v>服药/调息动作后结算；高阶可持续整合</x:v>
      </x:c>
      <x:c r="J4" s="48" t="str">
        <x:v>火完成转化，水完成传导，木接入循环，土承载固化，金收束边界。</x:v>
      </x:c>
      <x:c r="K4" s="48" t="str">
        <x:v>丹毒、耐药、错配排异</x:v>
      </x:c>
      <x:c r="L4" s="48" t="str">
        <x:v>不承担即时补蓝；不直接给予悟道或破境资格。</x:v>
      </x:c>
      <x:c r="M4" s="48" t="str">
        <x:v>修为获得、预计吸收率、丹毒增量</x:v>
      </x:c>
      <x:c r="N4" s="48" t="str">
        <x:v>冻结</x:v>
      </x:c>
    </x:row>
    <x:row r="5" ht="72" customHeight="1">
      <x:c r="A5" s="49" t="str">
        <x:v>PUR02</x:v>
      </x:c>
      <x:c r="B5" s="49" t="str">
        <x:v>养</x:v>
      </x:c>
      <x:c r="C5" s="49" t="str">
        <x:v>灵力恢复</x:v>
      </x:c>
      <x:c r="D5" s="49" t="str">
        <x:v>补充可调用灵力并安全导入经脉与丹田余量。</x:v>
      </x:c>
      <x:c r="E5" s="49" t="str">
        <x:v>战斗与探索中的灵力续航</x:v>
      </x:c>
      <x:c r="F5" s="49" t="str">
        <x:v>瞬时回灵／持续回灵</x:v>
      </x:c>
      <x:c r="G5" s="49" t="str">
        <x:v>可调用灵力、经脉、丹田余量</x:v>
      </x:c>
      <x:c r="H5" s="49" t="str">
        <x:v>供给＋导流</x:v>
      </x:c>
      <x:c r="I5" s="49" t="str">
        <x:v>瞬时或持续</x:v>
      </x:c>
      <x:c r="J5" s="49" t="str">
        <x:v>火解封转化，水快速导流，土缓冲承载，金限制峰值。</x:v>
      </x:c>
      <x:c r="K5" s="49" t="str">
        <x:v>瞬时过载、丹毒、耐药</x:v>
      </x:c>
      <x:c r="L5" s="49" t="str">
        <x:v>恢复可调用灵力，不转正为长期修为。</x:v>
      </x:c>
      <x:c r="M5" s="49" t="str">
        <x:v>恢复量、恢复时长、过载警告</x:v>
      </x:c>
      <x:c r="N5" s="49" t="str">
        <x:v>冻结</x:v>
      </x:c>
    </x:row>
    <x:row r="6" ht="72" customHeight="1">
      <x:c r="A6" s="49" t="str">
        <x:v>PUR03</x:v>
      </x:c>
      <x:c r="B6" s="49" t="str">
        <x:v>改</x:v>
      </x:c>
      <x:c r="C6" s="49" t="str">
        <x:v>破境重构</x:v>
      </x:c>
      <x:c r="D6" s="49" t="str">
        <x:v>在突破时补足缺失职责、搭建下一境临时结构，并辅助其转正。</x:v>
      </x:c>
      <x:c r="E6" s="49" t="str">
        <x:v>跨越大境界边界</x:v>
      </x:c>
      <x:c r="F6" s="49" t="str">
        <x:v>破境补位／稳境护脉／护劫辅助</x:v>
      </x:c>
      <x:c r="G6" s="49" t="str">
        <x:v>旧结构、下一境结构、突破过程</x:v>
      </x:c>
      <x:c r="H6" s="49" t="str">
        <x:v>重构＋稳固＋暂借</x:v>
      </x:c>
      <x:c r="I6" s="49" t="str">
        <x:v>单次突破窗口</x:v>
      </x:c>
      <x:c r="J6" s="49" t="str">
        <x:v>五行职责必须闭合；丹构只提供外援支架，最终结构须由修士转正。</x:v>
      </x:c>
      <x:c r="K6" s="49" t="str">
        <x:v>结构撕裂、转正失败、境界不稳</x:v>
      </x:c>
      <x:c r="L6" s="49" t="str">
        <x:v>每次突破尝试至多投入一颗主破境丹；不保证成功。</x:v>
      </x:c>
      <x:c r="M6" s="49" t="str">
        <x:v>成功率区间、适配缺口、失败损失</x:v>
      </x:c>
      <x:c r="N6" s="49" t="str">
        <x:v>冻结</x:v>
      </x:c>
    </x:row>
    <x:row r="7" ht="72" customHeight="1">
      <x:c r="A7" s="49" t="str">
        <x:v>PUR04</x:v>
      </x:c>
      <x:c r="B7" s="49" t="str">
        <x:v>养</x:v>
      </x:c>
      <x:c r="C7" s="49" t="str">
        <x:v>疗伤复元</x:v>
      </x:c>
      <x:c r="D7" s="49" t="str">
        <x:v>按正确模板修复已受损的血肉、经脉丹田、神魂或整体虚弱。</x:v>
      </x:c>
      <x:c r="E7" s="49" t="str">
        <x:v>战后与事故后的结构恢复</x:v>
      </x:c>
      <x:c r="F7" s="49" t="str">
        <x:v>血肉／经脉丹田／神魂／虚弱复元</x:v>
      </x:c>
      <x:c r="G7" s="49" t="str">
        <x:v>已受损结构</x:v>
      </x:c>
      <x:c r="H7" s="49" t="str">
        <x:v>修复＋导流＋稳固</x:v>
      </x:c>
      <x:c r="I7" s="49" t="str">
        <x:v>即时起效＋恢复期</x:v>
      </x:c>
      <x:c r="J7" s="49" t="str">
        <x:v>金识别健康边界，木续接，水输送，火促生，土固护。</x:v>
      </x:c>
      <x:c r="K7" s="49" t="str">
        <x:v>归错对象、过度生长、封错边界</x:v>
      </x:c>
      <x:c r="L7" s="49" t="str">
        <x:v>不可用一颗万能丹跨越所有伤害对象。</x:v>
      </x:c>
      <x:c r="M7" s="49" t="str">
        <x:v>恢复对象、恢复速度、禁忌伤型</x:v>
      </x:c>
      <x:c r="N7" s="49" t="str">
        <x:v>冻结</x:v>
      </x:c>
    </x:row>
    <x:row r="8" ht="72" customHeight="1">
      <x:c r="A8" s="49" t="str">
        <x:v>PUR05</x:v>
      </x:c>
      <x:c r="B8" s="49" t="str">
        <x:v>清</x:v>
      </x:c>
      <x:c r="C8" s="49" t="str">
        <x:v>清解排异</x:v>
      </x:c>
      <x:c r="D8" s="49" t="str">
        <x:v>识别、分离、搬运、包裹并排出异常残留，同时修补清除造成的微损。</x:v>
      </x:c>
      <x:c r="E8" s="49" t="str">
        <x:v>外毒、丹毒、魔染与异种灵气</x:v>
      </x:c>
      <x:c r="F8" s="49" t="str">
        <x:v>外毒／丹毒／魔染与异种灵气</x:v>
      </x:c>
      <x:c r="G8" s="49" t="str">
        <x:v>异常残留及受损回路</x:v>
      </x:c>
      <x:c r="H8" s="49" t="str">
        <x:v>净化＋导流＋修复</x:v>
      </x:c>
      <x:c r="I8" s="49" t="str">
        <x:v>清除期</x:v>
      </x:c>
      <x:c r="J8" s="49" t="str">
        <x:v>金分辨，水搬运，土包裹，木补损；必须满足净下降。</x:v>
      </x:c>
      <x:c r="K8" s="49" t="str">
        <x:v>过泻伤正、清而不出、自身残留</x:v>
      </x:c>
      <x:c r="L8" s="49" t="str">
        <x:v>降丹毒丹只处理丹毒，不洗耐药；清除量须大于自身新增量。</x:v>
      </x:c>
      <x:c r="M8" s="49" t="str">
        <x:v>净清除量、对象警告、排出反馈</x:v>
      </x:c>
      <x:c r="N8" s="49" t="str">
        <x:v>冻结</x:v>
      </x:c>
    </x:row>
    <x:row r="9" ht="72" customHeight="1">
      <x:c r="A9" s="49" t="str">
        <x:v>PUR06</x:v>
      </x:c>
      <x:c r="B9" s="49" t="str">
        <x:v>改</x:v>
      </x:c>
      <x:c r="C9" s="49" t="str">
        <x:v>锻体养基</x:v>
      </x:c>
      <x:c r="D9" s="49" t="str">
        <x:v>对肉身与神识承载结构进行长期修补、固化和缓慢重构。</x:v>
      </x:c>
      <x:c r="E9" s="49" t="str">
        <x:v>提高长期承载与基础上限</x:v>
      </x:c>
      <x:c r="F9" s="49" t="str">
        <x:v>淬体／锻脉／固丹田／凝神养魂</x:v>
      </x:c>
      <x:c r="G9" s="49" t="str">
        <x:v>肉身与神识长期承载结构</x:v>
      </x:c>
      <x:c r="H9" s="49" t="str">
        <x:v>修复＋稳固＋缓慢重构</x:v>
      </x:c>
      <x:c r="I9" s="49" t="str">
        <x:v>长期整合</x:v>
      </x:c>
      <x:c r="J9" s="49" t="str">
        <x:v>木持续生长，土固化承载，金修边，水供养，火促变。</x:v>
      </x:c>
      <x:c r="K9" s="49" t="str">
        <x:v>永久偏态、固化失败、境界上限</x:v>
      </x:c>
      <x:c r="L9" s="49" t="str">
        <x:v>清堵可带养基副标签；触及灵根读取关系则改归灵根洗炼。</x:v>
      </x:c>
      <x:c r="M9" s="49" t="str">
        <x:v>成长进度、承载上限、偏态警告</x:v>
      </x:c>
      <x:c r="N9" s="49" t="str">
        <x:v>冻结</x:v>
      </x:c>
    </x:row>
    <x:row r="10" ht="72" customHeight="1">
      <x:c r="A10" s="49" t="str">
        <x:v>PUR07</x:v>
      </x:c>
      <x:c r="B10" s="49" t="str">
        <x:v>改</x:v>
      </x:c>
      <x:c r="C10" s="49" t="str">
        <x:v>灵根洗炼</x:v>
      </x:c>
      <x:c r="D10" s="49" t="str">
        <x:v>重构灵根及魂身读取接口，清堵、纠偏或改根。</x:v>
      </x:c>
      <x:c r="E10" s="49" t="str">
        <x:v>改变灵气读取与行谱适配</x:v>
      </x:c>
      <x:c r="F10" s="49" t="str">
        <x:v>清堵洗髓／行谱纠偏／改根重塑</x:v>
      </x:c>
      <x:c r="G10" s="49" t="str">
        <x:v>灵根及魂身读取接口</x:v>
      </x:c>
      <x:c r="H10" s="49" t="str">
        <x:v>重构＋稳固</x:v>
      </x:c>
      <x:c r="I10" s="49" t="str">
        <x:v>中长期整合</x:v>
      </x:c>
      <x:c r="J10" s="49" t="str">
        <x:v>金重定边界，木重接接口，水传导行谱，火重写转化，土固定新读法。</x:v>
      </x:c>
      <x:c r="K10" s="49" t="str">
        <x:v>读取混乱、灵根损伤、魂身错位、永久递减</x:v>
      </x:c>
      <x:c r="L10" s="49" t="str">
        <x:v>只要改变行谱权重或魂身读取关系，就必须归此类。</x:v>
      </x:c>
      <x:c r="M10" s="49" t="str">
        <x:v>改造层级、成功区间、剩余改造空间</x:v>
      </x:c>
      <x:c r="N10" s="49" t="str">
        <x:v>冻结</x:v>
      </x:c>
    </x:row>
    <x:row r="11" ht="72" customHeight="1">
      <x:c r="A11" s="49" t="str">
        <x:v>PUR08</x:v>
      </x:c>
      <x:c r="B11" s="49" t="str">
        <x:v>发</x:v>
      </x:c>
      <x:c r="C11" s="49" t="str">
        <x:v>战时状态</x:v>
      </x:c>
      <x:c r="D11" s="49" t="str">
        <x:v>与既有循环临时耦合，暂借能力或改变运行参数，结束后解除并回收。</x:v>
      </x:c>
      <x:c r="E11" s="49" t="str">
        <x:v>战斗中的短时策略优势</x:v>
      </x:c>
      <x:c r="F11" s="49" t="str">
        <x:v>激发／护持／感知／行遁／临时偏谱</x:v>
      </x:c>
      <x:c r="G11" s="49" t="str">
        <x:v>当前运行参数与局部循环</x:v>
      </x:c>
      <x:c r="H11" s="49" t="str">
        <x:v>暂借＋导流</x:v>
      </x:c>
      <x:c r="I11" s="49" t="str">
        <x:v>短时</x:v>
      </x:c>
      <x:c r="J11" s="49" t="str">
        <x:v>火激发，水铺路，金设限，土承压，木维持临时连接。</x:v>
      </x:c>
      <x:c r="K11" s="49" t="str">
        <x:v>回落、耐药、急性排异、残留</x:v>
      </x:c>
      <x:c r="L11" s="49" t="str">
        <x:v>不是体外小丹炉；不得形成临时突破境界。</x:v>
      </x:c>
      <x:c r="M11" s="49" t="str">
        <x:v>持续时间、回落、当前耐药收益</x:v>
      </x:c>
      <x:c r="N11" s="49" t="str">
        <x:v>冻结</x:v>
      </x:c>
    </x:row>
    <x:row r="12" ht="72" customHeight="1">
      <x:c r="A12" s="49" t="str">
        <x:v>PUR09</x:v>
      </x:c>
      <x:c r="B12" s="49" t="str">
        <x:v>养</x:v>
      </x:c>
      <x:c r="C12" s="49" t="str">
        <x:v>养命延寿</x:v>
      </x:c>
      <x:c r="D12" s="49" t="str">
        <x:v>修复可逆异常寿损并降低未来生命结构自耗。</x:v>
      </x:c>
      <x:c r="E12" s="49" t="str">
        <x:v>寿损修复与寿命维持</x:v>
      </x:c>
      <x:c r="F12" s="49" t="str">
        <x:v>异常寿损修复／缓耗延命</x:v>
      </x:c>
      <x:c r="G12" s="49" t="str">
        <x:v>整体秩序维持周期</x:v>
      </x:c>
      <x:c r="H12" s="49" t="str">
        <x:v>修复＋稳固</x:v>
      </x:c>
      <x:c r="I12" s="49" t="str">
        <x:v>长效</x:v>
      </x:c>
      <x:c r="J12" s="49" t="str">
        <x:v>土维持整体承载，木续补损耗，水保持循环，金延缓边界崩解，火维持最低转化。</x:v>
      </x:c>
      <x:c r="K12" s="49" t="str">
        <x:v>永久递减、旧伤遮蔽、结构上限</x:v>
      </x:c>
      <x:c r="L12" s="49" t="str">
        <x:v>不能退还自然活过的时间，不能无限重开自然寿命窗口。</x:v>
      </x:c>
      <x:c r="M12" s="49" t="str">
        <x:v>可修复寿损、缓耗期、永久递减说明</x:v>
      </x:c>
      <x:c r="N12" s="49" t="str">
        <x:v>冻结</x:v>
      </x:c>
    </x:row>
  </x:sheetData>
  <x:mergeCells>
    <x:mergeCell ref="A1:N1"/>
    <x:mergeCell ref="A2:N2"/>
  </x:mergeCells>
  <x:conditionalFormatting sqref="N4:N12">
    <x:cfRule type="containsText" dxfId="0" priority="1" operator="containsText" text="冻结"/>
    <x:cfRule type="containsText" dxfId="1" priority="2" operator="containsText" text="占位"/>
    <x:cfRule type="containsText" dxfId="2" priority="3" operator="containsText" text="检查"/>
  </x:conditionalFormatting>
  <x:dataValidations count="1">
    <x:dataValidation type="list" sqref="B4:B12">
      <x:formula1>"养,清,改,发"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8022e7026243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18" hidden="0" customWidth="1"/>
    <x:col min="5" max="5" width="30" hidden="0" customWidth="1"/>
    <x:col min="6" max="6" width="24" hidden="0" customWidth="1"/>
    <x:col min="7" max="7" width="18" hidden="0" customWidth="1"/>
    <x:col min="8" max="8" width="38" hidden="0" customWidth="1"/>
    <x:col min="9" max="9" width="34" hidden="0" customWidth="1"/>
    <x:col min="10" max="10" width="36" hidden="0" customWidth="1"/>
    <x:col min="11" max="11" width="42" hidden="0" customWidth="1"/>
    <x:col min="12" max="12" width="32" hidden="0" customWidth="1"/>
    <x:col min="13" max="13" width="16" hidden="0" customWidth="1"/>
  </x:cols>
  <x:sheetData>
    <x:row r="1" ht="32" customHeight="1">
      <x:c r="A1" s="69" t="str">
        <x:v>固定子类与产品线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</x:row>
    <x:row r="2" ht="32" customHeight="1">
      <x:c r="A2" s="71" t="str">
        <x:v>共34条：八境修为线＋26条功能子类。新丹优先进入既有子类，不能凭名字新增顶层类。——小G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4" customHeight="1">
      <x:c r="A3" s="79" t="str">
        <x:v>用途ID</x:v>
      </x:c>
      <x:c r="B3" s="80" t="str">
        <x:v>子类ID</x:v>
      </x:c>
      <x:c r="C3" s="80" t="str">
        <x:v>固定子类</x:v>
      </x:c>
      <x:c r="D3" s="80" t="str">
        <x:v>目标境界/场景</x:v>
      </x:c>
      <x:c r="E3" s="80" t="str">
        <x:v>主要对象</x:v>
      </x:c>
      <x:c r="F3" s="80" t="str">
        <x:v>操作组合</x:v>
      </x:c>
      <x:c r="G3" s="80" t="str">
        <x:v>时间形态</x:v>
      </x:c>
      <x:c r="H3" s="80" t="str">
        <x:v>目标结果</x:v>
      </x:c>
      <x:c r="I3" s="80" t="str">
        <x:v>核心五行职责</x:v>
      </x:c>
      <x:c r="J3" s="80" t="str">
        <x:v>关键失败</x:v>
      </x:c>
      <x:c r="K3" s="80" t="str">
        <x:v>分类边界</x:v>
      </x:c>
      <x:c r="L3" s="80" t="str">
        <x:v>推荐玩家信息</x:v>
      </x:c>
      <x:c r="M3" s="81" t="str">
        <x:v>设定状态</x:v>
      </x:c>
    </x:row>
    <x:row r="4" ht="64" customHeight="1">
      <x:c r="A4" s="48" t="str">
        <x:v>PUR01</x:v>
      </x:c>
      <x:c r="B4" s="48" t="str">
        <x:v>SUB0101</x:v>
      </x:c>
      <x:c r="C4" s="48" t="str">
        <x:v>炼气修为线</x:v>
      </x:c>
      <x:c r="D4" s="48" t="str">
        <x:v>炼气</x:v>
      </x:c>
      <x:c r="E4" s="48" t="str">
        <x:v>灵根—经脉—丹田初始接口</x:v>
      </x:c>
      <x:c r="F4" s="48" t="str">
        <x:v>供给＋导流＋稳固</x:v>
      </x:c>
      <x:c r="G4" s="48" t="str">
        <x:v>短时整合</x:v>
      </x:c>
      <x:c r="H4" s="48" t="str">
        <x:v>帮助接口留住并纳入格式化灵气</x:v>
      </x:c>
      <x:c r="I4" s="48" t="str">
        <x:v>木接入／水导流／土留存</x:v>
      </x:c>
      <x:c r="J4" s="48" t="str">
        <x:v>接口不识别、药力散逸、杂片沉积</x:v>
      </x:c>
      <x:c r="K4" s="48" t="str">
        <x:v>是境界内积累，不是回灵</x:v>
      </x:c>
      <x:c r="L4" s="48" t="str">
        <x:v>预计修为、吸收率、丹毒</x:v>
      </x:c>
      <x:c r="M4" s="48" t="str">
        <x:v>冻结</x:v>
      </x:c>
    </x:row>
    <x:row r="5" ht="64" customHeight="1">
      <x:c r="A5" s="49" t="str">
        <x:v>PUR01</x:v>
      </x:c>
      <x:c r="B5" s="49" t="str">
        <x:v>SUB0102</x:v>
      </x:c>
      <x:c r="C5" s="49" t="str">
        <x:v>筑基修为线</x:v>
      </x:c>
      <x:c r="D5" s="49" t="str">
        <x:v>筑基</x:v>
      </x:c>
      <x:c r="E5" s="49" t="str">
        <x:v>闭环道基</x:v>
      </x:c>
      <x:c r="F5" s="49" t="str">
        <x:v>供给＋导流＋稳固</x:v>
      </x:c>
      <x:c r="G5" s="49" t="str">
        <x:v>短时整合</x:v>
      </x:c>
      <x:c r="H5" s="49" t="str">
        <x:v>扩充并稳固可自循环的道基闭环</x:v>
      </x:c>
      <x:c r="I5" s="49" t="str">
        <x:v>木续环／土固环／金收边</x:v>
      </x:c>
      <x:c r="J5" s="49" t="str">
        <x:v>局部堆积、闭环受扰</x:v>
      </x:c>
      <x:c r="K5" s="49" t="str">
        <x:v>不承担筑基破境</x:v>
      </x:c>
      <x:c r="L5" s="49" t="str">
        <x:v>预计修为、道基适配、丹毒</x:v>
      </x:c>
      <x:c r="M5" s="49" t="str">
        <x:v>冻结</x:v>
      </x:c>
    </x:row>
    <x:row r="6" ht="64" customHeight="1">
      <x:c r="A6" s="49" t="str">
        <x:v>PUR01</x:v>
      </x:c>
      <x:c r="B6" s="49" t="str">
        <x:v>SUB0103</x:v>
      </x:c>
      <x:c r="C6" s="49" t="str">
        <x:v>金丹修为线</x:v>
      </x:c>
      <x:c r="D6" s="49" t="str">
        <x:v>金丹</x:v>
      </x:c>
      <x:c r="E6" s="49" t="str">
        <x:v>丹核与外循环</x:v>
      </x:c>
      <x:c r="F6" s="49" t="str">
        <x:v>供给＋导流＋稳固</x:v>
      </x:c>
      <x:c r="G6" s="49" t="str">
        <x:v>短时整合</x:v>
      </x:c>
      <x:c r="H6" s="49" t="str">
        <x:v>向丹核输送可压缩的有序结构片段</x:v>
      </x:c>
      <x:c r="I6" s="49" t="str">
        <x:v>金定核／土承核／火转化</x:v>
      </x:c>
      <x:c r="J6" s="49" t="str">
        <x:v>核压不匀、外溢反冲</x:v>
      </x:c>
      <x:c r="K6" s="49" t="str">
        <x:v>不直接铸成金丹</x:v>
      </x:c>
      <x:c r="L6" s="49" t="str">
        <x:v>预计修为、丹核适配、丹毒</x:v>
      </x:c>
      <x:c r="M6" s="49" t="str">
        <x:v>冻结</x:v>
      </x:c>
    </x:row>
    <x:row r="7" ht="64" customHeight="1">
      <x:c r="A7" s="49" t="str">
        <x:v>PUR01</x:v>
      </x:c>
      <x:c r="B7" s="49" t="str">
        <x:v>SUB0104</x:v>
      </x:c>
      <x:c r="C7" s="49" t="str">
        <x:v>元婴修为线</x:v>
      </x:c>
      <x:c r="D7" s="49" t="str">
        <x:v>元婴</x:v>
      </x:c>
      <x:c r="E7" s="49" t="str">
        <x:v>元婴—肉身双中心</x:v>
      </x:c>
      <x:c r="F7" s="49" t="str">
        <x:v>供给＋导流＋稳固</x:v>
      </x:c>
      <x:c r="G7" s="49" t="str">
        <x:v>短时整合</x:v>
      </x:c>
      <x:c r="H7" s="49" t="str">
        <x:v>同步滋养元婴与肉身并保持双中心一致</x:v>
      </x:c>
      <x:c r="I7" s="49" t="str">
        <x:v>水同步／木连心／土稳态</x:v>
      </x:c>
      <x:c r="J7" s="49" t="str">
        <x:v>双中心失步、神魂疲劳</x:v>
      </x:c>
      <x:c r="K7" s="49" t="str">
        <x:v>不是单纯神魂疗伤</x:v>
      </x:c>
      <x:c r="L7" s="49" t="str">
        <x:v>预计修为、双中心适配</x:v>
      </x:c>
      <x:c r="M7" s="49" t="str">
        <x:v>冻结</x:v>
      </x:c>
    </x:row>
    <x:row r="8" ht="64" customHeight="1">
      <x:c r="A8" s="49" t="str">
        <x:v>PUR01</x:v>
      </x:c>
      <x:c r="B8" s="49" t="str">
        <x:v>SUB0105</x:v>
      </x:c>
      <x:c r="C8" s="49" t="str">
        <x:v>化神修为线</x:v>
      </x:c>
      <x:c r="D8" s="49" t="str">
        <x:v>化神</x:v>
      </x:c>
      <x:c r="E8" s="49" t="str">
        <x:v>神魂道路与全身循环</x:v>
      </x:c>
      <x:c r="F8" s="49" t="str">
        <x:v>供给＋导流＋稳固</x:v>
      </x:c>
      <x:c r="G8" s="49" t="str">
        <x:v>短时或持续</x:v>
      </x:c>
      <x:c r="H8" s="49" t="str">
        <x:v>按道路偏好整合结构食物</x:v>
      </x:c>
      <x:c r="I8" s="49" t="str">
        <x:v>木接道／金辨路／土固认同</x:v>
      </x:c>
      <x:c r="J8" s="49" t="str">
        <x:v>道路错配、收益骤降</x:v>
      </x:c>
      <x:c r="K8" s="49" t="str">
        <x:v>通用丹仍可用但道路影响显著</x:v>
      </x:c>
      <x:c r="L8" s="49" t="str">
        <x:v>预计修为、道路适配</x:v>
      </x:c>
      <x:c r="M8" s="49" t="str">
        <x:v>冻结</x:v>
      </x:c>
    </x:row>
    <x:row r="9" ht="64" customHeight="1">
      <x:c r="A9" s="49" t="str">
        <x:v>PUR01</x:v>
      </x:c>
      <x:c r="B9" s="49" t="str">
        <x:v>SUB0106</x:v>
      </x:c>
      <x:c r="C9" s="49" t="str">
        <x:v>炼虚修为线</x:v>
      </x:c>
      <x:c r="D9" s="49" t="str">
        <x:v>炼虚</x:v>
      </x:c>
      <x:c r="E9" s="49" t="str">
        <x:v>虚实转换结构</x:v>
      </x:c>
      <x:c r="F9" s="49" t="str">
        <x:v>供给＋导流＋稳固</x:v>
      </x:c>
      <x:c r="G9" s="49" t="str">
        <x:v>持续整合</x:v>
      </x:c>
      <x:c r="H9" s="49" t="str">
        <x:v>补充能跨虚实相位的个人化结构片段</x:v>
      </x:c>
      <x:c r="I9" s="49" t="str">
        <x:v>水迁移／金定相／土自稳</x:v>
      </x:c>
      <x:c r="J9" s="49" t="str">
        <x:v>相位脱节、错位排异</x:v>
      </x:c>
      <x:c r="K9" s="49" t="str">
        <x:v>定制为主，通用不绝对无效</x:v>
      </x:c>
      <x:c r="L9" s="49" t="str">
        <x:v>预计修为、定制程度</x:v>
      </x:c>
      <x:c r="M9" s="49" t="str">
        <x:v>冻结</x:v>
      </x:c>
    </x:row>
    <x:row r="10" ht="64" customHeight="1">
      <x:c r="A10" s="49" t="str">
        <x:v>PUR01</x:v>
      </x:c>
      <x:c r="B10" s="49" t="str">
        <x:v>SUB0107</x:v>
      </x:c>
      <x:c r="C10" s="49" t="str">
        <x:v>合体修为线</x:v>
      </x:c>
      <x:c r="D10" s="49" t="str">
        <x:v>合体</x:v>
      </x:c>
      <x:c r="E10" s="49" t="str">
        <x:v>魂身道三者整体</x:v>
      </x:c>
      <x:c r="F10" s="49" t="str">
        <x:v>供给＋导流＋稳固</x:v>
      </x:c>
      <x:c r="G10" s="49" t="str">
        <x:v>持续整合</x:v>
      </x:c>
      <x:c r="H10" s="49" t="str">
        <x:v>提高全身多层结构协同密度</x:v>
      </x:c>
      <x:c r="I10" s="49" t="str">
        <x:v>木统联／土承总／金校界</x:v>
      </x:c>
      <x:c r="J10" s="49" t="str">
        <x:v>局部增益破坏整体协同</x:v>
      </x:c>
      <x:c r="K10" s="49" t="str">
        <x:v>高度依赖个人道路</x:v>
      </x:c>
      <x:c r="L10" s="49" t="str">
        <x:v>预计修为、整体耦合率</x:v>
      </x:c>
      <x:c r="M10" s="49" t="str">
        <x:v>冻结</x:v>
      </x:c>
    </x:row>
    <x:row r="11" ht="64" customHeight="1">
      <x:c r="A11" s="49" t="str">
        <x:v>PUR01</x:v>
      </x:c>
      <x:c r="B11" s="49" t="str">
        <x:v>SUB0108</x:v>
      </x:c>
      <x:c r="C11" s="49" t="str">
        <x:v>大乘修为线</x:v>
      </x:c>
      <x:c r="D11" s="49" t="str">
        <x:v>大乘</x:v>
      </x:c>
      <x:c r="E11" s="49" t="str">
        <x:v>自锚结构</x:v>
      </x:c>
      <x:c r="F11" s="49" t="str">
        <x:v>供给＋导流＋稳固</x:v>
      </x:c>
      <x:c r="G11" s="49" t="str">
        <x:v>持续整合</x:v>
      </x:c>
      <x:c r="H11" s="49" t="str">
        <x:v>补强面对天地回压时的自锚余量</x:v>
      </x:c>
      <x:c r="I11" s="49" t="str">
        <x:v>金自界／土自承／五行闭合</x:v>
      </x:c>
      <x:c r="J11" s="49" t="str">
        <x:v>外援格式反客为主</x:v>
      </x:c>
      <x:c r="K11" s="49" t="str">
        <x:v>仅作为稀有个人丹构，不替代自身自锚</x:v>
      </x:c>
      <x:c r="L11" s="49" t="str">
        <x:v>预计修为、自锚适配</x:v>
      </x:c>
      <x:c r="M11" s="49" t="str">
        <x:v>冻结</x:v>
      </x:c>
    </x:row>
    <x:row r="12" ht="64" customHeight="1">
      <x:c r="A12" s="49" t="str">
        <x:v>PUR02</x:v>
      </x:c>
      <x:c r="B12" s="49" t="str">
        <x:v>SUB0201</x:v>
      </x:c>
      <x:c r="C12" s="49" t="str">
        <x:v>瞬时回灵</x:v>
      </x:c>
      <x:c r="D12" s="49" t="str">
        <x:v>战斗/应急</x:v>
      </x:c>
      <x:c r="E12" s="49" t="str">
        <x:v>可调用灵力与经脉承载</x:v>
      </x:c>
      <x:c r="F12" s="49" t="str">
        <x:v>供给＋导流</x:v>
      </x:c>
      <x:c r="G12" s="49" t="str">
        <x:v>瞬时</x:v>
      </x:c>
      <x:c r="H12" s="49" t="str">
        <x:v>快速恢复可调用灵力</x:v>
      </x:c>
      <x:c r="I12" s="49" t="str">
        <x:v>火快释／水快导／土缓冲／金限峰</x:v>
      </x:c>
      <x:c r="J12" s="49" t="str">
        <x:v>经脉过载、灵力拥堵</x:v>
      </x:c>
      <x:c r="K12" s="49" t="str">
        <x:v>仍挂境界轴；不是修为增长</x:v>
      </x:c>
      <x:c r="L12" s="49" t="str">
        <x:v>恢复量、过载风险、耐药</x:v>
      </x:c>
      <x:c r="M12" s="49" t="str">
        <x:v>冻结</x:v>
      </x:c>
    </x:row>
    <x:row r="13" ht="64" customHeight="1">
      <x:c r="A13" s="49" t="str">
        <x:v>PUR02</x:v>
      </x:c>
      <x:c r="B13" s="49" t="str">
        <x:v>SUB0202</x:v>
      </x:c>
      <x:c r="C13" s="49" t="str">
        <x:v>持续回灵</x:v>
      </x:c>
      <x:c r="D13" s="49" t="str">
        <x:v>探索/长战</x:v>
      </x:c>
      <x:c r="E13" s="49" t="str">
        <x:v>丹田余量与稳定循环</x:v>
      </x:c>
      <x:c r="F13" s="49" t="str">
        <x:v>供给＋导流</x:v>
      </x:c>
      <x:c r="G13" s="49" t="str">
        <x:v>持续</x:v>
      </x:c>
      <x:c r="H13" s="49" t="str">
        <x:v>在一段时间内稳定补充灵力</x:v>
      </x:c>
      <x:c r="I13" s="49" t="str">
        <x:v>水持续输送／土稳流／火缓转</x:v>
      </x:c>
      <x:c r="J13" s="49" t="str">
        <x:v>中断、堆积、与功法冲突</x:v>
      </x:c>
      <x:c r="K13" s="49" t="str">
        <x:v>持续恢复，不转正为修为</x:v>
      </x:c>
      <x:c r="L13" s="49" t="str">
        <x:v>每息恢复、时长、耐药</x:v>
      </x:c>
      <x:c r="M13" s="49" t="str">
        <x:v>冻结</x:v>
      </x:c>
    </x:row>
    <x:row r="14" ht="64" customHeight="1">
      <x:c r="A14" s="49" t="str">
        <x:v>PUR03</x:v>
      </x:c>
      <x:c r="B14" s="49" t="str">
        <x:v>SUB0301</x:v>
      </x:c>
      <x:c r="C14" s="49" t="str">
        <x:v>破境补位</x:v>
      </x:c>
      <x:c r="D14" s="49" t="str">
        <x:v>突破前/中</x:v>
      </x:c>
      <x:c r="E14" s="49" t="str">
        <x:v>下一境缺失职责</x:v>
      </x:c>
      <x:c r="F14" s="49" t="str">
        <x:v>重构＋暂借＋稳固</x:v>
      </x:c>
      <x:c r="G14" s="49" t="str">
        <x:v>一次性</x:v>
      </x:c>
      <x:c r="H14" s="49" t="str">
        <x:v>临时补齐五行职责并搭建结构支架</x:v>
      </x:c>
      <x:c r="I14" s="49" t="str">
        <x:v>五行功能闭合</x:v>
      </x:c>
      <x:c r="J14" s="49" t="str">
        <x:v>缺口识别错误、转正失败</x:v>
      </x:c>
      <x:c r="K14" s="49" t="str">
        <x:v>每次尝试至多一颗主破境丹</x:v>
      </x:c>
      <x:c r="L14" s="49" t="str">
        <x:v>补位对象、成功区间、失败不退</x:v>
      </x:c>
      <x:c r="M14" s="49" t="str">
        <x:v>冻结</x:v>
      </x:c>
    </x:row>
    <x:row r="15" ht="64" customHeight="1">
      <x:c r="A15" s="49" t="str">
        <x:v>PUR03</x:v>
      </x:c>
      <x:c r="B15" s="49" t="str">
        <x:v>SUB0302</x:v>
      </x:c>
      <x:c r="C15" s="49" t="str">
        <x:v>稳境护脉</x:v>
      </x:c>
      <x:c r="D15" s="49" t="str">
        <x:v>突破中/后</x:v>
      </x:c>
      <x:c r="E15" s="49" t="str">
        <x:v>经脉丹田与新结构边界</x:v>
      </x:c>
      <x:c r="F15" s="49" t="str">
        <x:v>稳固＋修复</x:v>
      </x:c>
      <x:c r="G15" s="49" t="str">
        <x:v>突破窗口</x:v>
      </x:c>
      <x:c r="H15" s="49" t="str">
        <x:v>减少重构冲击并稳定新结构</x:v>
      </x:c>
      <x:c r="I15" s="49" t="str">
        <x:v>土承压／金收边／木补裂</x:v>
      </x:c>
      <x:c r="J15" s="49" t="str">
        <x:v>封错边界、假稳固</x:v>
      </x:c>
      <x:c r="K15" s="49" t="str">
        <x:v>是辅助丹，不替代主破境丹</x:v>
      </x:c>
      <x:c r="L15" s="49" t="str">
        <x:v>护脉对象、稳境时长</x:v>
      </x:c>
      <x:c r="M15" s="49" t="str">
        <x:v>冻结</x:v>
      </x:c>
    </x:row>
    <x:row r="16" ht="64" customHeight="1">
      <x:c r="A16" s="49" t="str">
        <x:v>PUR03</x:v>
      </x:c>
      <x:c r="B16" s="49" t="str">
        <x:v>SUB0303</x:v>
      </x:c>
      <x:c r="C16" s="49" t="str">
        <x:v>护劫辅助</x:v>
      </x:c>
      <x:c r="D16" s="49" t="str">
        <x:v>渡劫窗口</x:v>
      </x:c>
      <x:c r="E16" s="49" t="str">
        <x:v>肉身神魂与外界冲击接口</x:v>
      </x:c>
      <x:c r="F16" s="49" t="str">
        <x:v>稳固＋暂借＋导流</x:v>
      </x:c>
      <x:c r="G16" s="49" t="str">
        <x:v>短时</x:v>
      </x:c>
      <x:c r="H16" s="49" t="str">
        <x:v>分流并承受天劫冲击，不取消天地回压</x:v>
      </x:c>
      <x:c r="I16" s="49" t="str">
        <x:v>金分界／土承压／水泄势</x:v>
      </x:c>
      <x:c r="J16" s="49" t="str">
        <x:v>承载崩裂、回落伤势</x:v>
      </x:c>
      <x:c r="K16" s="49" t="str">
        <x:v>不能取消试炼或直接判定渡劫成功</x:v>
      </x:c>
      <x:c r="L16" s="49" t="str">
        <x:v>可承压类型、回落、排异</x:v>
      </x:c>
      <x:c r="M16" s="49" t="str">
        <x:v>冻结</x:v>
      </x:c>
    </x:row>
    <x:row r="17" ht="64" customHeight="1">
      <x:c r="A17" s="49" t="str">
        <x:v>PUR04</x:v>
      </x:c>
      <x:c r="B17" s="49" t="str">
        <x:v>SUB0401</x:v>
      </x:c>
      <x:c r="C17" s="49" t="str">
        <x:v>血肉复元</x:v>
      </x:c>
      <x:c r="D17" s="49" t="str">
        <x:v>外伤/内伤</x:v>
      </x:c>
      <x:c r="E17" s="49" t="str">
        <x:v>血肉结构</x:v>
      </x:c>
      <x:c r="F17" s="49" t="str">
        <x:v>修复＋导流＋稳固</x:v>
      </x:c>
      <x:c r="G17" s="49" t="str">
        <x:v>即时＋恢复期</x:v>
      </x:c>
      <x:c r="H17" s="49" t="str">
        <x:v>按健康模板止损、续接并生肌</x:v>
      </x:c>
      <x:c r="I17" s="49" t="str">
        <x:v>金辨界／木生肌／土固护</x:v>
      </x:c>
      <x:c r="J17" s="49" t="str">
        <x:v>过度生长、异物封入</x:v>
      </x:c>
      <x:c r="K17" s="49" t="str">
        <x:v>不修经脉丹田与神魂主伤</x:v>
      </x:c>
      <x:c r="L17" s="49" t="str">
        <x:v>伤型、恢复量、禁忌</x:v>
      </x:c>
      <x:c r="M17" s="49" t="str">
        <x:v>冻结</x:v>
      </x:c>
    </x:row>
    <x:row r="18" ht="64" customHeight="1">
      <x:c r="A18" s="49" t="str">
        <x:v>PUR04</x:v>
      </x:c>
      <x:c r="B18" s="49" t="str">
        <x:v>SUB0402</x:v>
      </x:c>
      <x:c r="C18" s="49" t="str">
        <x:v>经脉丹田复元</x:v>
      </x:c>
      <x:c r="D18" s="49" t="str">
        <x:v>经脉/丹田伤</x:v>
      </x:c>
      <x:c r="E18" s="49" t="str">
        <x:v>灵力通道与容器</x:v>
      </x:c>
      <x:c r="F18" s="49" t="str">
        <x:v>修复＋导流＋稳固</x:v>
      </x:c>
      <x:c r="G18" s="49" t="str">
        <x:v>恢复期</x:v>
      </x:c>
      <x:c r="H18" s="49" t="str">
        <x:v>重接断裂回路并恢复承载</x:v>
      </x:c>
      <x:c r="I18" s="49" t="str">
        <x:v>木续脉／水通流／金定壁／土固府</x:v>
      </x:c>
      <x:c r="J18" s="49" t="str">
        <x:v>通而不固、封堵错误</x:v>
      </x:c>
      <x:c r="K18" s="49" t="str">
        <x:v>不是回灵丹</x:v>
      </x:c>
      <x:c r="L18" s="49" t="str">
        <x:v>受损部位、恢复期、丹毒</x:v>
      </x:c>
      <x:c r="M18" s="49" t="str">
        <x:v>冻结</x:v>
      </x:c>
    </x:row>
    <x:row r="19" ht="64" customHeight="1">
      <x:c r="A19" s="49" t="str">
        <x:v>PUR04</x:v>
      </x:c>
      <x:c r="B19" s="49" t="str">
        <x:v>SUB0403</x:v>
      </x:c>
      <x:c r="C19" s="49" t="str">
        <x:v>神魂复元</x:v>
      </x:c>
      <x:c r="D19" s="49" t="str">
        <x:v>神识/元神伤</x:v>
      </x:c>
      <x:c r="E19" s="49" t="str">
        <x:v>神魂结构</x:v>
      </x:c>
      <x:c r="F19" s="49" t="str">
        <x:v>修复＋稳固</x:v>
      </x:c>
      <x:c r="G19" s="49" t="str">
        <x:v>恢复期</x:v>
      </x:c>
      <x:c r="H19" s="49" t="str">
        <x:v>降低噪声并修补神魂裂隙</x:v>
      </x:c>
      <x:c r="I19" s="49" t="str">
        <x:v>金辨识／木续接／土安定</x:v>
      </x:c>
      <x:c r="J19" s="49" t="str">
        <x:v>记忆/认同错接、精神排异</x:v>
      </x:c>
      <x:c r="K19" s="49" t="str">
        <x:v>不能直接授予理解或道心答案</x:v>
      </x:c>
      <x:c r="L19" s="49" t="str">
        <x:v>神魂伤型、安定时长</x:v>
      </x:c>
      <x:c r="M19" s="49" t="str">
        <x:v>冻结</x:v>
      </x:c>
    </x:row>
    <x:row r="20" ht="64" customHeight="1">
      <x:c r="A20" s="49" t="str">
        <x:v>PUR04</x:v>
      </x:c>
      <x:c r="B20" s="49" t="str">
        <x:v>SUB0404</x:v>
      </x:c>
      <x:c r="C20" s="49" t="str">
        <x:v>虚弱复元</x:v>
      </x:c>
      <x:c r="D20" s="49" t="str">
        <x:v>战后/术后</x:v>
      </x:c>
      <x:c r="E20" s="49" t="str">
        <x:v>全身低负荷失衡</x:v>
      </x:c>
      <x:c r="F20" s="49" t="str">
        <x:v>供给＋修复＋稳固</x:v>
      </x:c>
      <x:c r="G20" s="49" t="str">
        <x:v>短中期</x:v>
      </x:c>
      <x:c r="H20" s="49" t="str">
        <x:v>恢复整体运行能力而非单点修伤</x:v>
      </x:c>
      <x:c r="I20" s="49" t="str">
        <x:v>土承总／水周流／木续损</x:v>
      </x:c>
      <x:c r="J20" s="49" t="str">
        <x:v>遮蔽未治本的重伤</x:v>
      </x:c>
      <x:c r="K20" s="49" t="str">
        <x:v>若有明确主伤应转对应子类</x:v>
      </x:c>
      <x:c r="L20" s="49" t="str">
        <x:v>恢复期、未治伤提示</x:v>
      </x:c>
      <x:c r="M20" s="49" t="str">
        <x:v>冻结</x:v>
      </x:c>
    </x:row>
    <x:row r="21" ht="64" customHeight="1">
      <x:c r="A21" s="49" t="str">
        <x:v>PUR05</x:v>
      </x:c>
      <x:c r="B21" s="49" t="str">
        <x:v>SUB0501</x:v>
      </x:c>
      <x:c r="C21" s="49" t="str">
        <x:v>外毒清解</x:v>
      </x:c>
      <x:c r="D21" s="49" t="str">
        <x:v>中毒</x:v>
      </x:c>
      <x:c r="E21" s="49" t="str">
        <x:v>外来毒性结构</x:v>
      </x:c>
      <x:c r="F21" s="49" t="str">
        <x:v>净化＋导流＋修复</x:v>
      </x:c>
      <x:c r="G21" s="49" t="str">
        <x:v>清除期</x:v>
      </x:c>
      <x:c r="H21" s="49" t="str">
        <x:v>识别毒性结构并搬运排出</x:v>
      </x:c>
      <x:c r="I21" s="49" t="str">
        <x:v>金识毒／水搬运／土包裹／木补损</x:v>
      </x:c>
      <x:c r="J21" s="49" t="str">
        <x:v>识别过宽、清而不出</x:v>
      </x:c>
      <x:c r="K21" s="49" t="str">
        <x:v>毒种需匹配，不能万能解毒</x:v>
      </x:c>
      <x:c r="L21" s="49" t="str">
        <x:v>目标毒种、净清除量</x:v>
      </x:c>
      <x:c r="M21" s="49" t="str">
        <x:v>冻结</x:v>
      </x:c>
    </x:row>
    <x:row r="22" ht="64" customHeight="1">
      <x:c r="A22" s="49" t="str">
        <x:v>PUR05</x:v>
      </x:c>
      <x:c r="B22" s="49" t="str">
        <x:v>SUB0502</x:v>
      </x:c>
      <x:c r="C22" s="49" t="str">
        <x:v>丹毒净化</x:v>
      </x:c>
      <x:c r="D22" s="49" t="str">
        <x:v>丹毒积累</x:v>
      </x:c>
      <x:c r="E22" s="49" t="str">
        <x:v>未配对残片与沉积</x:v>
      </x:c>
      <x:c r="F22" s="49" t="str">
        <x:v>净化＋导流＋修复</x:v>
      </x:c>
      <x:c r="G22" s="49" t="str">
        <x:v>清除期</x:v>
      </x:c>
      <x:c r="H22" s="49" t="str">
        <x:v>使全局丹毒净下降</x:v>
      </x:c>
      <x:c r="I22" s="49" t="str">
        <x:v>金分片／水运出／土裹残／木补微损</x:v>
      </x:c>
      <x:c r="J22" s="49" t="str">
        <x:v>自身新增大于清除、过泻伤正</x:v>
      </x:c>
      <x:c r="K22" s="49" t="str">
        <x:v>只降丹毒，不恢复耐药</x:v>
      </x:c>
      <x:c r="L22" s="49" t="str">
        <x:v>净下降量、自身丹毒</x:v>
      </x:c>
      <x:c r="M22" s="49" t="str">
        <x:v>冻结</x:v>
      </x:c>
    </x:row>
    <x:row r="23" ht="64" customHeight="1">
      <x:c r="A23" s="49" t="str">
        <x:v>PUR05</x:v>
      </x:c>
      <x:c r="B23" s="49" t="str">
        <x:v>SUB0503</x:v>
      </x:c>
      <x:c r="C23" s="49" t="str">
        <x:v>魔染与异种灵气</x:v>
      </x:c>
      <x:c r="D23" s="49" t="str">
        <x:v>魔染/异种灵气</x:v>
      </x:c>
      <x:c r="E23" s="49" t="str">
        <x:v>被改写或侵入的运行回路</x:v>
      </x:c>
      <x:c r="F23" s="49" t="str">
        <x:v>净化＋导流＋修复</x:v>
      </x:c>
      <x:c r="G23" s="49" t="str">
        <x:v>清除期</x:v>
      </x:c>
      <x:c r="H23" s="49" t="str">
        <x:v>隔离异质行谱并恢复原有读取</x:v>
      </x:c>
      <x:c r="I23" s="49" t="str">
        <x:v>金判异／水分流／土封隔／木复接</x:v>
      </x:c>
      <x:c r="J23" s="49" t="str">
        <x:v>把自身道路误判为异物</x:v>
      </x:c>
      <x:c r="K23" s="49" t="str">
        <x:v>不直接消除魔道选择与道心后果</x:v>
      </x:c>
      <x:c r="L23" s="49" t="str">
        <x:v>目标异气、排异风险</x:v>
      </x:c>
      <x:c r="M23" s="49" t="str">
        <x:v>冻结</x:v>
      </x:c>
    </x:row>
    <x:row r="24" ht="64" customHeight="1">
      <x:c r="A24" s="49" t="str">
        <x:v>PUR06</x:v>
      </x:c>
      <x:c r="B24" s="49" t="str">
        <x:v>SUB0601</x:v>
      </x:c>
      <x:c r="C24" s="49" t="str">
        <x:v>淬体</x:v>
      </x:c>
      <x:c r="D24" s="49" t="str">
        <x:v>长期养成</x:v>
      </x:c>
      <x:c r="E24" s="49" t="str">
        <x:v>血肉承载结构</x:v>
      </x:c>
      <x:c r="F24" s="49" t="str">
        <x:v>修复＋稳固＋缓慢重构</x:v>
      </x:c>
      <x:c r="G24" s="49" t="str">
        <x:v>长期</x:v>
      </x:c>
      <x:c r="H24" s="49" t="str">
        <x:v>提升肉身承压与恢复基线</x:v>
      </x:c>
      <x:c r="I24" s="49" t="str">
        <x:v>木增生／土承载／金修边</x:v>
      </x:c>
      <x:c r="J24" s="49" t="str">
        <x:v>永久偏态、超过境界上限</x:v>
      </x:c>
      <x:c r="K24" s="49" t="str">
        <x:v>不是战时临时抗性</x:v>
      </x:c>
      <x:c r="L24" s="49" t="str">
        <x:v>成长进度、上限、偏态</x:v>
      </x:c>
      <x:c r="M24" s="49" t="str">
        <x:v>冻结</x:v>
      </x:c>
    </x:row>
    <x:row r="25" ht="64" customHeight="1">
      <x:c r="A25" s="49" t="str">
        <x:v>PUR06</x:v>
      </x:c>
      <x:c r="B25" s="49" t="str">
        <x:v>SUB0602</x:v>
      </x:c>
      <x:c r="C25" s="49" t="str">
        <x:v>锻脉</x:v>
      </x:c>
      <x:c r="D25" s="49" t="str">
        <x:v>长期养成</x:v>
      </x:c>
      <x:c r="E25" s="49" t="str">
        <x:v>经脉通道</x:v>
      </x:c>
      <x:c r="F25" s="49" t="str">
        <x:v>修复＋稳固＋缓慢重构</x:v>
      </x:c>
      <x:c r="G25" s="49" t="str">
        <x:v>长期</x:v>
      </x:c>
      <x:c r="H25" s="49" t="str">
        <x:v>扩展并稳定灵力传导能力</x:v>
      </x:c>
      <x:c r="I25" s="49" t="str">
        <x:v>木续展／水通流／金定壁／土固形</x:v>
      </x:c>
      <x:c r="J25" s="49" t="str">
        <x:v>脉宽与韧性失配</x:v>
      </x:c>
      <x:c r="K25" s="49" t="str">
        <x:v>不直接恢复当前灵力</x:v>
      </x:c>
      <x:c r="L25" s="49" t="str">
        <x:v>成长进度、承载提升</x:v>
      </x:c>
      <x:c r="M25" s="49" t="str">
        <x:v>冻结</x:v>
      </x:c>
    </x:row>
    <x:row r="26" ht="64" customHeight="1">
      <x:c r="A26" s="49" t="str">
        <x:v>PUR06</x:v>
      </x:c>
      <x:c r="B26" s="49" t="str">
        <x:v>SUB0603</x:v>
      </x:c>
      <x:c r="C26" s="49" t="str">
        <x:v>固丹田</x:v>
      </x:c>
      <x:c r="D26" s="49" t="str">
        <x:v>长期养成</x:v>
      </x:c>
      <x:c r="E26" s="49" t="str">
        <x:v>丹田容器</x:v>
      </x:c>
      <x:c r="F26" s="49" t="str">
        <x:v>修复＋稳固＋缓慢重构</x:v>
      </x:c>
      <x:c r="G26" s="49" t="str">
        <x:v>长期</x:v>
      </x:c>
      <x:c r="H26" s="49" t="str">
        <x:v>提高容器稳定、容量与抗冲击</x:v>
      </x:c>
      <x:c r="I26" s="49" t="str">
        <x:v>土承容／金定界／木补损</x:v>
      </x:c>
      <x:c r="J26" s="49" t="str">
        <x:v>固化错误、容量虚涨</x:v>
      </x:c>
      <x:c r="K26" s="49" t="str">
        <x:v>不是筑基/金丹破境丹</x:v>
      </x:c>
      <x:c r="L26" s="49" t="str">
        <x:v>容量与稳定增量</x:v>
      </x:c>
      <x:c r="M26" s="49" t="str">
        <x:v>冻结</x:v>
      </x:c>
    </x:row>
    <x:row r="27" ht="64" customHeight="1">
      <x:c r="A27" s="49" t="str">
        <x:v>PUR06</x:v>
      </x:c>
      <x:c r="B27" s="49" t="str">
        <x:v>SUB0604</x:v>
      </x:c>
      <x:c r="C27" s="49" t="str">
        <x:v>凝神养魂</x:v>
      </x:c>
      <x:c r="D27" s="49" t="str">
        <x:v>长期养成</x:v>
      </x:c>
      <x:c r="E27" s="49" t="str">
        <x:v>神识与神魂承载</x:v>
      </x:c>
      <x:c r="F27" s="49" t="str">
        <x:v>修复＋稳固＋缓慢重构</x:v>
      </x:c>
      <x:c r="G27" s="49" t="str">
        <x:v>长期</x:v>
      </x:c>
      <x:c r="H27" s="49" t="str">
        <x:v>提高神识稳定和抗疲劳基线</x:v>
      </x:c>
      <x:c r="I27" s="49" t="str">
        <x:v>土安定／金降噪／木续养</x:v>
      </x:c>
      <x:c r="J27" s="49" t="str">
        <x:v>认知僵化、噪声固化</x:v>
      </x:c>
      <x:c r="K27" s="49" t="str">
        <x:v>不直接给悟性答案</x:v>
      </x:c>
      <x:c r="L27" s="49" t="str">
        <x:v>稳定提升、疲劳恢复</x:v>
      </x:c>
      <x:c r="M27" s="49" t="str">
        <x:v>冻结</x:v>
      </x:c>
    </x:row>
    <x:row r="28" ht="64" customHeight="1">
      <x:c r="A28" s="49" t="str">
        <x:v>PUR07</x:v>
      </x:c>
      <x:c r="B28" s="49" t="str">
        <x:v>SUB0701</x:v>
      </x:c>
      <x:c r="C28" s="49" t="str">
        <x:v>清堵洗髓</x:v>
      </x:c>
      <x:c r="D28" s="49" t="str">
        <x:v>灵根接口堵塞</x:v>
      </x:c>
      <x:c r="E28" s="49" t="str">
        <x:v>灵根接口邻近结构</x:v>
      </x:c>
      <x:c r="F28" s="49" t="str">
        <x:v>净化＋重构＋稳固</x:v>
      </x:c>
      <x:c r="G28" s="49" t="str">
        <x:v>中期</x:v>
      </x:c>
      <x:c r="H28" s="49" t="str">
        <x:v>清除堵塞并恢复既有读法</x:v>
      </x:c>
      <x:c r="I28" s="49" t="str">
        <x:v>金分堵／水搬运／木复接／土固定</x:v>
      </x:c>
      <x:c r="J28" s="49" t="str">
        <x:v>清伤接口、误动行谱</x:v>
      </x:c>
      <x:c r="K28" s="49" t="str">
        <x:v>若开始改变行谱权重则升级为纠偏</x:v>
      </x:c>
      <x:c r="L28" s="49" t="str">
        <x:v>堵塞类型、接口风险</x:v>
      </x:c>
      <x:c r="M28" s="49" t="str">
        <x:v>冻结</x:v>
      </x:c>
    </x:row>
    <x:row r="29" ht="64" customHeight="1">
      <x:c r="A29" s="49" t="str">
        <x:v>PUR07</x:v>
      </x:c>
      <x:c r="B29" s="49" t="str">
        <x:v>SUB0702</x:v>
      </x:c>
      <x:c r="C29" s="49" t="str">
        <x:v>行谱纠偏</x:v>
      </x:c>
      <x:c r="D29" s="49" t="str">
        <x:v>行谱偏斜</x:v>
      </x:c>
      <x:c r="E29" s="49" t="str">
        <x:v>灵根读取权重</x:v>
      </x:c>
      <x:c r="F29" s="49" t="str">
        <x:v>重构＋稳固</x:v>
      </x:c>
      <x:c r="G29" s="49" t="str">
        <x:v>中长期</x:v>
      </x:c>
      <x:c r="H29" s="49" t="str">
        <x:v>调整既有五行读取比例与耦合偏差</x:v>
      </x:c>
      <x:c r="I29" s="49" t="str">
        <x:v>五行共同校谱</x:v>
      </x:c>
      <x:c r="J29" s="49" t="str">
        <x:v>新旧读法冲突、魂身错位</x:v>
      </x:c>
      <x:c r="K29" s="49" t="str">
        <x:v>长期轻度肉身适应可带养基副标签，主类仍为洗炼</x:v>
      </x:c>
      <x:c r="L29" s="49" t="str">
        <x:v>目标行谱、剩余改造空间</x:v>
      </x:c>
      <x:c r="M29" s="49" t="str">
        <x:v>冻结</x:v>
      </x:c>
    </x:row>
    <x:row r="30" ht="64" customHeight="1">
      <x:c r="A30" s="49" t="str">
        <x:v>PUR07</x:v>
      </x:c>
      <x:c r="B30" s="49" t="str">
        <x:v>SUB0703</x:v>
      </x:c>
      <x:c r="C30" s="49" t="str">
        <x:v>改根重塑</x:v>
      </x:c>
      <x:c r="D30" s="49" t="str">
        <x:v>重大改根</x:v>
      </x:c>
      <x:c r="E30" s="49" t="str">
        <x:v>灵根及魂身接口</x:v>
      </x:c>
      <x:c r="F30" s="49" t="str">
        <x:v>重构＋稳固</x:v>
      </x:c>
      <x:c r="G30" s="49" t="str">
        <x:v>长期/一次性窗口</x:v>
      </x:c>
      <x:c r="H30" s="49" t="str">
        <x:v>重建读取接口与主行关系</x:v>
      </x:c>
      <x:c r="I30" s="49" t="str">
        <x:v>五行全职责重构</x:v>
      </x:c>
      <x:c r="J30" s="49" t="str">
        <x:v>灵根损伤、读取崩溃、永久递减</x:v>
      </x:c>
      <x:c r="K30" s="49" t="str">
        <x:v>高风险，不等于无代价换灵根</x:v>
      </x:c>
      <x:c r="L30" s="49" t="str">
        <x:v>成功区间、永久递减、禁忌</x:v>
      </x:c>
      <x:c r="M30" s="49" t="str">
        <x:v>冻结</x:v>
      </x:c>
    </x:row>
    <x:row r="31" ht="64" customHeight="1">
      <x:c r="A31" s="49" t="str">
        <x:v>PUR08</x:v>
      </x:c>
      <x:c r="B31" s="49" t="str">
        <x:v>SUB0801</x:v>
      </x:c>
      <x:c r="C31" s="49" t="str">
        <x:v>激发</x:v>
      </x:c>
      <x:c r="D31" s="49" t="str">
        <x:v>战斗爆发</x:v>
      </x:c>
      <x:c r="E31" s="49" t="str">
        <x:v>当前转化与输出参数</x:v>
      </x:c>
      <x:c r="F31" s="49" t="str">
        <x:v>暂借＋导流</x:v>
      </x:c>
      <x:c r="G31" s="49" t="str">
        <x:v>短时</x:v>
      </x:c>
      <x:c r="H31" s="49" t="str">
        <x:v>短时提高灵气转化或输出速率</x:v>
      </x:c>
      <x:c r="I31" s="49" t="str">
        <x:v>火激发／水导流／金限峰／土承压</x:v>
      </x:c>
      <x:c r="J31" s="49" t="str">
        <x:v>过载、回落、耐药</x:v>
      </x:c>
      <x:c r="K31" s="49" t="str">
        <x:v>不改变永久境界</x:v>
      </x:c>
      <x:c r="L31" s="49" t="str">
        <x:v>增幅、时长、回落</x:v>
      </x:c>
      <x:c r="M31" s="49" t="str">
        <x:v>冻结</x:v>
      </x:c>
    </x:row>
    <x:row r="32" ht="64" customHeight="1">
      <x:c r="A32" s="49" t="str">
        <x:v>PUR08</x:v>
      </x:c>
      <x:c r="B32" s="49" t="str">
        <x:v>SUB0802</x:v>
      </x:c>
      <x:c r="C32" s="49" t="str">
        <x:v>护持</x:v>
      </x:c>
      <x:c r="D32" s="49" t="str">
        <x:v>战斗防护</x:v>
      </x:c>
      <x:c r="E32" s="49" t="str">
        <x:v>肉身/经脉局部循环</x:v>
      </x:c>
      <x:c r="F32" s="49" t="str">
        <x:v>暂借＋稳固</x:v>
      </x:c>
      <x:c r="G32" s="49" t="str">
        <x:v>短时</x:v>
      </x:c>
      <x:c r="H32" s="49" t="str">
        <x:v>临时提高抗冲击与边界稳定</x:v>
      </x:c>
      <x:c r="I32" s="49" t="str">
        <x:v>土承压／金固界／木维持</x:v>
      </x:c>
      <x:c r="J32" s="49" t="str">
        <x:v>解除不完全、残留僵化</x:v>
      </x:c>
      <x:c r="K32" s="49" t="str">
        <x:v>不是永久淬体</x:v>
      </x:c>
      <x:c r="L32" s="49" t="str">
        <x:v>抗性、时长、残留</x:v>
      </x:c>
      <x:c r="M32" s="49" t="str">
        <x:v>冻结</x:v>
      </x:c>
    </x:row>
    <x:row r="33" ht="64" customHeight="1">
      <x:c r="A33" s="49" t="str">
        <x:v>PUR08</x:v>
      </x:c>
      <x:c r="B33" s="49" t="str">
        <x:v>SUB0803</x:v>
      </x:c>
      <x:c r="C33" s="49" t="str">
        <x:v>感知</x:v>
      </x:c>
      <x:c r="D33" s="49" t="str">
        <x:v>侦察/战斗</x:v>
      </x:c>
      <x:c r="E33" s="49" t="str">
        <x:v>感知与神识运行参数</x:v>
      </x:c>
      <x:c r="F33" s="49" t="str">
        <x:v>暂借＋导流</x:v>
      </x:c>
      <x:c r="G33" s="49" t="str">
        <x:v>短时</x:v>
      </x:c>
      <x:c r="H33" s="49" t="str">
        <x:v>提高感知精度或范围</x:v>
      </x:c>
      <x:c r="I33" s="49" t="str">
        <x:v>金降噪／水传感／木连路</x:v>
      </x:c>
      <x:c r="J33" s="49" t="str">
        <x:v>信息过载、神魂疲劳</x:v>
      </x:c>
      <x:c r="K33" s="49" t="str">
        <x:v>不能直接提供理解与道心</x:v>
      </x:c>
      <x:c r="L33" s="49" t="str">
        <x:v>精度、范围、疲劳</x:v>
      </x:c>
      <x:c r="M33" s="49" t="str">
        <x:v>冻结</x:v>
      </x:c>
    </x:row>
    <x:row r="34" ht="64" customHeight="1">
      <x:c r="A34" s="49" t="str">
        <x:v>PUR08</x:v>
      </x:c>
      <x:c r="B34" s="49" t="str">
        <x:v>SUB0804</x:v>
      </x:c>
      <x:c r="C34" s="49" t="str">
        <x:v>行遁</x:v>
      </x:c>
      <x:c r="D34" s="49" t="str">
        <x:v>机动/脱离</x:v>
      </x:c>
      <x:c r="E34" s="49" t="str">
        <x:v>移动与局部灵力回路</x:v>
      </x:c>
      <x:c r="F34" s="49" t="str">
        <x:v>暂借＋导流</x:v>
      </x:c>
      <x:c r="G34" s="49" t="str">
        <x:v>短时</x:v>
      </x:c>
      <x:c r="H34" s="49" t="str">
        <x:v>临时改变速度、步法或遁行适配</x:v>
      </x:c>
      <x:c r="I34" s="49" t="str">
        <x:v>水铺路／木连步／火驱动／金定向</x:v>
      </x:c>
      <x:c r="J34" s="49" t="str">
        <x:v>回路错位、停药失衡</x:v>
      </x:c>
      <x:c r="K34" s="49" t="str">
        <x:v>长期改变身体读法应归养基或洗炼</x:v>
      </x:c>
      <x:c r="L34" s="49" t="str">
        <x:v>速度、时长、回落</x:v>
      </x:c>
      <x:c r="M34" s="49" t="str">
        <x:v>冻结</x:v>
      </x:c>
    </x:row>
    <x:row r="35" ht="64" customHeight="1">
      <x:c r="A35" s="49" t="str">
        <x:v>PUR08</x:v>
      </x:c>
      <x:c r="B35" s="49" t="str">
        <x:v>SUB0805</x:v>
      </x:c>
      <x:c r="C35" s="49" t="str">
        <x:v>临时偏谱</x:v>
      </x:c>
      <x:c r="D35" s="49" t="str">
        <x:v>属性战术</x:v>
      </x:c>
      <x:c r="E35" s="49" t="str">
        <x:v>当前行谱调用权重</x:v>
      </x:c>
      <x:c r="F35" s="49" t="str">
        <x:v>暂借＋导流</x:v>
      </x:c>
      <x:c r="G35" s="49" t="str">
        <x:v>短时</x:v>
      </x:c>
      <x:c r="H35" s="49" t="str">
        <x:v>暂时提高某行调用或克制能力</x:v>
      </x:c>
      <x:c r="I35" s="49" t="str">
        <x:v>目标行增强＋制衡行限幅</x:v>
      </x:c>
      <x:c r="J35" s="49" t="str">
        <x:v>急性排异、回落、残留</x:v>
      </x:c>
      <x:c r="K35" s="49" t="str">
        <x:v>长期纠偏归洗炼，不设第十类</x:v>
      </x:c>
      <x:c r="L35" s="49" t="str">
        <x:v>目标行、适配、回落</x:v>
      </x:c>
      <x:c r="M35" s="49" t="str">
        <x:v>冻结</x:v>
      </x:c>
    </x:row>
    <x:row r="36" ht="64" customHeight="1">
      <x:c r="A36" s="49" t="str">
        <x:v>PUR09</x:v>
      </x:c>
      <x:c r="B36" s="49" t="str">
        <x:v>SUB0901</x:v>
      </x:c>
      <x:c r="C36" s="49" t="str">
        <x:v>异常寿损修复</x:v>
      </x:c>
      <x:c r="D36" s="49" t="str">
        <x:v>外伤/越阶/魔染寿损</x:v>
      </x:c>
      <x:c r="E36" s="49" t="str">
        <x:v>可逆寿损结构</x:v>
      </x:c>
      <x:c r="F36" s="49" t="str">
        <x:v>修复＋稳固</x:v>
      </x:c>
      <x:c r="G36" s="49" t="str">
        <x:v>长效</x:v>
      </x:c>
      <x:c r="H36" s="49" t="str">
        <x:v>修复非自然老化造成的可逆寿损</x:v>
      </x:c>
      <x:c r="I36" s="49" t="str">
        <x:v>木续损／土维持／金复边</x:v>
      </x:c>
      <x:c r="J36" s="49" t="str">
        <x:v>旧伤遮蔽、不可逆损耗误判</x:v>
      </x:c>
      <x:c r="K36" s="49" t="str">
        <x:v>不能返还自然活过的时间</x:v>
      </x:c>
      <x:c r="L36" s="49" t="str">
        <x:v>可修复寿损、递减</x:v>
      </x:c>
      <x:c r="M36" s="49" t="str">
        <x:v>冻结</x:v>
      </x:c>
    </x:row>
    <x:row r="37" ht="64" customHeight="1">
      <x:c r="A37" s="49" t="str">
        <x:v>PUR09</x:v>
      </x:c>
      <x:c r="B37" s="49" t="str">
        <x:v>SUB0902</x:v>
      </x:c>
      <x:c r="C37" s="49" t="str">
        <x:v>缓耗延命</x:v>
      </x:c>
      <x:c r="D37" s="49" t="str">
        <x:v>寿命维持</x:v>
      </x:c>
      <x:c r="E37" s="49" t="str">
        <x:v>整体秩序维持周期</x:v>
      </x:c>
      <x:c r="F37" s="49" t="str">
        <x:v>修复＋稳固</x:v>
      </x:c>
      <x:c r="G37" s="49" t="str">
        <x:v>长效</x:v>
      </x:c>
      <x:c r="H37" s="49" t="str">
        <x:v>降低未来生命结构的维持自耗</x:v>
      </x:c>
      <x:c r="I37" s="49" t="str">
        <x:v>土稳态／水周流／金缓解体／木补损</x:v>
      </x:c>
      <x:c r="J37" s="49" t="str">
        <x:v>收益永久递减、结构上限</x:v>
      </x:c>
      <x:c r="K37" s="49" t="str">
        <x:v>不能无限延寿或重开关闭窗口</x:v>
      </x:c>
      <x:c r="L37" s="49" t="str">
        <x:v>缓耗期、剩余空间</x:v>
      </x:c>
      <x:c r="M37" s="49" t="str">
        <x:v>冻结</x:v>
      </x:c>
    </x:row>
  </x:sheetData>
  <x:mergeCells>
    <x:mergeCell ref="A1:M1"/>
    <x:mergeCell ref="A2:M2"/>
  </x:mergeCells>
  <x:conditionalFormatting sqref="M4:M37">
    <x:cfRule type="containsText" dxfId="3" priority="1" operator="containsText" text="冻结"/>
    <x:cfRule type="containsText" dxfId="4" priority="2" operator="containsText" text="占位"/>
    <x:cfRule type="containsText" dxfId="5" priority="3" operator="containsText" text="检查"/>
  </x:conditionalFormatting>
  <x:pageMargins left="0.7" right="0.7" top="0.75" bottom="0.75" header="0.3" footer="0.3"/>
  <x:tableParts count="1">
    <x:tablePart xmlns:r="http://schemas.openxmlformats.org/officeDocument/2006/relationships" r:id="R12800eea6fd64b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30" hidden="0" customWidth="1"/>
    <x:col min="5" max="5" width="28" hidden="0" customWidth="1"/>
    <x:col min="6" max="6" width="28" hidden="0" customWidth="1"/>
    <x:col min="7" max="7" width="34" hidden="0" customWidth="1"/>
    <x:col min="8" max="8" width="32" hidden="0" customWidth="1"/>
    <x:col min="9" max="9" width="36" hidden="0" customWidth="1"/>
    <x:col min="10" max="10" width="28" hidden="0" customWidth="1"/>
    <x:col min="11" max="11" width="28" hidden="0" customWidth="1"/>
    <x:col min="12" max="12" width="16" hidden="0" customWidth="1"/>
  </x:cols>
  <x:sheetData>
    <x:row r="1" ht="32" customHeight="1">
      <x:c r="A1" s="69" t="str">
        <x:v>丹药六步共同生效链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</x:row>
    <x:row r="2" ht="32" customHeight="1">
      <x:c r="A2" s="71" t="str">
        <x:v>六步适用于九类，只是权重不同。步骤可以在玩法上压缩，不可在世界物理上跳过。——小G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</x:row>
    <x:row r="3" ht="34" customHeight="1">
      <x:c r="A3" s="79" t="str">
        <x:v>步骤</x:v>
      </x:c>
      <x:c r="B3" s="80" t="str">
        <x:v>阶段名</x:v>
      </x:c>
      <x:c r="C3" s="80" t="str">
        <x:v>物理发生</x:v>
      </x:c>
      <x:c r="D3" s="80" t="str">
        <x:v>主导五行职责</x:v>
      </x:c>
      <x:c r="E3" s="80" t="str">
        <x:v>四性关注</x:v>
      </x:c>
      <x:c r="F3" s="80" t="str">
        <x:v>五味关注</x:v>
      </x:c>
      <x:c r="G3" s="80" t="str">
        <x:v>君臣佐使依赖</x:v>
      </x:c>
      <x:c r="H3" s="80" t="str">
        <x:v>成功标志</x:v>
      </x:c>
      <x:c r="I3" s="80" t="str">
        <x:v>典型失败</x:v>
      </x:c>
      <x:c r="J3" s="80" t="str">
        <x:v>形成代价</x:v>
      </x:c>
      <x:c r="K3" s="80" t="str">
        <x:v>可见反馈</x:v>
      </x:c>
      <x:c r="L3" s="81" t="str">
        <x:v>设定状态</x:v>
      </x:c>
    </x:row>
    <x:row r="4" ht="76" customHeight="1">
      <x:c r="A4" s="48" t="n">
        <x:v>1</x:v>
      </x:c>
      <x:c r="B4" s="48" t="str">
        <x:v>丹构</x:v>
      </x:c>
      <x:c r="C4" s="48" t="str">
        <x:v>配伍、织构与封存已在丹体内形成可逆微型秩序。</x:v>
      </x:c>
      <x:c r="D4" s="48" t="str">
        <x:v>土封存、金定界、木连构</x:v>
      </x:c>
      <x:c r="E4" s="48" t="str">
        <x:v>决定封存稳定与解封门槛</x:v>
      </x:c>
      <x:c r="F4" s="48" t="str">
        <x:v>预置归经优先级</x:v>
      </x:c>
      <x:c r="G4" s="48" t="str">
        <x:v>君定主效；臣扩主效；佐控害；使定向</x:v>
      </x:c>
      <x:c r="H4" s="48" t="str">
        <x:v>储存期稳定、结构完整</x:v>
      </x:c>
      <x:c r="I4" s="48" t="str">
        <x:v>提前散逸、死丹、内部自耗</x:v>
      </x:c>
      <x:c r="J4" s="48" t="str">
        <x:v>先天残片成为丹毒来源</x:v>
      </x:c>
      <x:c r="K4" s="48" t="str">
        <x:v>品质、保存状态、裂纹</x:v>
      </x:c>
      <x:c r="L4" s="48" t="str">
        <x:v>冻结</x:v>
      </x:c>
    </x:row>
    <x:row r="5" ht="76" customHeight="1">
      <x:c r="A5" s="49" t="n">
        <x:v>2</x:v>
      </x:c>
      <x:c r="B5" s="49" t="str">
        <x:v>入体解封</x:v>
      </x:c>
      <x:c r="C5" s="49" t="str">
        <x:v>体温、灵力或特定触发使丹构开启并释放。</x:v>
      </x:c>
      <x:c r="D5" s="49" t="str">
        <x:v>火转化、水释流、金限峰</x:v>
      </x:c>
      <x:c r="E5" s="49" t="str">
        <x:v>决定快慢、升降、寒热冲击</x:v>
      </x:c>
      <x:c r="F5" s="49" t="str">
        <x:v>开始显现归经偏好</x:v>
      </x:c>
      <x:c r="G5" s="49" t="str">
        <x:v>佐药控制峰值与刺激</x:v>
      </x:c>
      <x:c r="H5" s="49" t="str">
        <x:v>按预定速度释放</x:v>
      </x:c>
      <x:c r="I5" s="49" t="str">
        <x:v>过快过载、过慢无效、错时解封</x:v>
      </x:c>
      <x:c r="J5" s="49" t="str">
        <x:v>冲击损伤或残留</x:v>
      </x:c>
      <x:c r="K5" s="49" t="str">
        <x:v>起效延迟、过载预警</x:v>
      </x:c>
      <x:c r="L5" s="49" t="str">
        <x:v>冻结</x:v>
      </x:c>
    </x:row>
    <x:row r="6" ht="76" customHeight="1">
      <x:c r="A6" s="49" t="n">
        <x:v>3</x:v>
      </x:c>
      <x:c r="B6" s="49" t="str">
        <x:v>归经定向</x:v>
      </x:c>
      <x:c r="C6" s="49" t="str">
        <x:v>药力被引向目标器官、经脉、丹田、神魂或灵根接口。</x:v>
      </x:c>
      <x:c r="D6" s="49" t="str">
        <x:v>水导流、金分路、木接路</x:v>
      </x:c>
      <x:c r="E6" s="49" t="str">
        <x:v>决定作用势向与扩散速度</x:v>
      </x:c>
      <x:c r="F6" s="49" t="str">
        <x:v>承担主要定向职责</x:v>
      </x:c>
      <x:c r="G6" s="49" t="str">
        <x:v>使药最关键，君药本性也参与</x:v>
      </x:c>
      <x:c r="H6" s="49" t="str">
        <x:v>主药力进入正确回路</x:v>
      </x:c>
      <x:c r="I6" s="49" t="str">
        <x:v>自然分流、错经、互相争路</x:v>
      </x:c>
      <x:c r="J6" s="49" t="str">
        <x:v>药力损失、局部排异</x:v>
      </x:c>
      <x:c r="K6" s="49" t="str">
        <x:v>目标部位、预计命中率</x:v>
      </x:c>
      <x:c r="L6" s="49" t="str">
        <x:v>冻结</x:v>
      </x:c>
    </x:row>
    <x:row r="7" ht="76" customHeight="1">
      <x:c r="A7" s="49" t="n">
        <x:v>4</x:v>
      </x:c>
      <x:c r="B7" s="49" t="str">
        <x:v>目标耦合</x:v>
      </x:c>
      <x:c r="C7" s="49" t="str">
        <x:v>丹构识别目标模板并与现有结构建立临时接口。</x:v>
      </x:c>
      <x:c r="D7" s="49" t="str">
        <x:v>金识别、木耦合、土承接</x:v>
      </x:c>
      <x:c r="E7" s="49" t="str">
        <x:v>决定耦合激烈或平缓</x:v>
      </x:c>
      <x:c r="F7" s="49" t="str">
        <x:v>影响接口优先级</x:v>
      </x:c>
      <x:c r="G7" s="49" t="str">
        <x:v>君臣定义目标；佐限制误耦合</x:v>
      </x:c>
      <x:c r="H7" s="49" t="str">
        <x:v>正确对象与正确层级被识别</x:v>
      </x:c>
      <x:c r="I7" s="49" t="str">
        <x:v>境界、行谱、道路或模板不合</x:v>
      </x:c>
      <x:c r="J7" s="49" t="str">
        <x:v>急性排异、结构伤</x:v>
      </x:c>
      <x:c r="K7" s="49" t="str">
        <x:v>适配率、红字警告</x:v>
      </x:c>
      <x:c r="L7" s="49" t="str">
        <x:v>冻结</x:v>
      </x:c>
    </x:row>
    <x:row r="8" ht="76" customHeight="1">
      <x:c r="A8" s="49" t="n">
        <x:v>5</x:v>
      </x:c>
      <x:c r="B8" s="49" t="str">
        <x:v>受控展开与耗散</x:v>
      </x:c>
      <x:c r="C8" s="49" t="str">
        <x:v>丹构执行供给、导流、修复、稳固、重构、净化或暂借。</x:v>
      </x:c>
      <x:c r="D8" s="49" t="str">
        <x:v>按七操作组合分配五行职责</x:v>
      </x:c>
      <x:c r="E8" s="49" t="str">
        <x:v>决定展开强弱、方向和节律</x:v>
      </x:c>
      <x:c r="F8" s="49" t="str">
        <x:v>维持目标回路偏好</x:v>
      </x:c>
      <x:c r="G8" s="49" t="str">
        <x:v>四职共同维持主效、增效、控害、定向</x:v>
      </x:c>
      <x:c r="H8" s="49" t="str">
        <x:v>主效达到且过程不失控</x:v>
      </x:c>
      <x:c r="I8" s="49" t="str">
        <x:v>职责不闭合、峰值失控、清而不出</x:v>
      </x:c>
      <x:c r="J8" s="49" t="str">
        <x:v>丹毒、伤势、失败事件</x:v>
      </x:c>
      <x:c r="K8" s="49" t="str">
        <x:v>药效、持续时间、回落</x:v>
      </x:c>
      <x:c r="L8" s="49" t="str">
        <x:v>冻结</x:v>
      </x:c>
    </x:row>
    <x:row r="9" ht="76" customHeight="1">
      <x:c r="A9" s="49" t="n">
        <x:v>6</x:v>
      </x:c>
      <x:c r="B9" s="49" t="str">
        <x:v>整合/排出/残留</x:v>
      </x:c>
      <x:c r="C9" s="49" t="str">
        <x:v>可转正部分并入自身；临时结构解除；废片与载体排出；其余沉积。</x:v>
      </x:c>
      <x:c r="D9" s="49" t="str">
        <x:v>木接入、土固化、水排出、金收束、火终止</x:v>
      </x:c>
      <x:c r="E9" s="49" t="str">
        <x:v>决定收尾速度与回落幅度</x:v>
      </x:c>
      <x:c r="F9" s="49" t="str">
        <x:v>决定排出路径</x:v>
      </x:c>
      <x:c r="G9" s="49" t="str">
        <x:v>佐控残；使引出；君臣应在完成后退出</x:v>
      </x:c>
      <x:c r="H9" s="49" t="str">
        <x:v>该转正者转正、该排出者排出</x:v>
      </x:c>
      <x:c r="I9" s="49" t="str">
        <x:v>整合失败、解除不全、残片滞留</x:v>
      </x:c>
      <x:c r="J9" s="49" t="str">
        <x:v>丹毒、耐药、永久递减或伤势</x:v>
      </x:c>
      <x:c r="K9" s="49" t="str">
        <x:v>结算、排出反馈、残留提示</x:v>
      </x:c>
      <x:c r="L9" s="49" t="str">
        <x:v>冻结</x:v>
      </x:c>
    </x:row>
  </x:sheetData>
  <x:mergeCells>
    <x:mergeCell ref="A1:L1"/>
    <x:mergeCell ref="A2:L2"/>
  </x:mergeCells>
  <x:conditionalFormatting sqref="L4:L9">
    <x:cfRule type="containsText" dxfId="6" priority="1" operator="containsText" text="冻结"/>
    <x:cfRule type="containsText" dxfId="7" priority="2" operator="containsText" text="占位"/>
    <x:cfRule type="containsText" dxfId="8" priority="3" operator="containsText" text="检查"/>
  </x:conditionalFormatting>
  <x:pageMargins left="0.7" right="0.7" top="0.75" bottom="0.75" header="0.3" footer="0.3"/>
  <x:tableParts count="1">
    <x:tablePart xmlns:r="http://schemas.openxmlformats.org/officeDocument/2006/relationships" r:id="R96df6742931543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4" hidden="0" customWidth="1"/>
    <x:col min="4" max="4" width="30" hidden="0" customWidth="1"/>
    <x:col min="5" max="5" width="30" hidden="0" customWidth="1"/>
    <x:col min="6" max="6" width="34" hidden="0" customWidth="1"/>
    <x:col min="7" max="7" width="34" hidden="0" customWidth="1"/>
    <x:col min="8" max="8" width="18" hidden="0" customWidth="1"/>
    <x:col min="9" max="9" width="14" hidden="0" customWidth="1"/>
    <x:col min="10" max="10" width="14" hidden="0" customWidth="1"/>
    <x:col min="11" max="11" width="38" hidden="0" customWidth="1"/>
  </x:cols>
  <x:sheetData>
    <x:row r="1" ht="32" customHeight="1">
      <x:c r="A1" s="69" t="str">
        <x:v>五行职责与七种底层操作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</x:row>
    <x:row r="2" ht="32" customHeight="1">
      <x:c r="A2" s="71" t="str">
        <x:v>五行是结构职责，不是元素伤害标签；相生相克都可成为工程手段。——小G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</x:row>
    <x:row r="3" ht="24" customHeight="1">
      <x:c r="A3" s="72" t="str">
        <x:v>五行结构职责</x:v>
      </x:c>
      <x:c r="B3" s="72" t="str">
        <x:v>五行结构职责</x:v>
      </x:c>
      <x:c r="C3" s="72" t="str">
        <x:v>五行结构职责</x:v>
      </x:c>
      <x:c r="D3" s="72" t="str">
        <x:v>五行结构职责</x:v>
      </x:c>
      <x:c r="E3" s="72" t="str">
        <x:v>五行结构职责</x:v>
      </x:c>
      <x:c r="F3" s="72" t="str">
        <x:v>五行结构职责</x:v>
      </x:c>
      <x:c r="G3" s="72" t="str">
        <x:v>五行结构职责</x:v>
      </x:c>
      <x:c r="H3" s="72" t="str">
        <x:v>五行结构职责</x:v>
      </x:c>
      <x:c r="I3" s="72" t="str">
        <x:v>五行结构职责</x:v>
      </x:c>
      <x:c r="J3" s="72" t="str">
        <x:v>五行结构职责</x:v>
      </x:c>
      <x:c r="K3" s="72" t="str">
        <x:v>五行结构职责</x:v>
      </x:c>
    </x:row>
    <x:row r="4" ht="34" customHeight="1">
      <x:c r="A4" s="79" t="str">
        <x:v>五行</x:v>
      </x:c>
      <x:c r="B4" s="80" t="str">
        <x:v>核心结构动词</x:v>
      </x:c>
      <x:c r="C4" s="80" t="str">
        <x:v>在丹构中的职责</x:v>
      </x:c>
      <x:c r="D4" s="80" t="str">
        <x:v>充足表现</x:v>
      </x:c>
      <x:c r="E4" s="80" t="str">
        <x:v>过强风险</x:v>
      </x:c>
      <x:c r="F4" s="80" t="str">
        <x:v>不足风险</x:v>
      </x:c>
      <x:c r="G4" s="80" t="str">
        <x:v>常见工序角色</x:v>
      </x:c>
      <x:c r="H4" s="80" t="str">
        <x:v>常见用途</x:v>
      </x:c>
      <x:c r="I4" s="80" t="str">
        <x:v>不是</x:v>
      </x:c>
      <x:c r="J4" s="80" t="str">
        <x:v>设定状态</x:v>
      </x:c>
      <x:c r="K4" s="81" t="str">
        <x:v>备注</x:v>
      </x:c>
    </x:row>
    <x:row r="5" ht="76" customHeight="1">
      <x:c r="A5" s="48" t="str">
        <x:v>金</x:v>
      </x:c>
      <x:c r="B5" s="48" t="str">
        <x:v>判别／分理／收束／定界</x:v>
      </x:c>
      <x:c r="C5" s="48" t="str">
        <x:v>识别目标与杂质，建立边界，限制峰值，完成收口。</x:v>
      </x:c>
      <x:c r="D5" s="48" t="str">
        <x:v>归经准确、结构清楚、收尾干净</x:v>
      </x:c>
      <x:c r="E5" s="48" t="str">
        <x:v>切割过度、过度收缩、误清正体</x:v>
      </x:c>
      <x:c r="F5" s="48" t="str">
        <x:v>边界模糊、杂质混入、药力外溢</x:v>
      </x:c>
      <x:c r="G5" s="48" t="str">
        <x:v>分理、收边、限幅</x:v>
      </x:c>
      <x:c r="H5" s="48" t="str">
        <x:v>净化、疗伤、破境、暂借</x:v>
      </x:c>
      <x:c r="I5" s="48" t="str">
        <x:v>不等于只做攻击或金属材料</x:v>
      </x:c>
      <x:c r="J5" s="48" t="str">
        <x:v>冻结</x:v>
      </x:c>
      <x:c r="K5" s="48" t="str">
        <x:v>金克木可用于限制过生；是否有益取决于方意</x:v>
      </x:c>
    </x:row>
    <x:row r="6" ht="76" customHeight="1">
      <x:c r="A6" s="49" t="str">
        <x:v>木</x:v>
      </x:c>
      <x:c r="B6" s="49" t="str">
        <x:v>生长／接续／织构／复原</x:v>
      </x:c>
      <x:c r="C6" s="49" t="str">
        <x:v>连接结构、修补断路、把可转正片段接入自身。</x:v>
      </x:c>
      <x:c r="D6" s="49" t="str">
        <x:v>回路连续、修复自然、整合成功</x:v>
      </x:c>
      <x:c r="E6" s="49" t="str">
        <x:v>过生、错接、结构蔓延</x:v>
      </x:c>
      <x:c r="F6" s="49" t="str">
        <x:v>有料无路、断点、无法转正</x:v>
      </x:c>
      <x:c r="G6" s="49" t="str">
        <x:v>织构、续接、修复</x:v>
      </x:c>
      <x:c r="H6" s="49" t="str">
        <x:v>修为、疗伤、养基、洗炼</x:v>
      </x:c>
      <x:c r="I6" s="49" t="str">
        <x:v>不等于单纯增加生命值</x:v>
      </x:c>
      <x:c r="J6" s="49" t="str">
        <x:v>冻结</x:v>
      </x:c>
      <x:c r="K6" s="49" t="str">
        <x:v>木克土可能破坏承载，也可解除错误固化</x:v>
      </x:c>
    </x:row>
    <x:row r="7" ht="76" customHeight="1">
      <x:c r="A7" s="49" t="str">
        <x:v>水</x:v>
      </x:c>
      <x:c r="B7" s="49" t="str">
        <x:v>传导／渗透／搬运／周流</x:v>
      </x:c>
      <x:c r="C7" s="49" t="str">
        <x:v>运送药力、同步多中心、搬走毒片、缓冲节律。</x:v>
      </x:c>
      <x:c r="D7" s="49" t="str">
        <x:v>流向顺畅、分配均匀、能清能出</x:v>
      </x:c>
      <x:c r="E7" s="49" t="str">
        <x:v>漫灌、稀释、失去定向</x:v>
      </x:c>
      <x:c r="F7" s="49" t="str">
        <x:v>拥堵、局部堆积、清而不出</x:v>
      </x:c>
      <x:c r="G7" s="49" t="str">
        <x:v>调和、导流、排出</x:v>
      </x:c>
      <x:c r="H7" s="49" t="str">
        <x:v>回灵、清解、复元、行遁</x:v>
      </x:c>
      <x:c r="I7" s="49" t="str">
        <x:v>不等于所有液体与寒性</x:v>
      </x:c>
      <x:c r="J7" s="49" t="str">
        <x:v>冻结</x:v>
      </x:c>
      <x:c r="K7" s="49" t="str">
        <x:v>水克火常作安全阀，不是坏结果</x:v>
      </x:c>
    </x:row>
    <x:row r="8" ht="76" customHeight="1">
      <x:c r="A8" s="49" t="str">
        <x:v>火</x:v>
      </x:c>
      <x:c r="B8" s="49" t="str">
        <x:v>转化／活化／释放／交换</x:v>
      </x:c>
      <x:c r="C8" s="49" t="str">
        <x:v>把材料潜能转为可用药力，触发解封和短时激发。</x:v>
      </x:c>
      <x:c r="D8" s="49" t="str">
        <x:v>起效明确、转化充分、节律可控</x:v>
      </x:c>
      <x:c r="E8" s="49" t="str">
        <x:v>过载、灼伤、提前解封、自耗</x:v>
      </x:c>
      <x:c r="F8" s="49" t="str">
        <x:v>死丹、转化不足、起效迟缓</x:v>
      </x:c>
      <x:c r="G8" s="49" t="str">
        <x:v>破膜、活化、释能</x:v>
      </x:c>
      <x:c r="H8" s="49" t="str">
        <x:v>回灵、战时、破境、修为</x:v>
      </x:c>
      <x:c r="I8" s="49" t="str">
        <x:v>不等于只有热与爆炸</x:v>
      </x:c>
      <x:c r="J8" s="49" t="str">
        <x:v>冻结</x:v>
      </x:c>
      <x:c r="K8" s="49" t="str">
        <x:v>火生土可把转化结果交给承载固化</x:v>
      </x:c>
    </x:row>
    <x:row r="9" ht="76" customHeight="1">
      <x:c r="A9" s="49" t="str">
        <x:v>土</x:v>
      </x:c>
      <x:c r="B9" s="49" t="str">
        <x:v>承载／稳定／缓冲／整合</x:v>
      </x:c>
      <x:c r="C9" s="49" t="str">
        <x:v>提供容器与落点，吸附包裹，承压并把结构固定。</x:v>
      </x:c>
      <x:c r="D9" s="49" t="str">
        <x:v>药构稳定、冲击可承、残片可包裹</x:v>
      </x:c>
      <x:c r="E9" s="49" t="str">
        <x:v>僵化、堵塞、错误固化</x:v>
      </x:c>
      <x:c r="F9" s="49" t="str">
        <x:v>结构散、峰值失控、难转正</x:v>
      </x:c>
      <x:c r="G9" s="49" t="str">
        <x:v>凝丹、缓冲、吸附、固化</x:v>
      </x:c>
      <x:c r="H9" s="49" t="str">
        <x:v>修为、养基、疗伤、延寿</x:v>
      </x:c>
      <x:c r="I9" s="49" t="str">
        <x:v>不等于只做防御或土属性</x:v>
      </x:c>
      <x:c r="J9" s="49" t="str">
        <x:v>冻结</x:v>
      </x:c>
      <x:c r="K9" s="49" t="str">
        <x:v>土克水可限流，也可能造成清而不出</x:v>
      </x:c>
    </x:row>
    <x:row r="10">
      <x:c r="A10" s="70"/>
      <x:c r="B10" s="70"/>
      <x:c r="C10" s="70"/>
      <x:c r="D10" s="70"/>
      <x:c r="E10" s="70"/>
      <x:c r="F10" s="70"/>
      <x:c r="G10" s="70"/>
      <x:c r="H10" s="70"/>
      <x:c r="I10" s="70"/>
      <x:c r="J10" s="70"/>
      <x:c r="K10" s="70"/>
    </x:row>
    <x:row r="11" ht="24" customHeight="1">
      <x:c r="A11" s="72" t="str">
        <x:v>七种底层操作</x:v>
      </x:c>
      <x:c r="B11" s="72" t="str">
        <x:v>七种底层操作</x:v>
      </x:c>
      <x:c r="C11" s="72" t="str">
        <x:v>七种底层操作</x:v>
      </x:c>
      <x:c r="D11" s="72" t="str">
        <x:v>七种底层操作</x:v>
      </x:c>
      <x:c r="E11" s="72" t="str">
        <x:v>七种底层操作</x:v>
      </x:c>
      <x:c r="F11" s="72" t="str">
        <x:v>七种底层操作</x:v>
      </x:c>
      <x:c r="G11" s="72" t="str">
        <x:v>七种底层操作</x:v>
      </x:c>
      <x:c r="H11" s="72" t="str">
        <x:v>七种底层操作</x:v>
      </x:c>
      <x:c r="I11" s="72" t="str">
        <x:v>七种底层操作</x:v>
      </x:c>
      <x:c r="J11" s="72" t="str">
        <x:v>七种底层操作</x:v>
      </x:c>
      <x:c r="K11" s="72" t="str">
        <x:v>七种底层操作</x:v>
      </x:c>
    </x:row>
    <x:row r="12" ht="34" customHeight="1">
      <x:c r="A12" s="79" t="str">
        <x:v>操作</x:v>
      </x:c>
      <x:c r="B12" s="80" t="str">
        <x:v>定义</x:v>
      </x:c>
      <x:c r="C12" s="80" t="str">
        <x:v>最低职责组合</x:v>
      </x:c>
      <x:c r="D12" s="80" t="str">
        <x:v>典型目标</x:v>
      </x:c>
      <x:c r="E12" s="80" t="str">
        <x:v>常见用途类</x:v>
      </x:c>
      <x:c r="F12" s="80" t="str">
        <x:v>成功条件</x:v>
      </x:c>
      <x:c r="G12" s="80" t="str">
        <x:v>典型失败</x:v>
      </x:c>
      <x:c r="H12" s="80" t="str">
        <x:v>时间倾向</x:v>
      </x:c>
      <x:c r="I12" s="80" t="str">
        <x:v>配置标签</x:v>
      </x:c>
      <x:c r="J12" s="80" t="str">
        <x:v>设定状态</x:v>
      </x:c>
      <x:c r="K12" s="81" t="str">
        <x:v>备注</x:v>
      </x:c>
    </x:row>
    <x:row r="13" ht="64" customHeight="1">
      <x:c r="A13" s="48" t="str">
        <x:v>供给</x:v>
      </x:c>
      <x:c r="B13" s="48" t="str">
        <x:v>把可用能量或有序结构片段交给目标。</x:v>
      </x:c>
      <x:c r="C13" s="48" t="str">
        <x:v>火转化＋水输送＋土承接</x:v>
      </x:c>
      <x:c r="D13" s="48" t="str">
        <x:v>灵力、修为底物、恢复资源</x:v>
      </x:c>
      <x:c r="E13" s="48" t="str">
        <x:v>修为精进、灵力恢复、虚弱复元</x:v>
      </x:c>
      <x:c r="F13" s="48" t="str">
        <x:v>供给物可识别且不压垮承载</x:v>
      </x:c>
      <x:c r="G13" s="48" t="str">
        <x:v>有量无序、过载、无法转正</x:v>
      </x:c>
      <x:c r="H13" s="48" t="str">
        <x:v>瞬时至长期</x:v>
      </x:c>
      <x:c r="I13" s="48" t="str">
        <x:v>SUPPLY</x:v>
      </x:c>
      <x:c r="J13" s="48" t="str">
        <x:v>冻结</x:v>
      </x:c>
      <x:c r="K13" s="48" t="str">
        <x:v>供给不等于自动成为修为</x:v>
      </x:c>
    </x:row>
    <x:row r="14" ht="64" customHeight="1">
      <x:c r="A14" s="49" t="str">
        <x:v>导流</x:v>
      </x:c>
      <x:c r="B14" s="49" t="str">
        <x:v>把药力沿正确路径送达并维持分配。</x:v>
      </x:c>
      <x:c r="C14" s="49" t="str">
        <x:v>水传导＋金分路＋木接路</x:v>
      </x:c>
      <x:c r="D14" s="49" t="str">
        <x:v>经脉、丹田、神魂、排毒路径</x:v>
      </x:c>
      <x:c r="E14" s="49" t="str">
        <x:v>几乎全部用途</x:v>
      </x:c>
      <x:c r="F14" s="49" t="str">
        <x:v>流向正确且峰值受控</x:v>
      </x:c>
      <x:c r="G14" s="49" t="str">
        <x:v>错经、拥堵、分流损失</x:v>
      </x:c>
      <x:c r="H14" s="49" t="str">
        <x:v>瞬时至持续</x:v>
      </x:c>
      <x:c r="I14" s="49" t="str">
        <x:v>ROUTE</x:v>
      </x:c>
      <x:c r="J14" s="49" t="str">
        <x:v>冻结</x:v>
      </x:c>
      <x:c r="K14" s="49" t="str">
        <x:v>五味与使药主要影响此操作</x:v>
      </x:c>
    </x:row>
    <x:row r="15" ht="64" customHeight="1">
      <x:c r="A15" s="49" t="str">
        <x:v>修复</x:v>
      </x:c>
      <x:c r="B15" s="49" t="str">
        <x:v>按正确模板续接受损结构。</x:v>
      </x:c>
      <x:c r="C15" s="49" t="str">
        <x:v>金识别＋木续接＋土固护</x:v>
      </x:c>
      <x:c r="D15" s="49" t="str">
        <x:v>血肉、经脉丹田、神魂、寿损</x:v>
      </x:c>
      <x:c r="E15" s="49" t="str">
        <x:v>疗伤、清解、养基、延寿</x:v>
      </x:c>
      <x:c r="F15" s="49" t="str">
        <x:v>健康边界识别正确</x:v>
      </x:c>
      <x:c r="G15" s="49" t="str">
        <x:v>过生、错接、封错边界</x:v>
      </x:c>
      <x:c r="H15" s="49" t="str">
        <x:v>恢复期至长期</x:v>
      </x:c>
      <x:c r="I15" s="49" t="str">
        <x:v>REPAIR</x:v>
      </x:c>
      <x:c r="J15" s="49" t="str">
        <x:v>冻结</x:v>
      </x:c>
      <x:c r="K15" s="49" t="str">
        <x:v>模板识别比单纯增加药力更重要</x:v>
      </x:c>
    </x:row>
    <x:row r="16" ht="64" customHeight="1">
      <x:c r="A16" s="49" t="str">
        <x:v>稳固</x:v>
      </x:c>
      <x:c r="B16" s="49" t="str">
        <x:v>提高结构的承压、边界与持续稳定。</x:v>
      </x:c>
      <x:c r="C16" s="49" t="str">
        <x:v>土承载＋金收边＋木维持</x:v>
      </x:c>
      <x:c r="D16" s="49" t="str">
        <x:v>道基、丹田、临时挂接、寿命稳态</x:v>
      </x:c>
      <x:c r="E16" s="49" t="str">
        <x:v>修为、破境、养基、战时、延寿</x:v>
      </x:c>
      <x:c r="F16" s="49" t="str">
        <x:v>该固定的被固定且可正常退出</x:v>
      </x:c>
      <x:c r="G16" s="49" t="str">
        <x:v>假稳固、僵化、错误结构固化</x:v>
      </x:c>
      <x:c r="H16" s="49" t="str">
        <x:v>短时至长期</x:v>
      </x:c>
      <x:c r="I16" s="49" t="str">
        <x:v>STABILIZE</x:v>
      </x:c>
      <x:c r="J16" s="49" t="str">
        <x:v>冻结</x:v>
      </x:c>
      <x:c r="K16" s="49" t="str">
        <x:v>稳固不是一味加土</x:v>
      </x:c>
    </x:row>
    <x:row r="17" ht="64" customHeight="1">
      <x:c r="A17" s="49" t="str">
        <x:v>重构</x:v>
      </x:c>
      <x:c r="B17" s="49" t="str">
        <x:v>拆解部分旧结构并建立新结构或新接口。</x:v>
      </x:c>
      <x:c r="C17" s="49" t="str">
        <x:v>五行职责闭合</x:v>
      </x:c>
      <x:c r="D17" s="49" t="str">
        <x:v>境界结构、灵根、长期承载结构</x:v>
      </x:c>
      <x:c r="E17" s="49" t="str">
        <x:v>破境、养基、灵根洗炼</x:v>
      </x:c>
      <x:c r="F17" s="49" t="str">
        <x:v>新结构能由本人接管并转正</x:v>
      </x:c>
      <x:c r="G17" s="49" t="str">
        <x:v>撕裂、错位、转正失败</x:v>
      </x:c>
      <x:c r="H17" s="49" t="str">
        <x:v>一次性窗口或长期</x:v>
      </x:c>
      <x:c r="I17" s="49" t="str">
        <x:v>REBUILD</x:v>
      </x:c>
      <x:c r="J17" s="49" t="str">
        <x:v>冻结</x:v>
      </x:c>
      <x:c r="K17" s="49" t="str">
        <x:v>风险最高，不能由单一五行完成</x:v>
      </x:c>
    </x:row>
    <x:row r="18" ht="64" customHeight="1">
      <x:c r="A18" s="49" t="str">
        <x:v>净化</x:v>
      </x:c>
      <x:c r="B18" s="49" t="str">
        <x:v>识别异常、分离搬运、包裹并排出，同时补损。</x:v>
      </x:c>
      <x:c r="C18" s="49" t="str">
        <x:v>金识别＋水搬运＋土包裹＋木补损</x:v>
      </x:c>
      <x:c r="D18" s="49" t="str">
        <x:v>外毒、丹毒、魔染、异气</x:v>
      </x:c>
      <x:c r="E18" s="49" t="str">
        <x:v>清解排异</x:v>
      </x:c>
      <x:c r="F18" s="49" t="str">
        <x:v>清除量大于自身新增且不伤正</x:v>
      </x:c>
      <x:c r="G18" s="49" t="str">
        <x:v>过泻、清而不出、越清越毒</x:v>
      </x:c>
      <x:c r="H18" s="49" t="str">
        <x:v>清除期</x:v>
      </x:c>
      <x:c r="I18" s="49" t="str">
        <x:v>PURIFY</x:v>
      </x:c>
      <x:c r="J18" s="49" t="str">
        <x:v>冻结</x:v>
      </x:c>
      <x:c r="K18" s="49" t="str">
        <x:v>净下降原则为硬边界</x:v>
      </x:c>
    </x:row>
    <x:row r="19" ht="64" customHeight="1">
      <x:c r="A19" s="49" t="str">
        <x:v>暂借</x:v>
      </x:c>
      <x:c r="B19" s="49" t="str">
        <x:v>临时耦合能力或参数，结束后必须解除。</x:v>
      </x:c>
      <x:c r="C19" s="49" t="str">
        <x:v>火激发＋水铺路＋金限界＋土承压</x:v>
      </x:c>
      <x:c r="D19" s="49" t="str">
        <x:v>输出、防护、感知、行遁、偏谱</x:v>
      </x:c>
      <x:c r="E19" s="49" t="str">
        <x:v>战时状态、破境辅助</x:v>
      </x:c>
      <x:c r="F19" s="49" t="str">
        <x:v>按时退出且不冒充永久结构</x:v>
      </x:c>
      <x:c r="G19" s="49" t="str">
        <x:v>解除不全、回落、急性排异</x:v>
      </x:c>
      <x:c r="H19" s="49" t="str">
        <x:v>短时</x:v>
      </x:c>
      <x:c r="I19" s="49" t="str">
        <x:v>BORROW</x:v>
      </x:c>
      <x:c r="J19" s="49" t="str">
        <x:v>冻结</x:v>
      </x:c>
      <x:c r="K19" s="49" t="str">
        <x:v>不能生成临时大境界</x:v>
      </x:c>
    </x:row>
  </x:sheetData>
  <x:mergeCells>
    <x:mergeCell ref="A1:K1"/>
    <x:mergeCell ref="A2:K2"/>
    <x:mergeCell ref="A3:K3"/>
    <x:mergeCell ref="A11:K11"/>
  </x:mergeCells>
  <x:conditionalFormatting sqref="J5:J9">
    <x:cfRule type="containsText" dxfId="9" priority="1" operator="containsText" text="冻结"/>
    <x:cfRule type="containsText" dxfId="10" priority="2" operator="containsText" text="占位"/>
    <x:cfRule type="containsText" dxfId="11" priority="3" operator="containsText" text="检查"/>
  </x:conditionalFormatting>
  <x:conditionalFormatting sqref="J13:J19">
    <x:cfRule type="containsText" dxfId="12" priority="4" operator="containsText" text="冻结"/>
    <x:cfRule type="containsText" dxfId="13" priority="5" operator="containsText" text="占位"/>
    <x:cfRule type="containsText" dxfId="14" priority="6" operator="containsText" text="检查"/>
  </x:conditionalFormatting>
  <x:pageMargins left="0.7" right="0.7" top="0.75" bottom="0.75" header="0.3" footer="0.3"/>
  <x:tableParts count="2">
    <x:tablePart xmlns:r="http://schemas.openxmlformats.org/officeDocument/2006/relationships" r:id="R6ae298fa983441e7"/>
    <x:tablePart xmlns:r="http://schemas.openxmlformats.org/officeDocument/2006/relationships" r:id="Rafe15e0e690443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32" hidden="0" customWidth="1"/>
    <x:col min="5" max="5" width="20" hidden="0" customWidth="1"/>
    <x:col min="6" max="6" width="26" hidden="0" customWidth="1"/>
    <x:col min="7" max="7" width="14" hidden="0" customWidth="1"/>
    <x:col min="8" max="8" width="38" hidden="0" customWidth="1"/>
    <x:col min="9" max="9" width="42" hidden="0" customWidth="1"/>
  </x:cols>
  <x:sheetData>
    <x:row r="1" ht="32" customHeight="1">
      <x:c r="A1" s="69" t="str">
        <x:v>四性、五味与君臣佐使</x:v>
      </x:c>
      <x:c r="B1" s="70"/>
      <x:c r="C1" s="70"/>
      <x:c r="D1" s="70"/>
      <x:c r="E1" s="70"/>
      <x:c r="F1" s="70"/>
      <x:c r="G1" s="70"/>
      <x:c r="H1" s="70"/>
      <x:c r="I1" s="70"/>
    </x:row>
    <x:row r="2" ht="32" customHeight="1">
      <x:c r="A2" s="71" t="str">
        <x:v>五行回答“做什么”，性向回答“怎样展开”，五味回答“优先走哪条回路”，君臣佐使回答“方内谁负责什么”。——小G</x:v>
      </x:c>
      <x:c r="B2" s="70"/>
      <x:c r="C2" s="70"/>
      <x:c r="D2" s="70"/>
      <x:c r="E2" s="70"/>
      <x:c r="F2" s="70"/>
      <x:c r="G2" s="70"/>
      <x:c r="H2" s="70"/>
      <x:c r="I2" s="70"/>
    </x:row>
    <x:row r="3" ht="24" customHeight="1">
      <x:c r="A3" s="72" t="str">
        <x:v>性向：展开方向与烈度（项目可称四性并保留平性）</x:v>
      </x:c>
      <x:c r="B3" s="72" t="str">
        <x:v>性向：展开方向与烈度（项目可称四性并保留平性）</x:v>
      </x:c>
      <x:c r="C3" s="72" t="str">
        <x:v>性向：展开方向与烈度（项目可称四性并保留平性）</x:v>
      </x:c>
      <x:c r="D3" s="72" t="str">
        <x:v>性向：展开方向与烈度（项目可称四性并保留平性）</x:v>
      </x:c>
      <x:c r="E3" s="72" t="str">
        <x:v>性向：展开方向与烈度（项目可称四性并保留平性）</x:v>
      </x:c>
      <x:c r="F3" s="72" t="str">
        <x:v>性向：展开方向与烈度（项目可称四性并保留平性）</x:v>
      </x:c>
      <x:c r="G3" s="72" t="str">
        <x:v>性向：展开方向与烈度（项目可称四性并保留平性）</x:v>
      </x:c>
      <x:c r="H3" s="72" t="str">
        <x:v>性向：展开方向与烈度（项目可称四性并保留平性）</x:v>
      </x:c>
      <x:c r="I3" s="72" t="str">
        <x:v>性向：展开方向与烈度（项目可称四性并保留平性）</x:v>
      </x:c>
    </x:row>
    <x:row r="4" ht="34" customHeight="1">
      <x:c r="A4" s="79" t="str">
        <x:v>性向</x:v>
      </x:c>
      <x:c r="B4" s="80" t="str">
        <x:v>展开倾向</x:v>
      </x:c>
      <x:c r="C4" s="80" t="str">
        <x:v>常见价值</x:v>
      </x:c>
      <x:c r="D4" s="80" t="str">
        <x:v>过强风险</x:v>
      </x:c>
      <x:c r="E4" s="80" t="str">
        <x:v>适用操作</x:v>
      </x:c>
      <x:c r="F4" s="80" t="str">
        <x:v>不等于</x:v>
      </x:c>
      <x:c r="G4" s="80" t="str">
        <x:v>状态</x:v>
      </x:c>
      <x:c r="H4" s="80" t="str">
        <x:v>设计备注</x:v>
      </x:c>
      <x:c r="I4" s="81" t="str">
        <x:v>示例问法</x:v>
      </x:c>
    </x:row>
    <x:row r="5" ht="60" customHeight="1">
      <x:c r="A5" s="48" t="str">
        <x:v>寒</x:v>
      </x:c>
      <x:c r="B5" s="48" t="str">
        <x:v>强抑制、下行、减速</x:v>
      </x:c>
      <x:c r="C5" s="48" t="str">
        <x:v>压制过热转化、镇静高烈度反应</x:v>
      </x:c>
      <x:c r="D5" s="48" t="str">
        <x:v>凝滞、转化不足、伤正</x:v>
      </x:c>
      <x:c r="E5" s="48" t="str">
        <x:v>净化、限幅、安神</x:v>
      </x:c>
      <x:c r="F5" s="48" t="str">
        <x:v>水行本身</x:v>
      </x:c>
      <x:c r="G5" s="48" t="str">
        <x:v>冻结语义</x:v>
      </x:c>
      <x:c r="H5" s="48" t="str">
        <x:v>用于描述展开势，不直接决定归经</x:v>
      </x:c>
      <x:c r="I5" s="48" t="str">
        <x:v>需要把哪一种过快变化压到最低？</x:v>
      </x:c>
    </x:row>
    <x:row r="6" ht="60" customHeight="1">
      <x:c r="A6" s="49" t="str">
        <x:v>凉</x:v>
      </x:c>
      <x:c r="B6" s="49" t="str">
        <x:v>温和抑制、降躁</x:v>
      </x:c>
      <x:c r="C6" s="49" t="str">
        <x:v>降噪、控峰、保护组织</x:v>
      </x:c>
      <x:c r="D6" s="49" t="str">
        <x:v>恢复过慢、寒凉累积</x:v>
      </x:c>
      <x:c r="E6" s="49" t="str">
        <x:v>修复、净化、感知</x:v>
      </x:c>
      <x:c r="F6" s="49" t="str">
        <x:v>弱版寒的固定数值</x:v>
      </x:c>
      <x:c r="G6" s="49" t="str">
        <x:v>冻结语义</x:v>
      </x:c>
      <x:c r="H6" s="49" t="str">
        <x:v>烈度由配置决定</x:v>
      </x:c>
      <x:c r="I6" s="49" t="str">
        <x:v>需要温和制衡还是强行压制？</x:v>
      </x:c>
    </x:row>
    <x:row r="7" ht="60" customHeight="1">
      <x:c r="A7" s="49" t="str">
        <x:v>平</x:v>
      </x:c>
      <x:c r="B7" s="49" t="str">
        <x:v>中性、稳定、缓释</x:v>
      </x:c>
      <x:c r="C7" s="49" t="str">
        <x:v>长期养成、兼容性、承载</x:v>
      </x:c>
      <x:c r="D7" s="49" t="str">
        <x:v>起效不够鲜明</x:v>
      </x:c>
      <x:c r="E7" s="49" t="str">
        <x:v>供给、稳固、长期修复</x:v>
      </x:c>
      <x:c r="F7" s="49" t="str">
        <x:v>无属性</x:v>
      </x:c>
      <x:c r="G7" s="49" t="str">
        <x:v>冻结语义</x:v>
      </x:c>
      <x:c r="H7" s="49" t="str">
        <x:v>平不代表无作用</x:v>
      </x:c>
      <x:c r="I7" s="49" t="str">
        <x:v>是否优先兼容和稳定？</x:v>
      </x:c>
    </x:row>
    <x:row r="8" ht="60" customHeight="1">
      <x:c r="A8" s="49" t="str">
        <x:v>温</x:v>
      </x:c>
      <x:c r="B8" s="49" t="str">
        <x:v>温和活化、上行、加速</x:v>
      </x:c>
      <x:c r="C8" s="49" t="str">
        <x:v>促进转化、修复和周流</x:v>
      </x:c>
      <x:c r="D8" s="49" t="str">
        <x:v>躁动、慢性过载</x:v>
      </x:c>
      <x:c r="E8" s="49" t="str">
        <x:v>修复、供给、缓释激发</x:v>
      </x:c>
      <x:c r="F8" s="49" t="str">
        <x:v>火行本身</x:v>
      </x:c>
      <x:c r="G8" s="49" t="str">
        <x:v>冻结语义</x:v>
      </x:c>
      <x:c r="H8" s="49" t="str">
        <x:v>适合持续而非峰值爆发</x:v>
      </x:c>
      <x:c r="I8" s="49" t="str">
        <x:v>需要加快但不跨承载上限？</x:v>
      </x:c>
    </x:row>
    <x:row r="9" ht="60" customHeight="1">
      <x:c r="A9" s="49" t="str">
        <x:v>热</x:v>
      </x:c>
      <x:c r="B9" s="49" t="str">
        <x:v>强活化、快速上行</x:v>
      </x:c>
      <x:c r="C9" s="49" t="str">
        <x:v>爆发、急救、强制解封</x:v>
      </x:c>
      <x:c r="D9" s="49" t="str">
        <x:v>灼伤、过载、提前耗散</x:v>
      </x:c>
      <x:c r="E9" s="49" t="str">
        <x:v>暂借、应急供给</x:v>
      </x:c>
      <x:c r="F9" s="49" t="str">
        <x:v>高品质或高阶</x:v>
      </x:c>
      <x:c r="G9" s="49" t="str">
        <x:v>冻结语义</x:v>
      </x:c>
      <x:c r="H9" s="49" t="str">
        <x:v>必须有制衡与退出设计</x:v>
      </x:c>
      <x:c r="I9" s="49" t="str">
        <x:v>峰值由谁限制，结束后怎样回落？</x:v>
      </x:c>
    </x:row>
    <x:row r="10">
      <x:c r="A10" s="70"/>
      <x:c r="B10" s="70"/>
      <x:c r="C10" s="70"/>
      <x:c r="D10" s="70"/>
      <x:c r="E10" s="70"/>
      <x:c r="F10" s="70"/>
      <x:c r="G10" s="70"/>
      <x:c r="H10" s="70"/>
      <x:c r="I10" s="70"/>
    </x:row>
    <x:row r="11" ht="24" customHeight="1">
      <x:c r="A11" s="72" t="str">
        <x:v>五味：归经与回路优先级（采用古典五味—五行对应作设计底稿）</x:v>
      </x:c>
      <x:c r="B11" s="72" t="str">
        <x:v>五味：归经与回路优先级（采用古典五味—五行对应作设计底稿）</x:v>
      </x:c>
      <x:c r="C11" s="72" t="str">
        <x:v>五味：归经与回路优先级（采用古典五味—五行对应作设计底稿）</x:v>
      </x:c>
      <x:c r="D11" s="72" t="str">
        <x:v>五味：归经与回路优先级（采用古典五味—五行对应作设计底稿）</x:v>
      </x:c>
      <x:c r="E11" s="72" t="str">
        <x:v>五味：归经与回路优先级（采用古典五味—五行对应作设计底稿）</x:v>
      </x:c>
      <x:c r="F11" s="72" t="str">
        <x:v>五味：归经与回路优先级（采用古典五味—五行对应作设计底稿）</x:v>
      </x:c>
      <x:c r="G11" s="72" t="str">
        <x:v>五味：归经与回路优先级（采用古典五味—五行对应作设计底稿）</x:v>
      </x:c>
      <x:c r="H11" s="72" t="str">
        <x:v>五味：归经与回路优先级（采用古典五味—五行对应作设计底稿）</x:v>
      </x:c>
      <x:c r="I11" s="72" t="str">
        <x:v>五味：归经与回路优先级（采用古典五味—五行对应作设计底稿）</x:v>
      </x:c>
    </x:row>
    <x:row r="12" ht="34" customHeight="1">
      <x:c r="A12" s="79" t="str">
        <x:v>五味</x:v>
      </x:c>
      <x:c r="B12" s="80" t="str">
        <x:v>古典对应</x:v>
      </x:c>
      <x:c r="C12" s="80" t="str">
        <x:v>项目归经倾向</x:v>
      </x:c>
      <x:c r="D12" s="80" t="str">
        <x:v>常见动作感</x:v>
      </x:c>
      <x:c r="E12" s="80" t="str">
        <x:v>常见用途</x:v>
      </x:c>
      <x:c r="F12" s="80" t="str">
        <x:v>过强风险</x:v>
      </x:c>
      <x:c r="G12" s="80" t="str">
        <x:v>状态</x:v>
      </x:c>
      <x:c r="H12" s="80" t="str">
        <x:v>边界</x:v>
      </x:c>
      <x:c r="I12" s="81" t="str">
        <x:v>设计问法</x:v>
      </x:c>
    </x:row>
    <x:row r="13" ht="64" customHeight="1">
      <x:c r="A13" s="48" t="str">
        <x:v>酸</x:v>
      </x:c>
      <x:c r="B13" s="48" t="str">
        <x:v>木</x:v>
      </x:c>
      <x:c r="C13" s="48" t="str">
        <x:v>趋向生长、续接、筋脉与接口回路</x:v>
      </x:c>
      <x:c r="D13" s="48" t="str">
        <x:v>收敛、固摄、续接</x:v>
      </x:c>
      <x:c r="E13" s="48" t="str">
        <x:v>疗伤、锻脉、洗炼</x:v>
      </x:c>
      <x:c r="F13" s="48" t="str">
        <x:v>过收、错接、拘急</x:v>
      </x:c>
      <x:c r="G13" s="48" t="str">
        <x:v>底稿</x:v>
      </x:c>
      <x:c r="H13" s="48" t="str">
        <x:v>对应可后续随身体观细化，不直接等于木行比例</x:v>
      </x:c>
      <x:c r="I13" s="48" t="str">
        <x:v>药力应优先寻找哪类接续结构？</x:v>
      </x:c>
    </x:row>
    <x:row r="14" ht="64" customHeight="1">
      <x:c r="A14" s="49" t="str">
        <x:v>苦</x:v>
      </x:c>
      <x:c r="B14" s="49" t="str">
        <x:v>火</x:v>
      </x:c>
      <x:c r="C14" s="49" t="str">
        <x:v>趋向识别、清泄、神识与血分相关回路</x:v>
      </x:c>
      <x:c r="D14" s="49" t="str">
        <x:v>清、降、燥、分邪</x:v>
      </x:c>
      <x:c r="E14" s="49" t="str">
        <x:v>净化、安魂、感知</x:v>
      </x:c>
      <x:c r="F14" s="49" t="str">
        <x:v>过泻、伤正、燥裂</x:v>
      </x:c>
      <x:c r="G14" s="49" t="str">
        <x:v>底稿</x:v>
      </x:c>
      <x:c r="H14" s="49" t="str">
        <x:v>用于归经语感，不代替金行识别职责</x:v>
      </x:c>
      <x:c r="I14" s="49" t="str">
        <x:v>需要把什么异常向下清出？</x:v>
      </x:c>
    </x:row>
    <x:row r="15" ht="64" customHeight="1">
      <x:c r="A15" s="49" t="str">
        <x:v>甘</x:v>
      </x:c>
      <x:c r="B15" s="49" t="str">
        <x:v>土</x:v>
      </x:c>
      <x:c r="C15" s="49" t="str">
        <x:v>趋向承载、中枢、丹田与全身基础循环</x:v>
      </x:c>
      <x:c r="D15" s="49" t="str">
        <x:v>补、和、缓、承</x:v>
      </x:c>
      <x:c r="E15" s="49" t="str">
        <x:v>修为、回灵缓冲、复元、延寿</x:v>
      </x:c>
      <x:c r="F15" s="49" t="str">
        <x:v>壅滞、过缓、错误固化</x:v>
      </x:c>
      <x:c r="G15" s="49" t="str">
        <x:v>底稿</x:v>
      </x:c>
      <x:c r="H15" s="49" t="str">
        <x:v>甘不是所有补药的唯一味</x:v>
      </x:c>
      <x:c r="I15" s="49" t="str">
        <x:v>主效需要在哪里落地并被承住？</x:v>
      </x:c>
    </x:row>
    <x:row r="16" ht="64" customHeight="1">
      <x:c r="A16" s="49" t="str">
        <x:v>辛</x:v>
      </x:c>
      <x:c r="B16" s="49" t="str">
        <x:v>金</x:v>
      </x:c>
      <x:c r="C16" s="49" t="str">
        <x:v>趋向边界、肺络、上行与快速分布回路</x:v>
      </x:c>
      <x:c r="D16" s="49" t="str">
        <x:v>散、行、开、速</x:v>
      </x:c>
      <x:c r="E16" s="49" t="str">
        <x:v>瞬回、激发、行遁、定界</x:v>
      </x:c>
      <x:c r="F16" s="49" t="str">
        <x:v>耗散、过冲、走窜</x:v>
      </x:c>
      <x:c r="G16" s="49" t="str">
        <x:v>底稿</x:v>
      </x:c>
      <x:c r="H16" s="49" t="str">
        <x:v>辛味定向不等于金行材料</x:v>
      </x:c>
      <x:c r="I16" s="49" t="str">
        <x:v>需要多快、多广地打开哪条回路？</x:v>
      </x:c>
    </x:row>
    <x:row r="17" ht="64" customHeight="1">
      <x:c r="A17" s="49" t="str">
        <x:v>咸</x:v>
      </x:c>
      <x:c r="B17" s="49" t="str">
        <x:v>水</x:v>
      </x:c>
      <x:c r="C17" s="49" t="str">
        <x:v>趋向下行、渗透、软化与深层循环</x:v>
      </x:c>
      <x:c r="D17" s="49" t="str">
        <x:v>下、软、润、渗</x:v>
      </x:c>
      <x:c r="E17" s="49" t="str">
        <x:v>持续回灵、搬毒、深层修复</x:v>
      </x:c>
      <x:c r="F17" s="49" t="str">
        <x:v>漫灌、失界、凝滞</x:v>
      </x:c>
      <x:c r="G17" s="49" t="str">
        <x:v>底稿</x:v>
      </x:c>
      <x:c r="H17" s="49" t="str">
        <x:v>不把现实药理当游戏数值结论</x:v>
      </x:c>
      <x:c r="I17" s="49" t="str">
        <x:v>需要把什么送入深层或搬出缝隙？</x:v>
      </x:c>
    </x:row>
    <x:row r="18">
      <x:c r="A18" s="70"/>
      <x:c r="B18" s="70"/>
      <x:c r="C18" s="70"/>
      <x:c r="D18" s="70"/>
      <x:c r="E18" s="70"/>
      <x:c r="F18" s="70"/>
      <x:c r="G18" s="70"/>
      <x:c r="H18" s="70"/>
      <x:c r="I18" s="70"/>
    </x:row>
    <x:row r="19" ht="24" customHeight="1">
      <x:c r="A19" s="72" t="str">
        <x:v>君臣佐使：方内职能</x:v>
      </x:c>
      <x:c r="B19" s="72" t="str">
        <x:v>君臣佐使：方内职能</x:v>
      </x:c>
      <x:c r="C19" s="72" t="str">
        <x:v>君臣佐使：方内职能</x:v>
      </x:c>
      <x:c r="D19" s="72" t="str">
        <x:v>君臣佐使：方内职能</x:v>
      </x:c>
      <x:c r="E19" s="72" t="str">
        <x:v>君臣佐使：方内职能</x:v>
      </x:c>
      <x:c r="F19" s="72" t="str">
        <x:v>君臣佐使：方内职能</x:v>
      </x:c>
      <x:c r="G19" s="72" t="str">
        <x:v>君臣佐使：方内职能</x:v>
      </x:c>
      <x:c r="H19" s="72" t="str">
        <x:v>君臣佐使：方内职能</x:v>
      </x:c>
      <x:c r="I19" s="72" t="str">
        <x:v>君臣佐使：方内职能</x:v>
      </x:c>
    </x:row>
    <x:row r="20" ht="34" customHeight="1">
      <x:c r="A20" s="79" t="str">
        <x:v>角色</x:v>
      </x:c>
      <x:c r="B20" s="80" t="str">
        <x:v>核心问题</x:v>
      </x:c>
      <x:c r="C20" s="80" t="str">
        <x:v>职责</x:v>
      </x:c>
      <x:c r="D20" s="80" t="str">
        <x:v>缺失后果</x:v>
      </x:c>
      <x:c r="E20" s="80" t="str">
        <x:v>可一材多职</x:v>
      </x:c>
      <x:c r="F20" s="80" t="str">
        <x:v>与品质关系</x:v>
      </x:c>
      <x:c r="G20" s="80" t="str">
        <x:v>状态</x:v>
      </x:c>
      <x:c r="H20" s="80" t="str">
        <x:v>设计检查</x:v>
      </x:c>
      <x:c r="I20" s="81" t="str">
        <x:v>备注</x:v>
      </x:c>
    </x:row>
    <x:row r="21" ht="64" customHeight="1">
      <x:c r="A21" s="48" t="str">
        <x:v>君</x:v>
      </x:c>
      <x:c r="B21" s="48" t="str">
        <x:v>这张方到底要解决什么？</x:v>
      </x:c>
      <x:c r="C21" s="48" t="str">
        <x:v>定义唯一主效、主要对象与核心模板</x:v>
      </x:c>
      <x:c r="D21" s="48" t="str">
        <x:v>主效不明或变成多主分类</x:v>
      </x:c>
      <x:c r="E21" s="48" t="str">
        <x:v>可以，但必须能解释主次</x:v>
      </x:c>
      <x:c r="F21" s="48" t="str">
        <x:v>无固定关系</x:v>
      </x:c>
      <x:c r="G21" s="48" t="str">
        <x:v>冻结</x:v>
      </x:c>
      <x:c r="H21" s="48" t="str">
        <x:v>删掉君药后主效是否坍塌？</x:v>
      </x:c>
      <x:c r="I21" s="48" t="str">
        <x:v>君不必是剂量最多，但必须是主效中心</x:v>
      </x:c>
    </x:row>
    <x:row r="22" ht="64" customHeight="1">
      <x:c r="A22" s="49" t="str">
        <x:v>臣</x:v>
      </x:c>
      <x:c r="B22" s="49" t="str">
        <x:v>怎样把主效做够？</x:v>
      </x:c>
      <x:c r="C22" s="49" t="str">
        <x:v>增强君效、补齐次要职责或处理伴随症状</x:v>
      </x:c>
      <x:c r="D22" s="49" t="str">
        <x:v>效果不足、闭合不全</x:v>
      </x:c>
      <x:c r="E22" s="49" t="str">
        <x:v>可以有多臣或君臣同材</x:v>
      </x:c>
      <x:c r="F22" s="49" t="str">
        <x:v>无固定关系</x:v>
      </x:c>
      <x:c r="G22" s="49" t="str">
        <x:v>冻结</x:v>
      </x:c>
      <x:c r="H22" s="49" t="str">
        <x:v>臣是在加量还是补职责？</x:v>
      </x:c>
      <x:c r="I22" s="49" t="str">
        <x:v>同材相须只是可选策略，不是通则</x:v>
      </x:c>
    </x:row>
    <x:row r="23" ht="64" customHeight="1">
      <x:c r="A23" s="49" t="str">
        <x:v>佐</x:v>
      </x:c>
      <x:c r="B23" s="49" t="str">
        <x:v>怎样控害、纠偏、吸残？</x:v>
      </x:c>
      <x:c r="C23" s="49" t="str">
        <x:v>限制过强职责、处理副作用、吸附中段碎片、保护服用者</x:v>
      </x:c>
      <x:c r="D23" s="49" t="str">
        <x:v>过载、丹毒、伤正、失衡</x:v>
      </x:c>
      <x:c r="E23" s="49" t="str">
        <x:v>可与臣/使兼任</x:v>
      </x:c>
      <x:c r="F23" s="49" t="str">
        <x:v>凡品不等于必无佐</x:v>
      </x:c>
      <x:c r="G23" s="49" t="str">
        <x:v>冻结</x:v>
      </x:c>
      <x:c r="H23" s="49" t="str">
        <x:v>最危险的失败由谁兜底？</x:v>
      </x:c>
      <x:c r="I23" s="49" t="str">
        <x:v>相克常在佐位成为安全阀</x:v>
      </x:c>
    </x:row>
    <x:row r="24" ht="64" customHeight="1">
      <x:c r="A24" s="49" t="str">
        <x:v>使</x:v>
      </x:c>
      <x:c r="B24" s="49" t="str">
        <x:v>药力到哪里、怎样收尾？</x:v>
      </x:c>
      <x:c r="C24" s="49" t="str">
        <x:v>归经定向、协调诸药、引向排出或目标回路</x:v>
      </x:c>
      <x:c r="D24" s="49" t="str">
        <x:v>自然分流、错经、排出不净</x:v>
      </x:c>
      <x:c r="E24" s="49" t="str">
        <x:v>可由君药本性兼任</x:v>
      </x:c>
      <x:c r="F24" s="49" t="str">
        <x:v>灵品不等于必有使</x:v>
      </x:c>
      <x:c r="G24" s="49" t="str">
        <x:v>冻结</x:v>
      </x:c>
      <x:c r="H24" s="49" t="str">
        <x:v>没有使药时药力如何自然分流？</x:v>
      </x:c>
      <x:c r="I24" s="49" t="str">
        <x:v>伴服归经丹是后续扩展，不设第十类</x:v>
      </x:c>
    </x:row>
  </x:sheetData>
  <x:mergeCells>
    <x:mergeCell ref="A1:I1"/>
    <x:mergeCell ref="A2:I2"/>
    <x:mergeCell ref="A3:I3"/>
    <x:mergeCell ref="A11:I11"/>
    <x:mergeCell ref="A19:I19"/>
  </x:mergeCells>
  <x:conditionalFormatting sqref="G5:G9">
    <x:cfRule type="containsText" dxfId="15" priority="1" operator="containsText" text="冻结"/>
    <x:cfRule type="containsText" dxfId="16" priority="2" operator="containsText" text="占位"/>
    <x:cfRule type="containsText" dxfId="17" priority="3" operator="containsText" text="检查"/>
  </x:conditionalFormatting>
  <x:conditionalFormatting sqref="G13:G17">
    <x:cfRule type="containsText" dxfId="18" priority="4" operator="containsText" text="冻结"/>
    <x:cfRule type="containsText" dxfId="19" priority="5" operator="containsText" text="占位"/>
    <x:cfRule type="containsText" dxfId="20" priority="6" operator="containsText" text="检查"/>
  </x:conditionalFormatting>
  <x:conditionalFormatting sqref="G21:G24">
    <x:cfRule type="containsText" dxfId="21" priority="7" operator="containsText" text="冻结"/>
    <x:cfRule type="containsText" dxfId="22" priority="8" operator="containsText" text="占位"/>
    <x:cfRule type="containsText" dxfId="23" priority="9" operator="containsText" text="检查"/>
  </x:conditionalFormatting>
  <x:pageMargins left="0.7" right="0.7" top="0.75" bottom="0.75" header="0.3" footer="0.3"/>
  <x:tableParts count="3">
    <x:tablePart xmlns:r="http://schemas.openxmlformats.org/officeDocument/2006/relationships" r:id="R1dace69cf1ad43e6"/>
    <x:tablePart xmlns:r="http://schemas.openxmlformats.org/officeDocument/2006/relationships" r:id="R75ee27337c7146ca"/>
    <x:tablePart xmlns:r="http://schemas.openxmlformats.org/officeDocument/2006/relationships" r:id="R7b2321e2ac554d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34" hidden="0" customWidth="1"/>
    <x:col min="5" max="5" width="36" hidden="0" customWidth="1"/>
    <x:col min="6" max="6" width="28" hidden="0" customWidth="1"/>
    <x:col min="7" max="7" width="40" hidden="0" customWidth="1"/>
    <x:col min="8" max="8" width="42" hidden="0" customWidth="1"/>
    <x:col min="9" max="9" width="16" hidden="0" customWidth="1"/>
    <x:col min="10" max="10" width="16" hidden="0" customWidth="1"/>
    <x:col min="11" max="11" width="40" hidden="0" customWidth="1"/>
  </x:cols>
  <x:sheetData>
    <x:row r="1" ht="32" customHeight="1">
      <x:c r="A1" s="69" t="str">
        <x:v>境界、品质、行谱与道路适配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</x:row>
    <x:row r="2" ht="32" customHeight="1">
      <x:c r="A2" s="71" t="str">
        <x:v>境界×品质是双轴；行谱/道路适配是第三个关键轴。品质统一引用物品公共quality，不另建pill_quality。——小G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</x:row>
    <x:row r="3" ht="24" customHeight="1">
      <x:c r="A3" s="72" t="str">
        <x:v>八境产品曲线</x:v>
      </x:c>
      <x:c r="B3" s="72" t="str">
        <x:v>八境产品曲线</x:v>
      </x:c>
      <x:c r="C3" s="72" t="str">
        <x:v>八境产品曲线</x:v>
      </x:c>
      <x:c r="D3" s="72" t="str">
        <x:v>八境产品曲线</x:v>
      </x:c>
      <x:c r="E3" s="72" t="str">
        <x:v>八境产品曲线</x:v>
      </x:c>
      <x:c r="F3" s="72" t="str">
        <x:v>八境产品曲线</x:v>
      </x:c>
      <x:c r="G3" s="72" t="str">
        <x:v>八境产品曲线</x:v>
      </x:c>
      <x:c r="H3" s="72" t="str">
        <x:v>八境产品曲线</x:v>
      </x:c>
      <x:c r="I3" s="72" t="str">
        <x:v>八境产品曲线</x:v>
      </x:c>
      <x:c r="J3" s="72" t="str">
        <x:v>八境产品曲线</x:v>
      </x:c>
      <x:c r="K3" s="72" t="str">
        <x:v>八境产品曲线</x:v>
      </x:c>
    </x:row>
    <x:row r="4" ht="34" customHeight="1">
      <x:c r="A4" s="79" t="str">
        <x:v>境界</x:v>
      </x:c>
      <x:c r="B4" s="80" t="str">
        <x:v>结构框架</x:v>
      </x:c>
      <x:c r="C4" s="80" t="str">
        <x:v>修为丹设计重点</x:v>
      </x:c>
      <x:c r="D4" s="80" t="str">
        <x:v>标准化程度</x:v>
      </x:c>
      <x:c r="E4" s="80" t="str">
        <x:v>通用市场</x:v>
      </x:c>
      <x:c r="F4" s="80" t="str">
        <x:v>道路依赖</x:v>
      </x:c>
      <x:c r="G4" s="80" t="str">
        <x:v>默认整合</x:v>
      </x:c>
      <x:c r="H4" s="80" t="str">
        <x:v>低境丹给本境</x:v>
      </x:c>
      <x:c r="I4" s="80" t="str">
        <x:v>高境丹误服风险</x:v>
      </x:c>
      <x:c r="J4" s="80" t="str">
        <x:v>破境产品线</x:v>
      </x:c>
      <x:c r="K4" s="81" t="str">
        <x:v>状态</x:v>
      </x:c>
    </x:row>
    <x:row r="5" ht="64" customHeight="1">
      <x:c r="A5" s="48" t="str">
        <x:v>炼气</x:v>
      </x:c>
      <x:c r="B5" s="48" t="str">
        <x:v>接入：建立灵根—经脉—丹田初始接口</x:v>
      </x:c>
      <x:c r="C5" s="48" t="str">
        <x:v>可识别、低复杂、帮助留气</x:v>
      </x:c>
      <x:c r="D5" s="48" t="str">
        <x:v>高</x:v>
      </x:c>
      <x:c r="E5" s="48" t="str">
        <x:v>成熟</x:v>
      </x:c>
      <x:c r="F5" s="48" t="str">
        <x:v>低</x:v>
      </x:c>
      <x:c r="G5" s="48" t="str">
        <x:v>动作后结算</x:v>
      </x:c>
      <x:c r="H5" s="48" t="str">
        <x:v>同境正常</x:v>
      </x:c>
      <x:c r="I5" s="48" t="str">
        <x:v>密度和解封强度超载</x:v>
      </x:c>
      <x:c r="J5" s="48" t="str">
        <x:v>炼气→筑基</x:v>
      </x:c>
      <x:c r="K5" s="48" t="str">
        <x:v>冻结</x:v>
      </x:c>
    </x:row>
    <x:row r="6" ht="64" customHeight="1">
      <x:c r="A6" s="49" t="str">
        <x:v>筑基</x:v>
      </x:c>
      <x:c r="B6" s="49" t="str">
        <x:v>成环：道基形成自循环闭环</x:v>
      </x:c>
      <x:c r="C6" s="49" t="str">
        <x:v>闭环扩容与稳定</x:v>
      </x:c>
      <x:c r="D6" s="49" t="str">
        <x:v>高</x:v>
      </x:c>
      <x:c r="E6" s="49" t="str">
        <x:v>成熟</x:v>
      </x:c>
      <x:c r="F6" s="49" t="str">
        <x:v>低至中</x:v>
      </x:c>
      <x:c r="G6" s="49" t="str">
        <x:v>动作后结算</x:v>
      </x:c>
      <x:c r="H6" s="49" t="str">
        <x:v>低阶炼气丹收益衰减</x:v>
      </x:c>
      <x:c r="I6" s="49" t="str">
        <x:v>闭环模板超载或错接</x:v>
      </x:c>
      <x:c r="J6" s="49" t="str">
        <x:v>筑基→金丹</x:v>
      </x:c>
      <x:c r="K6" s="49" t="str">
        <x:v>冻结</x:v>
      </x:c>
    </x:row>
    <x:row r="7" ht="64" customHeight="1">
      <x:c r="A7" s="49" t="str">
        <x:v>金丹</x:v>
      </x:c>
      <x:c r="B7" s="49" t="str">
        <x:v>成核：丹核统摄外循环</x:v>
      </x:c>
      <x:c r="C7" s="49" t="str">
        <x:v>核材压缩、边界和外循环协同</x:v>
      </x:c>
      <x:c r="D7" s="49" t="str">
        <x:v>中高</x:v>
      </x:c>
      <x:c r="E7" s="49" t="str">
        <x:v>成熟</x:v>
      </x:c>
      <x:c r="F7" s="49" t="str">
        <x:v>中</x:v>
      </x:c>
      <x:c r="G7" s="49" t="str">
        <x:v>动作后结算</x:v>
      </x:c>
      <x:c r="H7" s="49" t="str">
        <x:v>低阶结构过简</x:v>
      </x:c>
      <x:c r="I7" s="49" t="str">
        <x:v>核压与信息复杂度超载</x:v>
      </x:c>
      <x:c r="J7" s="49" t="str">
        <x:v>金丹→元婴</x:v>
      </x:c>
      <x:c r="K7" s="49" t="str">
        <x:v>冻结</x:v>
      </x:c>
    </x:row>
    <x:row r="8" ht="64" customHeight="1">
      <x:c r="A8" s="49" t="str">
        <x:v>元婴</x:v>
      </x:c>
      <x:c r="B8" s="49" t="str">
        <x:v>双心：元婴与肉身协同</x:v>
      </x:c>
      <x:c r="C8" s="49" t="str">
        <x:v>双中心同拍与魂身平衡</x:v>
      </x:c>
      <x:c r="D8" s="49" t="str">
        <x:v>中</x:v>
      </x:c>
      <x:c r="E8" s="49" t="str">
        <x:v>成熟但流派明显</x:v>
      </x:c>
      <x:c r="F8" s="49" t="str">
        <x:v>中</x:v>
      </x:c>
      <x:c r="G8" s="49" t="str">
        <x:v>动作后结算</x:v>
      </x:c>
      <x:c r="H8" s="49" t="str">
        <x:v>低阶方难同步双中心</x:v>
      </x:c>
      <x:c r="I8" s="49" t="str">
        <x:v>神魂与肉身失步</x:v>
      </x:c>
      <x:c r="J8" s="49" t="str">
        <x:v>元婴→化神</x:v>
      </x:c>
      <x:c r="K8" s="49" t="str">
        <x:v>冻结</x:v>
      </x:c>
    </x:row>
    <x:row r="9" ht="64" customHeight="1">
      <x:c r="A9" s="49" t="str">
        <x:v>化神</x:v>
      </x:c>
      <x:c r="B9" s="49" t="str">
        <x:v>化路：神魂与个人道路显著结合</x:v>
      </x:c>
      <x:c r="C9" s="49" t="str">
        <x:v>道路识别与主行适配</x:v>
      </x:c>
      <x:c r="D9" s="49" t="str">
        <x:v>中低</x:v>
      </x:c>
      <x:c r="E9" s="49" t="str">
        <x:v>仍有通用方</x:v>
      </x:c>
      <x:c r="F9" s="49" t="str">
        <x:v>高</x:v>
      </x:c>
      <x:c r="G9" s="49" t="str">
        <x:v>动作后或持续</x:v>
      </x:c>
      <x:c r="H9" s="49" t="str">
        <x:v>通用低阶收益显著衰减</x:v>
      </x:c>
      <x:c r="I9" s="49" t="str">
        <x:v>道路错配产生强排异</x:v>
      </x:c>
      <x:c r="J9" s="49" t="str">
        <x:v>化神→炼虚</x:v>
      </x:c>
      <x:c r="K9" s="49" t="str">
        <x:v>冻结</x:v>
      </x:c>
    </x:row>
    <x:row r="10" ht="64" customHeight="1">
      <x:c r="A10" s="49" t="str">
        <x:v>炼虚</x:v>
      </x:c>
      <x:c r="B10" s="49" t="str">
        <x:v>虚实：结构跨越虚实相位</x:v>
      </x:c>
      <x:c r="C10" s="49" t="str">
        <x:v>相位锚点和个人丹构</x:v>
      </x:c>
      <x:c r="D10" s="49" t="str">
        <x:v>低</x:v>
      </x:c>
      <x:c r="E10" s="49" t="str">
        <x:v>通用丹稀少但非无效</x:v>
      </x:c>
      <x:c r="F10" s="49" t="str">
        <x:v>很高</x:v>
      </x:c>
      <x:c r="G10" s="49" t="str">
        <x:v>持续整合</x:v>
      </x:c>
      <x:c r="H10" s="49" t="str">
        <x:v>通用丹结构过简</x:v>
      </x:c>
      <x:c r="I10" s="49" t="str">
        <x:v>相位错位与局部虚化</x:v>
      </x:c>
      <x:c r="J10" s="49" t="str">
        <x:v>炼虚→合体</x:v>
      </x:c>
      <x:c r="K10" s="49" t="str">
        <x:v>冻结</x:v>
      </x:c>
    </x:row>
    <x:row r="11" ht="64" customHeight="1">
      <x:c r="A11" s="49" t="str">
        <x:v>合体</x:v>
      </x:c>
      <x:c r="B11" s="49" t="str">
        <x:v>合一：魂身道整体协同</x:v>
      </x:c>
      <x:c r="C11" s="49" t="str">
        <x:v>全身多层结构一致性</x:v>
      </x:c>
      <x:c r="D11" s="49" t="str">
        <x:v>很低</x:v>
      </x:c>
      <x:c r="E11" s="49" t="str">
        <x:v>定制为主</x:v>
      </x:c>
      <x:c r="F11" s="49" t="str">
        <x:v>极高</x:v>
      </x:c>
      <x:c r="G11" s="49" t="str">
        <x:v>持续整合</x:v>
      </x:c>
      <x:c r="H11" s="49" t="str">
        <x:v>局部收益可能破坏整体</x:v>
      </x:c>
      <x:c r="I11" s="49" t="str">
        <x:v>整体协同崩裂</x:v>
      </x:c>
      <x:c r="J11" s="49" t="str">
        <x:v>合体→大乘</x:v>
      </x:c>
      <x:c r="K11" s="49" t="str">
        <x:v>冻结</x:v>
      </x:c>
    </x:row>
    <x:row r="12" ht="64" customHeight="1">
      <x:c r="A12" s="49" t="str">
        <x:v>大乘</x:v>
      </x:c>
      <x:c r="B12" s="49" t="str">
        <x:v>自锚：面对天地回压仍保持自我格式</x:v>
      </x:c>
      <x:c r="C12" s="49" t="str">
        <x:v>不夺主权的自锚补强</x:v>
      </x:c>
      <x:c r="D12" s="49" t="str">
        <x:v>极低</x:v>
      </x:c>
      <x:c r="E12" s="49" t="str">
        <x:v>稀有个人丹构</x:v>
      </x:c>
      <x:c r="F12" s="49" t="str">
        <x:v>极高</x:v>
      </x:c>
      <x:c r="G12" s="49" t="str">
        <x:v>持续整合</x:v>
      </x:c>
      <x:c r="H12" s="49" t="str">
        <x:v>外援格式难以接管</x:v>
      </x:c>
      <x:c r="I12" s="49" t="str">
        <x:v>外援反客为主、自锚冲突</x:v>
      </x:c>
      <x:c r="J12" s="49" t="str">
        <x:v>大乘后不预设新境</x:v>
      </x:c>
      <x:c r="K12" s="49" t="str">
        <x:v>冻结</x:v>
      </x:c>
    </x:row>
    <x:row r="13">
      <x:c r="A13" s="70"/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</x:row>
    <x:row r="14" ht="24" customHeight="1">
      <x:c r="A14" s="72" t="str">
        <x:v>品质轴与适配轴纪律</x:v>
      </x:c>
      <x:c r="B14" s="72" t="str">
        <x:v>品质轴与适配轴纪律</x:v>
      </x:c>
      <x:c r="C14" s="72" t="str">
        <x:v>品质轴与适配轴纪律</x:v>
      </x:c>
      <x:c r="D14" s="72" t="str">
        <x:v>品质轴与适配轴纪律</x:v>
      </x:c>
      <x:c r="E14" s="72" t="str">
        <x:v>品质轴与适配轴纪律</x:v>
      </x:c>
      <x:c r="F14" s="72" t="str">
        <x:v>品质轴与适配轴纪律</x:v>
      </x:c>
      <x:c r="G14" s="72" t="str">
        <x:v>品质轴与适配轴纪律</x:v>
      </x:c>
      <x:c r="H14" s="72" t="str">
        <x:v>品质轴与适配轴纪律</x:v>
      </x:c>
      <x:c r="I14" s="72" t="str">
        <x:v>品质轴与适配轴纪律</x:v>
      </x:c>
      <x:c r="J14" s="72" t="str">
        <x:v>品质轴与适配轴纪律</x:v>
      </x:c>
      <x:c r="K14" s="72" t="str">
        <x:v>品质轴与适配轴纪律</x:v>
      </x:c>
    </x:row>
    <x:row r="15" ht="34" customHeight="1">
      <x:c r="A15" s="79" t="str">
        <x:v>轴</x:v>
      </x:c>
      <x:c r="B15" s="80" t="str">
        <x:v>回答的问题</x:v>
      </x:c>
      <x:c r="C15" s="80" t="str">
        <x:v>可影响</x:v>
      </x:c>
      <x:c r="D15" s="80" t="str">
        <x:v>不得承担</x:v>
      </x:c>
      <x:c r="E15" s="80" t="str">
        <x:v>配置建议</x:v>
      </x:c>
      <x:c r="F15" s="80" t="str">
        <x:v>玩家显示</x:v>
      </x:c>
      <x:c r="G15" s="80" t="str">
        <x:v>错误示例</x:v>
      </x:c>
      <x:c r="H15" s="80" t="str">
        <x:v>正确示例</x:v>
      </x:c>
      <x:c r="I15" s="80" t="str">
        <x:v>状态</x:v>
      </x:c>
      <x:c r="J15" s="80" t="str">
        <x:v>数值状态</x:v>
      </x:c>
      <x:c r="K15" s="81" t="str">
        <x:v>备注</x:v>
      </x:c>
    </x:row>
    <x:row r="16" ht="64" customHeight="1">
      <x:c r="A16" s="48" t="str">
        <x:v>境界适配</x:v>
      </x:c>
      <x:c r="B16" s="48" t="str">
        <x:v>这颗丹的密度、复杂度和承载门槛适合谁？</x:v>
      </x:c>
      <x:c r="C16" s="48" t="str">
        <x:v>基础效果、过载、可识别性</x:v>
      </x:c>
      <x:c r="D16" s="48" t="str">
        <x:v>品质高低、材料来源</x:v>
      </x:c>
      <x:c r="E16" s="48" t="str">
        <x:v>target_realms＋mismatch_rule</x:v>
      </x:c>
      <x:c r="F16" s="48" t="str">
        <x:v>目标境界/错境警告</x:v>
      </x:c>
      <x:c r="G16" s="48" t="str">
        <x:v>高阶丹品质高所以炼气可安全吃</x:v>
      </x:c>
      <x:c r="H16" s="48" t="str">
        <x:v>高阶丹给低阶仍可因密度超载</x:v>
      </x:c>
      <x:c r="I16" s="48" t="str">
        <x:v>冻结</x:v>
      </x:c>
      <x:c r="J16" s="48" t="str">
        <x:v>待平衡</x:v>
      </x:c>
      <x:c r="K16" s="48" t="str">
        <x:v>回灵丹也挂境界轴</x:v>
      </x:c>
    </x:row>
    <x:row r="17" ht="64" customHeight="1">
      <x:c r="A17" s="49" t="str">
        <x:v>品质</x:v>
      </x:c>
      <x:c r="B17" s="49" t="str">
        <x:v>这次成丹有多完整、纯净、稳定？</x:v>
      </x:c>
      <x:c r="C17" s="49" t="str">
        <x:v>效果实现率、残片、保存、释放稳定</x:v>
      </x:c>
      <x:c r="D17" s="49" t="str">
        <x:v>主用途、是否有佐使、来源</x:v>
      </x:c>
      <x:c r="E17" s="49" t="str">
        <x:v>引用物品公共quality</x:v>
      </x:c>
      <x:c r="F17" s="49" t="str">
        <x:v>公共品质与预计丹毒</x:v>
      </x:c>
      <x:c r="G17" s="49" t="str">
        <x:v>凡品必无佐、灵品必有使</x:v>
      </x:c>
      <x:c r="H17" s="49" t="str">
        <x:v>同一方可因工艺与材料得到不同品质</x:v>
      </x:c>
      <x:c r="I17" s="49" t="str">
        <x:v>冻结</x:v>
      </x:c>
      <x:c r="J17" s="49" t="str">
        <x:v>沿用物品系统</x:v>
      </x:c>
      <x:c r="K17" s="49" t="str">
        <x:v>删除重复pill_quality</x:v>
      </x:c>
    </x:row>
    <x:row r="18" ht="64" customHeight="1">
      <x:c r="A18" s="49" t="str">
        <x:v>行谱适配</x:v>
      </x:c>
      <x:c r="B18" s="49" t="str">
        <x:v>丹构的五行节律与服用者主行是否相容？</x:v>
      </x:c>
      <x:c r="C18" s="49" t="str">
        <x:v>耦合率、特定反冲、丹毒</x:v>
      </x:c>
      <x:c r="D18" s="49" t="str">
        <x:v>境界和道路认同</x:v>
      </x:c>
      <x:c r="E18" s="49" t="str">
        <x:v>spectrum_profile＋fit_rule</x:v>
      </x:c>
      <x:c r="F18" s="49" t="str">
        <x:v>主行适配/克制风险</x:v>
      </x:c>
      <x:c r="G18" s="49" t="str">
        <x:v>同境就一定适配</x:v>
      </x:c>
      <x:c r="H18" s="49" t="str">
        <x:v>同境错谱仍可能低效排异</x:v>
      </x:c>
      <x:c r="I18" s="49" t="str">
        <x:v>冻结</x:v>
      </x:c>
      <x:c r="J18" s="49" t="str">
        <x:v>待公式</x:v>
      </x:c>
      <x:c r="K18" s="49" t="str">
        <x:v>行谱先定性，数值字段后置</x:v>
      </x:c>
    </x:row>
    <x:row r="19" ht="64" customHeight="1">
      <x:c r="A19" s="49" t="str">
        <x:v>道路适配</x:v>
      </x:c>
      <x:c r="B19" s="49" t="str">
        <x:v>丹构是否尊重化神以后个人道路？</x:v>
      </x:c>
      <x:c r="C19" s="49" t="str">
        <x:v>高境收益、排异、能否转正</x:v>
      </x:c>
      <x:c r="D19" s="49" t="str">
        <x:v>直接给道心或理解</x:v>
      </x:c>
      <x:c r="E19" s="49" t="str">
        <x:v>road_fit_tags</x:v>
      </x:c>
      <x:c r="F19" s="49" t="str">
        <x:v>道路适配标签</x:v>
      </x:c>
      <x:c r="G19" s="49" t="str">
        <x:v>悟道丹直接给功法理解</x:v>
      </x:c>
      <x:c r="H19" s="49" t="str">
        <x:v>丹只可清噪和稳定参悟环境</x:v>
      </x:c>
      <x:c r="I19" s="49" t="str">
        <x:v>冻结</x:v>
      </x:c>
      <x:c r="J19" s="49" t="str">
        <x:v>待公式</x:v>
      </x:c>
      <x:c r="K19" s="49" t="str">
        <x:v>化神起重要性显著上升</x:v>
      </x:c>
    </x:row>
    <x:row r="20" ht="64" customHeight="1">
      <x:c r="A20" s="49" t="str">
        <x:v>来源风险</x:v>
      </x:c>
      <x:c r="B20" s="49" t="str">
        <x:v>材料与炼制来源是否携带额外异质格式？</x:v>
      </x:c>
      <x:c r="C20" s="49" t="str">
        <x:v>魔染、未知残留、保存风险</x:v>
      </x:c>
      <x:c r="D20" s="49" t="str">
        <x:v>道品/凡品整体来源</x:v>
      </x:c>
      <x:c r="E20" s="49" t="str">
        <x:v>source_risk_tags</x:v>
      </x:c>
      <x:c r="F20" s="49" t="str">
        <x:v>来源警告</x:v>
      </x:c>
      <x:c r="G20" s="49" t="str">
        <x:v>道品都来自固定神秘源头</x:v>
      </x:c>
      <x:c r="H20" s="49" t="str">
        <x:v>部分材料或盲区可能未判行</x:v>
      </x:c>
      <x:c r="I20" s="49" t="str">
        <x:v>冻结边界</x:v>
      </x:c>
      <x:c r="J20" s="49" t="str">
        <x:v>内容待扩展</x:v>
      </x:c>
      <x:c r="K20" s="49" t="str">
        <x:v>品质轴只管深度，不管来源</x:v>
      </x:c>
    </x:row>
  </x:sheetData>
  <x:mergeCells>
    <x:mergeCell ref="A1:K1"/>
    <x:mergeCell ref="A2:K2"/>
    <x:mergeCell ref="A3:K3"/>
    <x:mergeCell ref="A14:K14"/>
  </x:mergeCells>
  <x:conditionalFormatting sqref="K5:K12">
    <x:cfRule type="containsText" dxfId="24" priority="1" operator="containsText" text="冻结"/>
    <x:cfRule type="containsText" dxfId="25" priority="2" operator="containsText" text="占位"/>
    <x:cfRule type="containsText" dxfId="26" priority="3" operator="containsText" text="检查"/>
  </x:conditionalFormatting>
  <x:conditionalFormatting sqref="I16:I20">
    <x:cfRule type="containsText" dxfId="27" priority="4" operator="containsText" text="冻结"/>
    <x:cfRule type="containsText" dxfId="28" priority="5" operator="containsText" text="占位"/>
    <x:cfRule type="containsText" dxfId="29" priority="6" operator="containsText" text="检查"/>
  </x:conditionalFormatting>
  <x:pageMargins left="0.7" right="0.7" top="0.75" bottom="0.75" header="0.3" footer="0.3"/>
  <x:tableParts count="2">
    <x:tablePart xmlns:r="http://schemas.openxmlformats.org/officeDocument/2006/relationships" r:id="R21c2e18be88a4cc0"/>
    <x:tablePart xmlns:r="http://schemas.openxmlformats.org/officeDocument/2006/relationships" r:id="R1d1e8b90530a4e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28" hidden="0" customWidth="1"/>
    <x:col min="5" max="5" width="30" hidden="0" customWidth="1"/>
    <x:col min="6" max="6" width="22" hidden="0" customWidth="1"/>
    <x:col min="7" max="7" width="26" hidden="0" customWidth="1"/>
    <x:col min="8" max="8" width="28" hidden="0" customWidth="1"/>
    <x:col min="9" max="9" width="42" hidden="0" customWidth="1"/>
    <x:col min="10" max="10" width="14" hidden="0" customWidth="1"/>
    <x:col min="11" max="11" width="14" hidden="0" customWidth="1"/>
  </x:cols>
  <x:sheetData>
    <x:row r="1" ht="32" customHeight="1">
      <x:c r="A1" s="69" t="str">
        <x:v>四种代价、错配与自然节流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</x:row>
    <x:row r="2" ht="32" customHeight="1">
      <x:c r="A2" s="71" t="str">
        <x:v>不设每日次数硬上限。丹毒、排异、耐药、永久递减必须分开记录和解释。——小G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</x:row>
    <x:row r="3" ht="24" customHeight="1">
      <x:c r="A3" s="72" t="str">
        <x:v>四种代价</x:v>
      </x:c>
      <x:c r="B3" s="72" t="str">
        <x:v>四种代价</x:v>
      </x:c>
      <x:c r="C3" s="72" t="str">
        <x:v>四种代价</x:v>
      </x:c>
      <x:c r="D3" s="72" t="str">
        <x:v>四种代价</x:v>
      </x:c>
      <x:c r="E3" s="72" t="str">
        <x:v>四种代价</x:v>
      </x:c>
      <x:c r="F3" s="72" t="str">
        <x:v>四种代价</x:v>
      </x:c>
      <x:c r="G3" s="72" t="str">
        <x:v>四种代价</x:v>
      </x:c>
      <x:c r="H3" s="72" t="str">
        <x:v>四种代价</x:v>
      </x:c>
      <x:c r="I3" s="72" t="str">
        <x:v>四种代价</x:v>
      </x:c>
      <x:c r="J3" s="72" t="str">
        <x:v>四种代价</x:v>
      </x:c>
      <x:c r="K3" s="72" t="str">
        <x:v>四种代价</x:v>
      </x:c>
    </x:row>
    <x:row r="4" ht="34" customHeight="1">
      <x:c r="A4" s="79" t="str">
        <x:v>机制</x:v>
      </x:c>
      <x:c r="B4" s="80" t="str">
        <x:v>本质</x:v>
      </x:c>
      <x:c r="C4" s="80" t="str">
        <x:v>状态形式</x:v>
      </x:c>
      <x:c r="D4" s="80" t="str">
        <x:v>触发来源</x:v>
      </x:c>
      <x:c r="E4" s="80" t="str">
        <x:v>主要后果</x:v>
      </x:c>
      <x:c r="F4" s="80" t="str">
        <x:v>恢复/处理</x:v>
      </x:c>
      <x:c r="G4" s="80" t="str">
        <x:v>玩家常驻显示</x:v>
      </x:c>
      <x:c r="H4" s="80" t="str">
        <x:v>服用前提示</x:v>
      </x:c>
      <x:c r="I4" s="80" t="str">
        <x:v>禁止混淆</x:v>
      </x:c>
      <x:c r="J4" s="80" t="str">
        <x:v>推荐接口</x:v>
      </x:c>
      <x:c r="K4" s="81" t="str">
        <x:v>状态</x:v>
      </x:c>
    </x:row>
    <x:row r="5" ht="76" customHeight="1">
      <x:c r="A5" s="48" t="str">
        <x:v>丹毒</x:v>
      </x:c>
      <x:c r="B5" s="48" t="str">
        <x:v>未配对残片、过载损伤和未排出的临时结构沉积</x:v>
      </x:c>
      <x:c r="C5" s="48" t="str">
        <x:v>全局长期积累值</x:v>
      </x:c>
      <x:c r="D5" s="48" t="str">
        <x:v>材料杂质、工艺不完整、释放过快、整合/排出失败</x:v>
      </x:c>
      <x:c r="E5" s="48" t="str">
        <x:v>吸收下降、伤势与更高风险</x:v>
      </x:c>
      <x:c r="F5" s="48" t="str">
        <x:v>时间排出、提高品质、净化丹、外部排毒</x:v>
      </x:c>
      <x:c r="G5" s="48" t="str">
        <x:v>是：一条全局值</x:v>
      </x:c>
      <x:c r="H5" s="48" t="str">
        <x:v>显示预计增量</x:v>
      </x:c>
      <x:c r="I5" s="48" t="str">
        <x:v>不能当耐药；清毒丹本身也有丹毒</x:v>
      </x:c>
      <x:c r="J5" s="48" t="str">
        <x:v>dan_toxicity_delta</x:v>
      </x:c>
      <x:c r="K5" s="48" t="str">
        <x:v>冻结</x:v>
      </x:c>
    </x:row>
    <x:row r="6" ht="76" customHeight="1">
      <x:c r="A6" s="49" t="str">
        <x:v>排异</x:v>
      </x:c>
      <x:c r="B6" s="49" t="str">
        <x:v>丹构与境界、行谱、道路或目标模板不合的即时冲突</x:v>
      </x:c>
      <x:c r="C6" s="49" t="str">
        <x:v>单次风险事件，可留下伤势</x:v>
      </x:c>
      <x:c r="D6" s="49" t="str">
        <x:v>错境、错谱、错道、错对象、同时服用冲突</x:v>
      </x:c>
      <x:c r="E6" s="49" t="str">
        <x:v>药效下降、急性反冲、结构损伤</x:v>
      </x:c>
      <x:c r="F6" s="49" t="str">
        <x:v>换适配丹、降低强度、正确归经、治疗伤势</x:v>
      </x:c>
      <x:c r="G6" s="49" t="str">
        <x:v>否：不做累积条</x:v>
      </x:c>
      <x:c r="H6" s="49" t="str">
        <x:v>红字风险与可能伤势</x:v>
      </x:c>
      <x:c r="I6" s="49" t="str">
        <x:v>不能写排异累积</x:v>
      </x:c>
      <x:c r="J6" s="49" t="str">
        <x:v>rejection_rule/event</x:v>
      </x:c>
      <x:c r="K6" s="49" t="str">
        <x:v>冻结</x:v>
      </x:c>
    </x:row>
    <x:row r="7" ht="76" customHeight="1">
      <x:c r="A7" s="49" t="str">
        <x:v>耐药</x:v>
      </x:c>
      <x:c r="B7" s="49" t="str">
        <x:v>身体对同一外援路径形成适应，耦合收益下降</x:v>
      </x:c>
      <x:c r="C7" s="49" t="str">
        <x:v>按机制组变化，可恢复</x:v>
      </x:c>
      <x:c r="D7" s="49" t="str">
        <x:v>重复使用同对象＋机制＋时间形态路径</x:v>
      </x:c>
      <x:c r="E7" s="49" t="str">
        <x:v>预计药效递减</x:v>
      </x:c>
      <x:c r="F7" s="49" t="str">
        <x:v>停用、等待、轮换不同机制组</x:v>
      </x:c>
      <x:c r="G7" s="49" t="str">
        <x:v>按当前丹显示预计药效%，不展示几十条常驻条</x:v>
      </x:c>
      <x:c r="H7" s="49" t="str">
        <x:v>显示所属耐药组和当前系数</x:v>
      </x:c>
      <x:c r="I7" s="49" t="str">
        <x:v>不能按丹名分组，不能用清毒丹洗掉</x:v>
      </x:c>
      <x:c r="J7" s="49" t="str">
        <x:v>tolerance_group/state</x:v>
      </x:c>
      <x:c r="K7" s="49" t="str">
        <x:v>冻结</x:v>
      </x:c>
    </x:row>
    <x:row r="8" ht="76" customHeight="1">
      <x:c r="A8" s="49" t="str">
        <x:v>永久递减</x:v>
      </x:c>
      <x:c r="B8" s="49" t="str">
        <x:v>有限结构反复重塑后的剩余有效空间减少</x:v>
      </x:c>
      <x:c r="C8" s="49" t="str">
        <x:v>特定内容服用史/剩余空间</x:v>
      </x:c>
      <x:c r="D8" s="49" t="str">
        <x:v>延寿、改根等有限结构反复介入</x:v>
      </x:c>
      <x:c r="E8" s="49" t="str">
        <x:v>后续收益永久降低或风险上升</x:v>
      </x:c>
      <x:c r="F8" s="49" t="str">
        <x:v>通常不可等待恢复；仅特殊世界事件可改变</x:v>
      </x:c>
      <x:c r="G8" s="49" t="str">
        <x:v>仅在延寿/改根专属界面显示</x:v>
      </x:c>
      <x:c r="H8" s="49" t="str">
        <x:v>显示剩余空间与不可逆性</x:v>
      </x:c>
      <x:c r="I8" s="49" t="str">
        <x:v>不能伪装成可休息恢复的耐药</x:v>
      </x:c>
      <x:c r="J8" s="49" t="str">
        <x:v>permanent_diminishing_group</x:v>
      </x:c>
      <x:c r="K8" s="49" t="str">
        <x:v>冻结</x:v>
      </x:c>
    </x:row>
    <x:row r="9">
      <x:c r="A9" s="70"/>
      <x:c r="B9" s="70"/>
      <x:c r="C9" s="70"/>
      <x:c r="D9" s="70"/>
      <x:c r="E9" s="70"/>
      <x:c r="F9" s="70"/>
      <x:c r="G9" s="70"/>
      <x:c r="H9" s="70"/>
      <x:c r="I9" s="70"/>
      <x:c r="J9" s="70"/>
      <x:c r="K9" s="70"/>
    </x:row>
    <x:row r="10" ht="24" customHeight="1">
      <x:c r="A10" s="72" t="str">
        <x:v>错配情形</x:v>
      </x:c>
      <x:c r="B10" s="72" t="str">
        <x:v>错配情形</x:v>
      </x:c>
      <x:c r="C10" s="72" t="str">
        <x:v>错配情形</x:v>
      </x:c>
      <x:c r="D10" s="72" t="str">
        <x:v>错配情形</x:v>
      </x:c>
      <x:c r="E10" s="72" t="str">
        <x:v>错配情形</x:v>
      </x:c>
      <x:c r="F10" s="72" t="str">
        <x:v>错配情形</x:v>
      </x:c>
      <x:c r="G10" s="72" t="str">
        <x:v>错配情形</x:v>
      </x:c>
      <x:c r="H10" s="72" t="str">
        <x:v>错配情形</x:v>
      </x:c>
      <x:c r="I10" s="72" t="str">
        <x:v>错配情形</x:v>
      </x:c>
      <x:c r="J10" s="72" t="str">
        <x:v>错配情形</x:v>
      </x:c>
      <x:c r="K10" s="72" t="str">
        <x:v>错配情形</x:v>
      </x:c>
    </x:row>
    <x:row r="11" ht="34" customHeight="1">
      <x:c r="A11" s="79" t="str">
        <x:v>错配情形</x:v>
      </x:c>
      <x:c r="B11" s="80" t="str">
        <x:v>世界原因</x:v>
      </x:c>
      <x:c r="C11" s="80" t="str">
        <x:v>效果变化</x:v>
      </x:c>
      <x:c r="D11" s="80" t="str">
        <x:v>丹毒变化</x:v>
      </x:c>
      <x:c r="E11" s="80" t="str">
        <x:v>排异风险</x:v>
      </x:c>
      <x:c r="F11" s="80" t="str">
        <x:v>典型伤害</x:v>
      </x:c>
      <x:c r="G11" s="80" t="str">
        <x:v>玩家警告</x:v>
      </x:c>
      <x:c r="H11" s="80" t="str">
        <x:v>可否服用</x:v>
      </x:c>
      <x:c r="I11" s="80" t="str">
        <x:v>建议处理</x:v>
      </x:c>
      <x:c r="J11" s="80" t="str">
        <x:v>数值状态</x:v>
      </x:c>
      <x:c r="K11" s="81" t="str">
        <x:v>状态</x:v>
      </x:c>
    </x:row>
    <x:row r="12" ht="64" customHeight="1">
      <x:c r="A12" s="48" t="str">
        <x:v>低阶丹给高阶修士</x:v>
      </x:c>
      <x:c r="B12" s="48" t="str">
        <x:v>结构过简、密度过低，难进入高阶个人结构</x:v>
      </x:c>
      <x:c r="C12" s="48" t="str">
        <x:v>显著衰减但不绝对无效</x:v>
      </x:c>
      <x:c r="D12" s="48" t="str">
        <x:v>单位收益对应残留可能更差</x:v>
      </x:c>
      <x:c r="E12" s="48" t="str">
        <x:v>通常低至中</x:v>
      </x:c>
      <x:c r="F12" s="48" t="str">
        <x:v>无效堆积、局部堵塞</x:v>
      </x:c>
      <x:c r="G12" s="48" t="str">
        <x:v>收益很低，仍会积毒</x:v>
      </x:c>
      <x:c r="H12" s="48" t="str">
        <x:v>可以</x:v>
      </x:c>
      <x:c r="I12" s="48" t="str">
        <x:v>换同境或定制丹</x:v>
      </x:c>
      <x:c r="J12" s="48" t="str">
        <x:v>待平衡</x:v>
      </x:c>
      <x:c r="K12" s="48" t="str">
        <x:v>冻结</x:v>
      </x:c>
    </x:row>
    <x:row r="13" ht="64" customHeight="1">
      <x:c r="A13" s="49" t="str">
        <x:v>高阶丹给低阶修士</x:v>
      </x:c>
      <x:c r="B13" s="49" t="str">
        <x:v>密度、解封强度和信息复杂度超过承载</x:v>
      </x:c>
      <x:c r="C13" s="49" t="str">
        <x:v>可能失效或转为负效</x:v>
      </x:c>
      <x:c r="D13" s="49" t="str">
        <x:v>显著上升</x:v>
      </x:c>
      <x:c r="E13" s="49" t="str">
        <x:v>高</x:v>
      </x:c>
      <x:c r="F13" s="49" t="str">
        <x:v>经脉撕裂、丹田/神魂冲击、爆体</x:v>
      </x:c>
      <x:c r="G13" s="49" t="str">
        <x:v>高危错境，可能重伤</x:v>
      </x:c>
      <x:c r="H13" s="49" t="str">
        <x:v>允许系统按风险阻止或二次确认</x:v>
      </x:c>
      <x:c r="I13" s="49" t="str">
        <x:v>降低强度或禁用</x:v>
      </x:c>
      <x:c r="J13" s="49" t="str">
        <x:v>待平衡</x:v>
      </x:c>
      <x:c r="K13" s="49" t="str">
        <x:v>冻结</x:v>
      </x:c>
    </x:row>
    <x:row r="14" ht="64" customHeight="1">
      <x:c r="A14" s="49" t="str">
        <x:v>同境错行谱</x:v>
      </x:c>
      <x:c r="B14" s="49" t="str">
        <x:v>丹构节律与主行/灵根读取不合</x:v>
      </x:c>
      <x:c r="C14" s="49" t="str">
        <x:v>耦合率下降，特定效果反冲</x:v>
      </x:c>
      <x:c r="D14" s="49" t="str">
        <x:v>上升</x:v>
      </x:c>
      <x:c r="E14" s="49" t="str">
        <x:v>中至高</x:v>
      </x:c>
      <x:c r="F14" s="49" t="str">
        <x:v>五行局部失衡、经脉冲突</x:v>
      </x:c>
      <x:c r="G14" s="49" t="str">
        <x:v>行谱不合</x:v>
      </x:c>
      <x:c r="H14" s="49" t="str">
        <x:v>可以但需确认</x:v>
      </x:c>
      <x:c r="I14" s="49" t="str">
        <x:v>换适配谱或用辅丹扩展</x:v>
      </x:c>
      <x:c r="J14" s="49" t="str">
        <x:v>待平衡</x:v>
      </x:c>
      <x:c r="K14" s="49" t="str">
        <x:v>冻结</x:v>
      </x:c>
    </x:row>
    <x:row r="15" ht="64" customHeight="1">
      <x:c r="A15" s="49" t="str">
        <x:v>高境错道路</x:v>
      </x:c>
      <x:c r="B15" s="49" t="str">
        <x:v>丹构模板与个人道路不一致</x:v>
      </x:c>
      <x:c r="C15" s="49" t="str">
        <x:v>高阶收益大幅下降</x:v>
      </x:c>
      <x:c r="D15" s="49" t="str">
        <x:v>上升</x:v>
      </x:c>
      <x:c r="E15" s="49" t="str">
        <x:v>高</x:v>
      </x:c>
      <x:c r="F15" s="49" t="str">
        <x:v>道身冲突、自锚受扰</x:v>
      </x:c>
      <x:c r="G15" s="49" t="str">
        <x:v>道路不合，不建议服用</x:v>
      </x:c>
      <x:c r="H15" s="49" t="str">
        <x:v>可以但高危</x:v>
      </x:c>
      <x:c r="I15" s="49" t="str">
        <x:v>个人定制</x:v>
      </x:c>
      <x:c r="J15" s="49" t="str">
        <x:v>待平衡</x:v>
      </x:c>
      <x:c r="K15" s="49" t="str">
        <x:v>冻结</x:v>
      </x:c>
    </x:row>
    <x:row r="16" ht="64" customHeight="1">
      <x:c r="A16" s="49" t="str">
        <x:v>错目标/错伤型</x:v>
      </x:c>
      <x:c r="B16" s="49" t="str">
        <x:v>修复或净化模板识别了错误对象</x:v>
      </x:c>
      <x:c r="C16" s="49" t="str">
        <x:v>主效失败或伤正</x:v>
      </x:c>
      <x:c r="D16" s="49" t="str">
        <x:v>上升</x:v>
      </x:c>
      <x:c r="E16" s="49" t="str">
        <x:v>高</x:v>
      </x:c>
      <x:c r="F16" s="49" t="str">
        <x:v>过生、误清、封错边界</x:v>
      </x:c>
      <x:c r="G16" s="49" t="str">
        <x:v>目标不匹配</x:v>
      </x:c>
      <x:c r="H16" s="49" t="str">
        <x:v>部分内容应禁止</x:v>
      </x:c>
      <x:c r="I16" s="49" t="str">
        <x:v>先诊断再用药</x:v>
      </x:c>
      <x:c r="J16" s="49" t="str">
        <x:v>待平衡</x:v>
      </x:c>
      <x:c r="K16" s="49" t="str">
        <x:v>冻结</x:v>
      </x:c>
    </x:row>
    <x:row r="17" ht="64" customHeight="1">
      <x:c r="A17" s="49" t="str">
        <x:v>多丹同服冲突</x:v>
      </x:c>
      <x:c r="B17" s="49" t="str">
        <x:v>多个丹构争夺同一路径或给出相反操作</x:v>
      </x:c>
      <x:c r="C17" s="49" t="str">
        <x:v>效果相互抵消或失控</x:v>
      </x:c>
      <x:c r="D17" s="49" t="str">
        <x:v>上升</x:v>
      </x:c>
      <x:c r="E17" s="49" t="str">
        <x:v>中至高</x:v>
      </x:c>
      <x:c r="F17" s="49" t="str">
        <x:v>拥堵、峰值叠加、归经争路</x:v>
      </x:c>
      <x:c r="G17" s="49" t="str">
        <x:v>存在配伍冲突</x:v>
      </x:c>
      <x:c r="H17" s="49" t="str">
        <x:v>可配置禁止/排序</x:v>
      </x:c>
      <x:c r="I17" s="49" t="str">
        <x:v>后续伴服系统处理</x:v>
      </x:c>
      <x:c r="J17" s="49" t="str">
        <x:v>待设计</x:v>
      </x:c>
      <x:c r="K17" s="49" t="str">
        <x:v>边界冻结</x:v>
      </x:c>
    </x:row>
    <x:row r="18">
      <x:c r="A18" s="70"/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</x:row>
    <x:row r="19" ht="24" customHeight="1">
      <x:c r="A19" s="72" t="str">
        <x:v>玩家解释</x:v>
      </x:c>
      <x:c r="B19" s="72" t="str">
        <x:v>玩家解释</x:v>
      </x:c>
      <x:c r="C19" s="72" t="str">
        <x:v>玩家解释</x:v>
      </x:c>
      <x:c r="D19" s="72" t="str">
        <x:v>玩家解释</x:v>
      </x:c>
      <x:c r="E19" s="72" t="str">
        <x:v>玩家解释</x:v>
      </x:c>
      <x:c r="F19" s="72" t="str">
        <x:v>玩家解释</x:v>
      </x:c>
      <x:c r="G19" s="72" t="str">
        <x:v>玩家解释</x:v>
      </x:c>
      <x:c r="H19" s="72" t="str">
        <x:v>玩家解释</x:v>
      </x:c>
      <x:c r="I19" s="72" t="str">
        <x:v>玩家解释</x:v>
      </x:c>
      <x:c r="J19" s="72" t="str">
        <x:v>玩家解释</x:v>
      </x:c>
      <x:c r="K19" s="72" t="str">
        <x:v>玩家解释</x:v>
      </x:c>
    </x:row>
    <x:row r="20">
      <x:c r="A20" s="82" t="str">
        <x:v>术语</x:v>
      </x:c>
      <x:c r="B20" s="82" t="str">
        <x:v>一句话</x:v>
      </x:c>
      <x:c r="C20" s="82" t="str">
        <x:v>常驻UI</x:v>
      </x:c>
      <x:c r="D20" s="82" t="str">
        <x:v>临时UI</x:v>
      </x:c>
      <x:c r="E20" s="82" t="str">
        <x:v>与每日上限关系</x:v>
      </x:c>
      <x:c r="F20" s="82" t="str">
        <x:v>恢复</x:v>
      </x:c>
      <x:c r="G20" s="82" t="str">
        <x:v>组别</x:v>
      </x:c>
      <x:c r="H20" s="82" t="str">
        <x:v>清解类能否处理</x:v>
      </x:c>
      <x:c r="I20" s="82" t="str">
        <x:v>典型提示</x:v>
      </x:c>
      <x:c r="J20" s="82" t="str">
        <x:v>状态</x:v>
      </x:c>
      <x:c r="K20" s="82" t="str">
        <x:v>署名</x:v>
      </x:c>
    </x:row>
    <x:row r="21">
      <x:c r="A21" s="83" t="str">
        <x:v>丹毒</x:v>
      </x:c>
      <x:c r="B21" s="83" t="str">
        <x:v>体内留下了多少不该留下的东西。</x:v>
      </x:c>
      <x:c r="C21" s="83" t="str">
        <x:v>全局条</x:v>
      </x:c>
      <x:c r="D21" s="83" t="str">
        <x:v>预计增量</x:v>
      </x:c>
      <x:c r="E21" s="83" t="str">
        <x:v>替代硬上限之一</x:v>
      </x:c>
      <x:c r="F21" s="83" t="str">
        <x:v>时间/净化</x:v>
      </x:c>
      <x:c r="G21" s="83" t="str">
        <x:v>全局</x:v>
      </x:c>
      <x:c r="H21" s="83" t="str">
        <x:v>能，但须净下降</x:v>
      </x:c>
      <x:c r="I21" s="83" t="str">
        <x:v>此丹预计增加丹毒X（数值后定）</x:v>
      </x:c>
      <x:c r="J21" s="83" t="str">
        <x:v>冻结</x:v>
      </x:c>
      <x:c r="K21" s="83" t="str">
        <x:v>——小G</x:v>
      </x:c>
    </x:row>
    <x:row r="22">
      <x:c r="A22" s="84" t="str">
        <x:v>耐药</x:v>
      </x:c>
      <x:c r="B22" s="84" t="str">
        <x:v>身体对这条外援路径还剩多少反应。</x:v>
      </x:c>
      <x:c r="C22" s="84" t="str">
        <x:v>不铺开全部条目</x:v>
      </x:c>
      <x:c r="D22" s="84" t="str">
        <x:v>当前丹预计药效%＋耐药组</x:v>
      </x:c>
      <x:c r="E22" s="84" t="str">
        <x:v>替代硬上限之一</x:v>
      </x:c>
      <x:c r="F22" s="84" t="str">
        <x:v>停用/轮换</x:v>
      </x:c>
      <x:c r="G22" s="84" t="str">
        <x:v>对象＋机制＋时间</x:v>
      </x:c>
      <x:c r="H22" s="84" t="str">
        <x:v>不能</x:v>
      </x:c>
      <x:c r="I22" s="84" t="str">
        <x:v>该路径已适应，预计药效下降</x:v>
      </x:c>
      <x:c r="J22" s="84" t="str">
        <x:v>冻结</x:v>
      </x:c>
      <x:c r="K22" s="84" t="str">
        <x:v>——小G</x:v>
      </x:c>
    </x:row>
  </x:sheetData>
  <x:mergeCells>
    <x:mergeCell ref="A1:K1"/>
    <x:mergeCell ref="A2:K2"/>
    <x:mergeCell ref="A3:K3"/>
    <x:mergeCell ref="A10:K10"/>
    <x:mergeCell ref="A19:K19"/>
  </x:mergeCells>
  <x:conditionalFormatting sqref="K5:K8">
    <x:cfRule type="containsText" dxfId="30" priority="1" operator="containsText" text="冻结"/>
    <x:cfRule type="containsText" dxfId="31" priority="2" operator="containsText" text="占位"/>
    <x:cfRule type="containsText" dxfId="32" priority="3" operator="containsText" text="检查"/>
  </x:conditionalFormatting>
  <x:conditionalFormatting sqref="K12:K17">
    <x:cfRule type="containsText" dxfId="33" priority="4" operator="containsText" text="冻结"/>
    <x:cfRule type="containsText" dxfId="34" priority="5" operator="containsText" text="占位"/>
    <x:cfRule type="containsText" dxfId="35" priority="6" operator="containsText" text="检查"/>
  </x:conditionalFormatting>
  <x:conditionalFormatting sqref="J21:J22">
    <x:cfRule type="containsText" dxfId="36" priority="7" operator="containsText" text="冻结"/>
    <x:cfRule type="containsText" dxfId="37" priority="8" operator="containsText" text="占位"/>
    <x:cfRule type="containsText" dxfId="38" priority="9" operator="containsText" text="检查"/>
  </x:conditionalFormatting>
  <x:pageMargins left="0.7" right="0.7" top="0.75" bottom="0.75" header="0.3" footer="0.3"/>
  <x:tableParts count="2">
    <x:tablePart xmlns:r="http://schemas.openxmlformats.org/officeDocument/2006/relationships" r:id="Rf7d3e7cfc5334676"/>
    <x:tablePart xmlns:r="http://schemas.openxmlformats.org/officeDocument/2006/relationships" r:id="R2aa9f61bc4854b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0" hidden="0" customWidth="1"/>
    <x:col min="5" max="5" width="16" hidden="0" customWidth="1"/>
    <x:col min="6" max="6" width="18" hidden="0" customWidth="1"/>
    <x:col min="7" max="7" width="14" hidden="0" customWidth="1"/>
    <x:col min="8" max="8" width="28" hidden="0" customWidth="1"/>
    <x:col min="9" max="9" width="24" hidden="0" customWidth="1"/>
    <x:col min="10" max="10" width="18" hidden="0" customWidth="1"/>
    <x:col min="11" max="11" width="28" hidden="0" customWidth="1"/>
    <x:col min="12" max="12" width="10" hidden="0" customWidth="1"/>
    <x:col min="13" max="13" width="20" hidden="0" customWidth="1"/>
    <x:col min="14" max="14" width="14" hidden="0" customWidth="1"/>
    <x:col min="15" max="15" width="12" hidden="0" customWidth="1"/>
    <x:col min="16" max="16" width="34" hidden="0" customWidth="1"/>
    <x:col min="17" max="17" width="34" hidden="0" customWidth="1"/>
    <x:col min="18" max="18" width="36" hidden="0" customWidth="1"/>
    <x:col min="19" max="19" width="34" hidden="0" customWidth="1"/>
    <x:col min="20" max="20" width="44" hidden="0" customWidth="1"/>
    <x:col min="21" max="21" width="30" hidden="0" customWidth="1"/>
    <x:col min="22" max="22" width="34" hidden="0" customWidth="1"/>
    <x:col min="23" max="23" width="38" hidden="0" customWidth="1"/>
    <x:col min="24" max="24" width="30" hidden="0" customWidth="1"/>
    <x:col min="25" max="25" width="20" hidden="0" customWidth="1"/>
    <x:col min="26" max="26" width="42" hidden="0" customWidth="1"/>
    <x:col min="27" max="27" width="40" hidden="0" customWidth="1"/>
    <x:col min="28" max="28" width="22" hidden="0" customWidth="1"/>
    <x:col min="29" max="29" width="16" hidden="0" customWidth="1"/>
    <x:col min="30" max="30" width="16" hidden="0" customWidth="1"/>
  </x:cols>
  <x:sheetData>
    <x:row r="1" ht="32" customHeight="1">
      <x:c r="A1" s="69" t="str">
        <x:v>34个代表性丹药实例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  <x:c r="W1" s="70"/>
      <x:c r="X1" s="70"/>
      <x:c r="Y1" s="70"/>
      <x:c r="Z1" s="70"/>
      <x:c r="AA1" s="70"/>
      <x:c r="AB1" s="70"/>
      <x:c r="AC1" s="70"/>
      <x:c r="AD1" s="70"/>
    </x:row>
    <x:row r="2" ht="32" customHeight="1">
      <x:c r="A2" s="71" t="str">
        <x:v>覆盖全部固定子类。药名、具体材料与数值均为占位；分类、对象、操作、时间与失败逻辑为第13轮小G详细设定。——小G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  <x:c r="U2" s="70"/>
      <x:c r="V2" s="70"/>
      <x:c r="W2" s="70"/>
      <x:c r="X2" s="70"/>
      <x:c r="Y2" s="70"/>
      <x:c r="Z2" s="70"/>
      <x:c r="AA2" s="70"/>
      <x:c r="AB2" s="70"/>
      <x:c r="AC2" s="70"/>
      <x:c r="AD2" s="70"/>
    </x:row>
    <x:row r="3" ht="34" customHeight="1">
      <x:c r="A3" s="79" t="str">
        <x:v>丹药ID</x:v>
      </x:c>
      <x:c r="B3" s="80" t="str">
        <x:v>占位丹名</x:v>
      </x:c>
      <x:c r="C3" s="80" t="str">
        <x:v>定名状态</x:v>
      </x:c>
      <x:c r="D3" s="80" t="str">
        <x:v>四族候选</x:v>
      </x:c>
      <x:c r="E3" s="80" t="str">
        <x:v>主用途</x:v>
      </x:c>
      <x:c r="F3" s="80" t="str">
        <x:v>固定子类</x:v>
      </x:c>
      <x:c r="G3" s="80" t="str">
        <x:v>目标境界</x:v>
      </x:c>
      <x:c r="H3" s="80" t="str">
        <x:v>目标对象</x:v>
      </x:c>
      <x:c r="I3" s="80" t="str">
        <x:v>底层操作</x:v>
      </x:c>
      <x:c r="J3" s="80" t="str">
        <x:v>时间形态</x:v>
      </x:c>
      <x:c r="K3" s="80" t="str">
        <x:v>丹构模板</x:v>
      </x:c>
      <x:c r="L3" s="80" t="str">
        <x:v>主行</x:v>
      </x:c>
      <x:c r="M3" s="80" t="str">
        <x:v>辅行</x:v>
      </x:c>
      <x:c r="N3" s="80" t="str">
        <x:v>性向</x:v>
      </x:c>
      <x:c r="O3" s="80" t="str">
        <x:v>主味</x:v>
      </x:c>
      <x:c r="P3" s="80" t="str">
        <x:v>君药职能</x:v>
      </x:c>
      <x:c r="Q3" s="80" t="str">
        <x:v>臣药职能</x:v>
      </x:c>
      <x:c r="R3" s="80" t="str">
        <x:v>佐药职能</x:v>
      </x:c>
      <x:c r="S3" s="80" t="str">
        <x:v>使药职能</x:v>
      </x:c>
      <x:c r="T3" s="80" t="str">
        <x:v>一句话丹效</x:v>
      </x:c>
      <x:c r="U3" s="80" t="str">
        <x:v>整合/排出方式</x:v>
      </x:c>
      <x:c r="V3" s="80" t="str">
        <x:v>丹毒特征</x:v>
      </x:c>
      <x:c r="W3" s="80" t="str">
        <x:v>排异触发</x:v>
      </x:c>
      <x:c r="X3" s="80" t="str">
        <x:v>耐药组</x:v>
      </x:c>
      <x:c r="Y3" s="80" t="str">
        <x:v>永久递减</x:v>
      </x:c>
      <x:c r="Z3" s="80" t="str">
        <x:v>典型失败反馈</x:v>
      </x:c>
      <x:c r="AA3" s="80" t="str">
        <x:v>玩家提示</x:v>
      </x:c>
      <x:c r="AB3" s="80" t="str">
        <x:v>设定状态</x:v>
      </x:c>
      <x:c r="AC3" s="80" t="str">
        <x:v>字段完整度</x:v>
      </x:c>
      <x:c r="AD3" s="81" t="str">
        <x:v>分类校验</x:v>
      </x:c>
    </x:row>
    <x:row r="4" ht="88" customHeight="1">
      <x:c r="A4" s="48" t="str">
        <x:v>PILL0101</x:v>
      </x:c>
      <x:c r="B4" s="48" t="str">
        <x:v>纳气丹</x:v>
      </x:c>
      <x:c r="C4" s="48" t="str">
        <x:v>占位名</x:v>
      </x:c>
      <x:c r="D4" s="48" t="str">
        <x:v>养</x:v>
      </x:c>
      <x:c r="E4" s="48" t="str">
        <x:v>修为精进</x:v>
      </x:c>
      <x:c r="F4" s="48" t="str">
        <x:v>炼气修为线</x:v>
      </x:c>
      <x:c r="G4" s="48" t="str">
        <x:v>炼气</x:v>
      </x:c>
      <x:c r="H4" s="48" t="str">
        <x:v>灵根—经脉—丹田接口</x:v>
      </x:c>
      <x:c r="I4" s="48" t="str">
        <x:v>供给＋导流＋稳固</x:v>
      </x:c>
      <x:c r="J4" s="48" t="str">
        <x:v>短时整合</x:v>
      </x:c>
      <x:c r="K4" s="48" t="str">
        <x:v>吸引—留存—固化单环</x:v>
      </x:c>
      <x:c r="L4" s="48" t="str">
        <x:v>土</x:v>
      </x:c>
      <x:c r="M4" s="48" t="str">
        <x:v>木、水、金</x:v>
      </x:c>
      <x:c r="N4" s="48" t="str">
        <x:v>平</x:v>
      </x:c>
      <x:c r="O4" s="48" t="str">
        <x:v>甘</x:v>
      </x:c>
      <x:c r="P4" s="48" t="str">
        <x:v>提供可被初始接口识别的有序灵气片段</x:v>
      </x:c>
      <x:c r="Q4" s="48" t="str">
        <x:v>增强导入与接续</x:v>
      </x:c>
      <x:c r="R4" s="48" t="str">
        <x:v>控峰并吸附散片</x:v>
      </x:c>
      <x:c r="S4" s="48" t="str">
        <x:v>引向丹田运行回路</x:v>
      </x:c>
      <x:c r="T4" s="48" t="str">
        <x:v>帮助初修者把外来灵气纳入自身循环</x:v>
      </x:c>
      <x:c r="U4" s="48" t="str">
        <x:v>调息动作结束后整合入结构</x:v>
      </x:c>
      <x:c r="V4" s="48" t="str">
        <x:v>高频服用会累积；取决于完整度与品质</x:v>
      </x:c>
      <x:c r="W4" s="48" t="str">
        <x:v>境界过低或行谱严重错配</x:v>
      </x:c>
      <x:c r="X4" s="48" t="str">
        <x:v>接口×供给稳固×短时</x:v>
      </x:c>
      <x:c r="Y4" s="48" t="str">
        <x:v>无</x:v>
      </x:c>
      <x:c r="Z4" s="48" t="str">
        <x:v>火候失衡导致药力锁死或散逸</x:v>
      </x:c>
      <x:c r="AA4" s="48" t="str">
        <x:v>显示预计修为、吸收率与丹毒增量</x:v>
      </x:c>
      <x:c r="AB4" s="48" t="str">
        <x:v>结构冻结·丹名占位</x:v>
      </x:c>
      <x:c r="AC4" s="58" t="str">
        <x:f>IF(COUNTA(A4:AB4)=28,"完整","缺字段")</x:f>
        <x:v>完整</x:v>
      </x:c>
      <x:c r="AD4" s="58" t="str">
        <x:f>IF(COUNTIF('02_子类规格'!$C$4:$C$37,F4)&gt;0,"通过","检查")</x:f>
        <x:v>通过</x:v>
      </x:c>
    </x:row>
    <x:row r="5" ht="88" customHeight="1">
      <x:c r="A5" s="49" t="str">
        <x:v>PILL0102</x:v>
      </x:c>
      <x:c r="B5" s="49" t="str">
        <x:v>凝基丹</x:v>
      </x:c>
      <x:c r="C5" s="49" t="str">
        <x:v>占位名</x:v>
      </x:c>
      <x:c r="D5" s="49" t="str">
        <x:v>养</x:v>
      </x:c>
      <x:c r="E5" s="49" t="str">
        <x:v>修为精进</x:v>
      </x:c>
      <x:c r="F5" s="49" t="str">
        <x:v>筑基修为线</x:v>
      </x:c>
      <x:c r="G5" s="49" t="str">
        <x:v>筑基</x:v>
      </x:c>
      <x:c r="H5" s="49" t="str">
        <x:v>闭环道基</x:v>
      </x:c>
      <x:c r="I5" s="49" t="str">
        <x:v>供给＋导流＋稳固</x:v>
      </x:c>
      <x:c r="J5" s="49" t="str">
        <x:v>短时整合</x:v>
      </x:c>
      <x:c r="K5" s="49" t="str">
        <x:v>闭环扩容片段</x:v>
      </x:c>
      <x:c r="L5" s="49" t="str">
        <x:v>土</x:v>
      </x:c>
      <x:c r="M5" s="49" t="str">
        <x:v>木、金、水</x:v>
      </x:c>
      <x:c r="N5" s="49" t="str">
        <x:v>平偏温</x:v>
      </x:c>
      <x:c r="O5" s="49" t="str">
        <x:v>甘</x:v>
      </x:c>
      <x:c r="P5" s="49" t="str">
        <x:v>提供可嵌入闭环的承载片段</x:v>
      </x:c>
      <x:c r="Q5" s="49" t="str">
        <x:v>增强闭环续接</x:v>
      </x:c>
      <x:c r="R5" s="49" t="str">
        <x:v>限制外溢与杂片</x:v>
      </x:c>
      <x:c r="S5" s="49" t="str">
        <x:v>归入道基核心</x:v>
      </x:c>
      <x:c r="T5" s="49" t="str">
        <x:v>稳步扩充筑基闭环而不触发破境</x:v>
      </x:c>
      <x:c r="U5" s="49" t="str">
        <x:v>调息后转正为道基增量</x:v>
      </x:c>
      <x:c r="V5" s="49" t="str">
        <x:v>闭环接缝处可能残留</x:v>
      </x:c>
      <x:c r="W5" s="49" t="str">
        <x:v>道基形态或主行不合</x:v>
      </x:c>
      <x:c r="X5" s="49" t="str">
        <x:v>道基×供给稳固×短时</x:v>
      </x:c>
      <x:c r="Y5" s="49" t="str">
        <x:v>无</x:v>
      </x:c>
      <x:c r="Z5" s="49" t="str">
        <x:v>片段堆积造成局部堵塞</x:v>
      </x:c>
      <x:c r="AA5" s="49" t="str">
        <x:v>标明不是破境丹</x:v>
      </x:c>
      <x:c r="AB5" s="49" t="str">
        <x:v>结构冻结·丹名占位</x:v>
      </x:c>
      <x:c r="AC5" s="59" t="str">
        <x:f>IF(COUNTA(A5:AB5)=28,"完整","缺字段")</x:f>
        <x:v>完整</x:v>
      </x:c>
      <x:c r="AD5" s="59" t="str">
        <x:f>IF(COUNTIF('02_子类规格'!$C$4:$C$37,F5)&gt;0,"通过","检查")</x:f>
        <x:v>通过</x:v>
      </x:c>
    </x:row>
    <x:row r="6" ht="88" customHeight="1">
      <x:c r="A6" s="49" t="str">
        <x:v>PILL0103</x:v>
      </x:c>
      <x:c r="B6" s="49" t="str">
        <x:v>铸元丹</x:v>
      </x:c>
      <x:c r="C6" s="49" t="str">
        <x:v>占位名</x:v>
      </x:c>
      <x:c r="D6" s="49" t="str">
        <x:v>养</x:v>
      </x:c>
      <x:c r="E6" s="49" t="str">
        <x:v>修为精进</x:v>
      </x:c>
      <x:c r="F6" s="49" t="str">
        <x:v>金丹修为线</x:v>
      </x:c>
      <x:c r="G6" s="49" t="str">
        <x:v>金丹</x:v>
      </x:c>
      <x:c r="H6" s="49" t="str">
        <x:v>丹核与外循环</x:v>
      </x:c>
      <x:c r="I6" s="49" t="str">
        <x:v>供给＋导流＋稳固</x:v>
      </x:c>
      <x:c r="J6" s="49" t="str">
        <x:v>短时整合</x:v>
      </x:c>
      <x:c r="K6" s="49" t="str">
        <x:v>可压缩核材片段</x:v>
      </x:c>
      <x:c r="L6" s="49" t="str">
        <x:v>金</x:v>
      </x:c>
      <x:c r="M6" s="49" t="str">
        <x:v>土、火、水</x:v>
      </x:c>
      <x:c r="N6" s="49" t="str">
        <x:v>温</x:v>
      </x:c>
      <x:c r="O6" s="49" t="str">
        <x:v>辛甘</x:v>
      </x:c>
      <x:c r="P6" s="49" t="str">
        <x:v>提供丹核可接受的有序核材</x:v>
      </x:c>
      <x:c r="Q6" s="49" t="str">
        <x:v>促进压缩转化</x:v>
      </x:c>
      <x:c r="R6" s="49" t="str">
        <x:v>控制核压与碎片</x:v>
      </x:c>
      <x:c r="S6" s="49" t="str">
        <x:v>定向丹核外层</x:v>
      </x:c>
      <x:c r="T6" s="49" t="str">
        <x:v>增加丹核密度与稳定余量</x:v>
      </x:c>
      <x:c r="U6" s="49" t="str">
        <x:v>调息后压入丹核外层</x:v>
      </x:c>
      <x:c r="V6" s="49" t="str">
        <x:v>核压不均会增残留</x:v>
      </x:c>
      <x:c r="W6" s="49" t="str">
        <x:v>丹核结构或功法错配</x:v>
      </x:c>
      <x:c r="X6" s="49" t="str">
        <x:v>丹核×供给稳固×短时</x:v>
      </x:c>
      <x:c r="Y6" s="49" t="str">
        <x:v>无</x:v>
      </x:c>
      <x:c r="Z6" s="49" t="str">
        <x:v>核压偏斜引发反冲</x:v>
      </x:c>
      <x:c r="AA6" s="49" t="str">
        <x:v>显示丹核适配</x:v>
      </x:c>
      <x:c r="AB6" s="49" t="str">
        <x:v>结构冻结·丹名占位</x:v>
      </x:c>
      <x:c r="AC6" s="59" t="str">
        <x:f>IF(COUNTA(A6:AB6)=28,"完整","缺字段")</x:f>
        <x:v>完整</x:v>
      </x:c>
      <x:c r="AD6" s="59" t="str">
        <x:f>IF(COUNTIF('02_子类规格'!$C$4:$C$37,F6)&gt;0,"通过","检查")</x:f>
        <x:v>通过</x:v>
      </x:c>
    </x:row>
    <x:row r="7" ht="88" customHeight="1">
      <x:c r="A7" s="49" t="str">
        <x:v>PILL0104</x:v>
      </x:c>
      <x:c r="B7" s="49" t="str">
        <x:v>养婴丹</x:v>
      </x:c>
      <x:c r="C7" s="49" t="str">
        <x:v>占位名</x:v>
      </x:c>
      <x:c r="D7" s="49" t="str">
        <x:v>养</x:v>
      </x:c>
      <x:c r="E7" s="49" t="str">
        <x:v>修为精进</x:v>
      </x:c>
      <x:c r="F7" s="49" t="str">
        <x:v>元婴修为线</x:v>
      </x:c>
      <x:c r="G7" s="49" t="str">
        <x:v>元婴</x:v>
      </x:c>
      <x:c r="H7" s="49" t="str">
        <x:v>元婴—肉身双中心</x:v>
      </x:c>
      <x:c r="I7" s="49" t="str">
        <x:v>供给＋导流＋稳固</x:v>
      </x:c>
      <x:c r="J7" s="49" t="str">
        <x:v>短时整合</x:v>
      </x:c>
      <x:c r="K7" s="49" t="str">
        <x:v>双中心同步环</x:v>
      </x:c>
      <x:c r="L7" s="49" t="str">
        <x:v>水</x:v>
      </x:c>
      <x:c r="M7" s="49" t="str">
        <x:v>木、土、金</x:v>
      </x:c>
      <x:c r="N7" s="49" t="str">
        <x:v>平</x:v>
      </x:c>
      <x:c r="O7" s="49" t="str">
        <x:v>甘咸</x:v>
      </x:c>
      <x:c r="P7" s="49" t="str">
        <x:v>向元婴与肉身提供同步结构食物</x:v>
      </x:c>
      <x:c r="Q7" s="49" t="str">
        <x:v>维持双中心同拍</x:v>
      </x:c>
      <x:c r="R7" s="49" t="str">
        <x:v>降噪并控冲突</x:v>
      </x:c>
      <x:c r="S7" s="49" t="str">
        <x:v>引导两中心均衡分配</x:v>
      </x:c>
      <x:c r="T7" s="49" t="str">
        <x:v>同步滋养元婴与肉身</x:v>
      </x:c>
      <x:c r="U7" s="49" t="str">
        <x:v>短时调息后两侧共同整合</x:v>
      </x:c>
      <x:c r="V7" s="49" t="str">
        <x:v>双中心失步会留下神魂疲劳</x:v>
      </x:c>
      <x:c r="W7" s="49" t="str">
        <x:v>元婴道路或魂身节律不合</x:v>
      </x:c>
      <x:c r="X7" s="49" t="str">
        <x:v>魂身双中心×供给稳固×短时</x:v>
      </x:c>
      <x:c r="Y7" s="49" t="str">
        <x:v>无</x:v>
      </x:c>
      <x:c r="Z7" s="49" t="str">
        <x:v>只养一侧导致失衡</x:v>
      </x:c>
      <x:c r="AA7" s="49" t="str">
        <x:v>显示双中心耦合率</x:v>
      </x:c>
      <x:c r="AB7" s="49" t="str">
        <x:v>结构冻结·丹名占位</x:v>
      </x:c>
      <x:c r="AC7" s="59" t="str">
        <x:f>IF(COUNTA(A7:AB7)=28,"完整","缺字段")</x:f>
        <x:v>完整</x:v>
      </x:c>
      <x:c r="AD7" s="59" t="str">
        <x:f>IF(COUNTIF('02_子类规格'!$C$4:$C$37,F7)&gt;0,"通过","检查")</x:f>
        <x:v>通过</x:v>
      </x:c>
    </x:row>
    <x:row r="8" ht="88" customHeight="1">
      <x:c r="A8" s="49" t="str">
        <x:v>PILL0105</x:v>
      </x:c>
      <x:c r="B8" s="49" t="str">
        <x:v>合神丹</x:v>
      </x:c>
      <x:c r="C8" s="49" t="str">
        <x:v>占位名</x:v>
      </x:c>
      <x:c r="D8" s="49" t="str">
        <x:v>养</x:v>
      </x:c>
      <x:c r="E8" s="49" t="str">
        <x:v>修为精进</x:v>
      </x:c>
      <x:c r="F8" s="49" t="str">
        <x:v>化神修为线</x:v>
      </x:c>
      <x:c r="G8" s="49" t="str">
        <x:v>化神</x:v>
      </x:c>
      <x:c r="H8" s="49" t="str">
        <x:v>神魂道路与全身循环</x:v>
      </x:c>
      <x:c r="I8" s="49" t="str">
        <x:v>供给＋导流＋稳固</x:v>
      </x:c>
      <x:c r="J8" s="49" t="str">
        <x:v>短时/持续</x:v>
      </x:c>
      <x:c r="K8" s="49" t="str">
        <x:v>道路识别整合环</x:v>
      </x:c>
      <x:c r="L8" s="49" t="str">
        <x:v>木</x:v>
      </x:c>
      <x:c r="M8" s="49" t="str">
        <x:v>金、土、水</x:v>
      </x:c>
      <x:c r="N8" s="49" t="str">
        <x:v>平</x:v>
      </x:c>
      <x:c r="O8" s="49" t="str">
        <x:v>酸甘</x:v>
      </x:c>
      <x:c r="P8" s="49" t="str">
        <x:v>提供与道路可兼容的结构片段</x:v>
      </x:c>
      <x:c r="Q8" s="49" t="str">
        <x:v>帮助神魂道路接入</x:v>
      </x:c>
      <x:c r="R8" s="49" t="str">
        <x:v>剔除与道相冲片段</x:v>
      </x:c>
      <x:c r="S8" s="49" t="str">
        <x:v>导向道路主循环</x:v>
      </x:c>
      <x:c r="T8" s="49" t="str">
        <x:v>按道路偏好增加化神修为</x:v>
      </x:c>
      <x:c r="U8" s="49" t="str">
        <x:v>常规方动作后结算；定制方可持续</x:v>
      </x:c>
      <x:c r="V8" s="49" t="str">
        <x:v>错道片段残留较重</x:v>
      </x:c>
      <x:c r="W8" s="49" t="str">
        <x:v>道路标签不合</x:v>
      </x:c>
      <x:c r="X8" s="49" t="str">
        <x:v>道路×供给稳固×短/持续</x:v>
      </x:c>
      <x:c r="Y8" s="49" t="str">
        <x:v>无</x:v>
      </x:c>
      <x:c r="Z8" s="49" t="str">
        <x:v>外来结构压过自身道路</x:v>
      </x:c>
      <x:c r="AA8" s="49" t="str">
        <x:v>显示道路适配而非只显示境界</x:v>
      </x:c>
      <x:c r="AB8" s="49" t="str">
        <x:v>结构冻结·丹名占位</x:v>
      </x:c>
      <x:c r="AC8" s="59" t="str">
        <x:f>IF(COUNTA(A8:AB8)=28,"完整","缺字段")</x:f>
        <x:v>完整</x:v>
      </x:c>
      <x:c r="AD8" s="59" t="str">
        <x:f>IF(COUNTIF('02_子类规格'!$C$4:$C$37,F8)&gt;0,"通过","检查")</x:f>
        <x:v>通过</x:v>
      </x:c>
    </x:row>
    <x:row r="9" ht="88" customHeight="1">
      <x:c r="A9" s="49" t="str">
        <x:v>PILL0106</x:v>
      </x:c>
      <x:c r="B9" s="49" t="str">
        <x:v>返虚丹</x:v>
      </x:c>
      <x:c r="C9" s="49" t="str">
        <x:v>占位名</x:v>
      </x:c>
      <x:c r="D9" s="49" t="str">
        <x:v>养</x:v>
      </x:c>
      <x:c r="E9" s="49" t="str">
        <x:v>修为精进</x:v>
      </x:c>
      <x:c r="F9" s="49" t="str">
        <x:v>炼虚修为线</x:v>
      </x:c>
      <x:c r="G9" s="49" t="str">
        <x:v>炼虚</x:v>
      </x:c>
      <x:c r="H9" s="49" t="str">
        <x:v>虚实转换结构</x:v>
      </x:c>
      <x:c r="I9" s="49" t="str">
        <x:v>供给＋导流＋稳固</x:v>
      </x:c>
      <x:c r="J9" s="49" t="str">
        <x:v>持续整合</x:v>
      </x:c>
      <x:c r="K9" s="49" t="str">
        <x:v>相位锚定片段组</x:v>
      </x:c>
      <x:c r="L9" s="49" t="str">
        <x:v>水</x:v>
      </x:c>
      <x:c r="M9" s="49" t="str">
        <x:v>金、土、木</x:v>
      </x:c>
      <x:c r="N9" s="49" t="str">
        <x:v>凉平</x:v>
      </x:c>
      <x:c r="O9" s="49" t="str">
        <x:v>咸甘</x:v>
      </x:c>
      <x:c r="P9" s="49" t="str">
        <x:v>提供可跨虚实的个人化片段</x:v>
      </x:c>
      <x:c r="Q9" s="49" t="str">
        <x:v>维持相位迁移</x:v>
      </x:c>
      <x:c r="R9" s="49" t="str">
        <x:v>限定相位边界并清除错位片段</x:v>
      </x:c>
      <x:c r="S9" s="49" t="str">
        <x:v>归入个人锚点</x:v>
      </x:c>
      <x:c r="T9" s="49" t="str">
        <x:v>补充炼虚阶段的相位结构余量</x:v>
      </x:c>
      <x:c r="U9" s="49" t="str">
        <x:v>闭关或持续调息整合</x:v>
      </x:c>
      <x:c r="V9" s="49" t="str">
        <x:v>通用方残留显著增加</x:v>
      </x:c>
      <x:c r="W9" s="49" t="str">
        <x:v>个人相位锚点不合</x:v>
      </x:c>
      <x:c r="X9" s="49" t="str">
        <x:v>相位结构×供给稳固×持续</x:v>
      </x:c>
      <x:c r="Y9" s="49" t="str">
        <x:v>无</x:v>
      </x:c>
      <x:c r="Z9" s="49" t="str">
        <x:v>相位脱节或局部虚化</x:v>
      </x:c>
      <x:c r="AA9" s="49" t="str">
        <x:v>提示定制为主、通用衰减</x:v>
      </x:c>
      <x:c r="AB9" s="49" t="str">
        <x:v>结构冻结·丹名占位</x:v>
      </x:c>
      <x:c r="AC9" s="59" t="str">
        <x:f>IF(COUNTA(A9:AB9)=28,"完整","缺字段")</x:f>
        <x:v>完整</x:v>
      </x:c>
      <x:c r="AD9" s="59" t="str">
        <x:f>IF(COUNTIF('02_子类规格'!$C$4:$C$37,F9)&gt;0,"通过","检查")</x:f>
        <x:v>通过</x:v>
      </x:c>
    </x:row>
    <x:row r="10" ht="88" customHeight="1">
      <x:c r="A10" s="49" t="str">
        <x:v>PILL0107</x:v>
      </x:c>
      <x:c r="B10" s="49" t="str">
        <x:v>合真丹</x:v>
      </x:c>
      <x:c r="C10" s="49" t="str">
        <x:v>占位名</x:v>
      </x:c>
      <x:c r="D10" s="49" t="str">
        <x:v>养</x:v>
      </x:c>
      <x:c r="E10" s="49" t="str">
        <x:v>修为精进</x:v>
      </x:c>
      <x:c r="F10" s="49" t="str">
        <x:v>合体修为线</x:v>
      </x:c>
      <x:c r="G10" s="49" t="str">
        <x:v>合体</x:v>
      </x:c>
      <x:c r="H10" s="49" t="str">
        <x:v>魂身道整体</x:v>
      </x:c>
      <x:c r="I10" s="49" t="str">
        <x:v>供给＋导流＋稳固</x:v>
      </x:c>
      <x:c r="J10" s="49" t="str">
        <x:v>持续整合</x:v>
      </x:c>
      <x:c r="K10" s="49" t="str">
        <x:v>全身协同结构组</x:v>
      </x:c>
      <x:c r="L10" s="49" t="str">
        <x:v>土</x:v>
      </x:c>
      <x:c r="M10" s="49" t="str">
        <x:v>木、金、水、火</x:v>
      </x:c>
      <x:c r="N10" s="49" t="str">
        <x:v>平</x:v>
      </x:c>
      <x:c r="O10" s="49" t="str">
        <x:v>甘</x:v>
      </x:c>
      <x:c r="P10" s="49" t="str">
        <x:v>提供整体协同所需结构片段</x:v>
      </x:c>
      <x:c r="Q10" s="49" t="str">
        <x:v>强化多层同步</x:v>
      </x:c>
      <x:c r="R10" s="49" t="str">
        <x:v>限制局部过强并吸收冲突</x:v>
      </x:c>
      <x:c r="S10" s="49" t="str">
        <x:v>导向个人主循环</x:v>
      </x:c>
      <x:c r="T10" s="49" t="str">
        <x:v>提高魂身道三者整体协同密度</x:v>
      </x:c>
      <x:c r="U10" s="49" t="str">
        <x:v>持续整合并逐层转正</x:v>
      </x:c>
      <x:c r="V10" s="49" t="str">
        <x:v>任何局部不合都会留下高残留</x:v>
      </x:c>
      <x:c r="W10" s="49" t="str">
        <x:v>个人道路与整体结构不合</x:v>
      </x:c>
      <x:c r="X10" s="49" t="str">
        <x:v>整体协同×供给稳固×持续</x:v>
      </x:c>
      <x:c r="Y10" s="49" t="str">
        <x:v>无</x:v>
      </x:c>
      <x:c r="Z10" s="49" t="str">
        <x:v>局部收益破坏整体平衡</x:v>
      </x:c>
      <x:c r="AA10" s="49" t="str">
        <x:v>显示整体耦合率</x:v>
      </x:c>
      <x:c r="AB10" s="49" t="str">
        <x:v>结构冻结·丹名占位</x:v>
      </x:c>
      <x:c r="AC10" s="59" t="str">
        <x:f>IF(COUNTA(A10:AB10)=28,"完整","缺字段")</x:f>
        <x:v>完整</x:v>
      </x:c>
      <x:c r="AD10" s="59" t="str">
        <x:f>IF(COUNTIF('02_子类规格'!$C$4:$C$37,F10)&gt;0,"通过","检查")</x:f>
        <x:v>通过</x:v>
      </x:c>
    </x:row>
    <x:row r="11" ht="88" customHeight="1">
      <x:c r="A11" s="49" t="str">
        <x:v>PILL0108</x:v>
      </x:c>
      <x:c r="B11" s="49" t="str">
        <x:v>乘天丹</x:v>
      </x:c>
      <x:c r="C11" s="49" t="str">
        <x:v>占位名</x:v>
      </x:c>
      <x:c r="D11" s="49" t="str">
        <x:v>养</x:v>
      </x:c>
      <x:c r="E11" s="49" t="str">
        <x:v>修为精进</x:v>
      </x:c>
      <x:c r="F11" s="49" t="str">
        <x:v>大乘修为线</x:v>
      </x:c>
      <x:c r="G11" s="49" t="str">
        <x:v>大乘</x:v>
      </x:c>
      <x:c r="H11" s="49" t="str">
        <x:v>自锚结构</x:v>
      </x:c>
      <x:c r="I11" s="49" t="str">
        <x:v>供给＋导流＋稳固</x:v>
      </x:c>
      <x:c r="J11" s="49" t="str">
        <x:v>持续整合</x:v>
      </x:c>
      <x:c r="K11" s="49" t="str">
        <x:v>个体自锚补强构</x:v>
      </x:c>
      <x:c r="L11" s="49" t="str">
        <x:v>金</x:v>
      </x:c>
      <x:c r="M11" s="49" t="str">
        <x:v>土、木、水、火</x:v>
      </x:c>
      <x:c r="N11" s="49" t="str">
        <x:v>平</x:v>
      </x:c>
      <x:c r="O11" s="49" t="str">
        <x:v>辛甘</x:v>
      </x:c>
      <x:c r="P11" s="49" t="str">
        <x:v>提供不夺主权的自锚补强片段</x:v>
      </x:c>
      <x:c r="Q11" s="49" t="str">
        <x:v>补齐个人自稳职责</x:v>
      </x:c>
      <x:c r="R11" s="49" t="str">
        <x:v>限制外援格式反客为主</x:v>
      </x:c>
      <x:c r="S11" s="49" t="str">
        <x:v>归入自锚薄弱处</x:v>
      </x:c>
      <x:c r="T11" s="49" t="str">
        <x:v>增加面对天地回压时的自锚余量</x:v>
      </x:c>
      <x:c r="U11" s="49" t="str">
        <x:v>长时整合并由本人裁定是否转正</x:v>
      </x:c>
      <x:c r="V11" s="49" t="str">
        <x:v>外援格式越强残留越危险</x:v>
      </x:c>
      <x:c r="W11" s="49" t="str">
        <x:v>与个人自锚逻辑冲突</x:v>
      </x:c>
      <x:c r="X11" s="49" t="str">
        <x:v>自锚×供给稳固×持续</x:v>
      </x:c>
      <x:c r="Y11" s="49" t="str">
        <x:v>无</x:v>
      </x:c>
      <x:c r="Z11" s="49" t="str">
        <x:v>丹构反客为主造成自我结构冲突</x:v>
      </x:c>
      <x:c r="AA11" s="49" t="str">
        <x:v>提示稀有个人丹构</x:v>
      </x:c>
      <x:c r="AB11" s="49" t="str">
        <x:v>结构冻结·丹名占位</x:v>
      </x:c>
      <x:c r="AC11" s="59" t="str">
        <x:f>IF(COUNTA(A11:AB11)=28,"完整","缺字段")</x:f>
        <x:v>完整</x:v>
      </x:c>
      <x:c r="AD11" s="59" t="str">
        <x:f>IF(COUNTIF('02_子类规格'!$C$4:$C$37,F11)&gt;0,"通过","检查")</x:f>
        <x:v>通过</x:v>
      </x:c>
    </x:row>
    <x:row r="12" ht="88" customHeight="1">
      <x:c r="A12" s="49" t="str">
        <x:v>PILL0201</x:v>
      </x:c>
      <x:c r="B12" s="49" t="str">
        <x:v>回灵丹</x:v>
      </x:c>
      <x:c r="C12" s="49" t="str">
        <x:v>占位名</x:v>
      </x:c>
      <x:c r="D12" s="49" t="str">
        <x:v>养</x:v>
      </x:c>
      <x:c r="E12" s="49" t="str">
        <x:v>灵力恢复</x:v>
      </x:c>
      <x:c r="F12" s="49" t="str">
        <x:v>瞬时回灵</x:v>
      </x:c>
      <x:c r="G12" s="49" t="str">
        <x:v>对应境界</x:v>
      </x:c>
      <x:c r="H12" s="49" t="str">
        <x:v>可调用灵力与经脉</x:v>
      </x:c>
      <x:c r="I12" s="49" t="str">
        <x:v>供给＋导流</x:v>
      </x:c>
      <x:c r="J12" s="49" t="str">
        <x:v>瞬时</x:v>
      </x:c>
      <x:c r="K12" s="49" t="str">
        <x:v>快速解封缓冲环</x:v>
      </x:c>
      <x:c r="L12" s="49" t="str">
        <x:v>水、火</x:v>
      </x:c>
      <x:c r="M12" s="49" t="str">
        <x:v>土、金</x:v>
      </x:c>
      <x:c r="N12" s="49" t="str">
        <x:v>平偏温</x:v>
      </x:c>
      <x:c r="O12" s="49" t="str">
        <x:v>辛甘</x:v>
      </x:c>
      <x:c r="P12" s="49" t="str">
        <x:v>携带可快速释放的格式化灵气</x:v>
      </x:c>
      <x:c r="Q12" s="49" t="str">
        <x:v>加速导流与转化</x:v>
      </x:c>
      <x:c r="R12" s="49" t="str">
        <x:v>缓冲灌注并限制峰值</x:v>
      </x:c>
      <x:c r="S12" s="49" t="str">
        <x:v>导向当前灵力循环</x:v>
      </x:c>
      <x:c r="T12" s="49" t="str">
        <x:v>立即恢复一段可调用灵力</x:v>
      </x:c>
      <x:c r="U12" s="49" t="str">
        <x:v>用后耗散，不转正为修为</x:v>
      </x:c>
      <x:c r="V12" s="49" t="str">
        <x:v>快速释放带来残片与冲击</x:v>
      </x:c>
      <x:c r="W12" s="49" t="str">
        <x:v>境界过低、经脉承载不足或行谱错配</x:v>
      </x:c>
      <x:c r="X12" s="49" t="str">
        <x:v>灵力×供给导流×瞬时</x:v>
      </x:c>
      <x:c r="Y12" s="49" t="str">
        <x:v>无</x:v>
      </x:c>
      <x:c r="Z12" s="49" t="str">
        <x:v>封束过松提前散失；过紧变死丹</x:v>
      </x:c>
      <x:c r="AA12" s="49" t="str">
        <x:v>显示恢复量、过载风险、当前耐药</x:v>
      </x:c>
      <x:c r="AB12" s="49" t="str">
        <x:v>结构冻结·丹名占位</x:v>
      </x:c>
      <x:c r="AC12" s="59" t="str">
        <x:f>IF(COUNTA(A12:AB12)=28,"完整","缺字段")</x:f>
        <x:v>完整</x:v>
      </x:c>
      <x:c r="AD12" s="59" t="str">
        <x:f>IF(COUNTIF('02_子类规格'!$C$4:$C$37,F12)&gt;0,"通过","检查")</x:f>
        <x:v>通过</x:v>
      </x:c>
    </x:row>
    <x:row r="13" ht="88" customHeight="1">
      <x:c r="A13" s="49" t="str">
        <x:v>PILL0202</x:v>
      </x:c>
      <x:c r="B13" s="49" t="str">
        <x:v>续灵丹</x:v>
      </x:c>
      <x:c r="C13" s="49" t="str">
        <x:v>占位名</x:v>
      </x:c>
      <x:c r="D13" s="49" t="str">
        <x:v>养</x:v>
      </x:c>
      <x:c r="E13" s="49" t="str">
        <x:v>灵力恢复</x:v>
      </x:c>
      <x:c r="F13" s="49" t="str">
        <x:v>持续回灵</x:v>
      </x:c>
      <x:c r="G13" s="49" t="str">
        <x:v>对应境界</x:v>
      </x:c>
      <x:c r="H13" s="49" t="str">
        <x:v>丹田余量与稳定循环</x:v>
      </x:c>
      <x:c r="I13" s="49" t="str">
        <x:v>供给＋导流</x:v>
      </x:c>
      <x:c r="J13" s="49" t="str">
        <x:v>持续</x:v>
      </x:c>
      <x:c r="K13" s="49" t="str">
        <x:v>缓释稳流环</x:v>
      </x:c>
      <x:c r="L13" s="49" t="str">
        <x:v>水</x:v>
      </x:c>
      <x:c r="M13" s="49" t="str">
        <x:v>土、火、金</x:v>
      </x:c>
      <x:c r="N13" s="49" t="str">
        <x:v>平</x:v>
      </x:c>
      <x:c r="O13" s="49" t="str">
        <x:v>甘咸</x:v>
      </x:c>
      <x:c r="P13" s="49" t="str">
        <x:v>提供缓释灵气储备</x:v>
      </x:c>
      <x:c r="Q13" s="49" t="str">
        <x:v>维持持续导流</x:v>
      </x:c>
      <x:c r="R13" s="49" t="str">
        <x:v>抑制流速波动</x:v>
      </x:c>
      <x:c r="S13" s="49" t="str">
        <x:v>归入丹田补给回路</x:v>
      </x:c>
      <x:c r="T13" s="49" t="str">
        <x:v>在一段时间内持续恢复灵力</x:v>
      </x:c>
      <x:c r="U13" s="49" t="str">
        <x:v>按时耗散，结束后排出载体</x:v>
      </x:c>
      <x:c r="V13" s="49" t="str">
        <x:v>长时间使用会形成同路耐药</x:v>
      </x:c>
      <x:c r="W13" s="49" t="str">
        <x:v>持续回路与功法节律冲突</x:v>
      </x:c>
      <x:c r="X13" s="49" t="str">
        <x:v>灵力×供给导流×持续</x:v>
      </x:c>
      <x:c r="Y13" s="49" t="str">
        <x:v>无</x:v>
      </x:c>
      <x:c r="Z13" s="49" t="str">
        <x:v>流速过快拥堵，过慢收益不足</x:v>
      </x:c>
      <x:c r="AA13" s="49" t="str">
        <x:v>显示每息恢复、持续时间</x:v>
      </x:c>
      <x:c r="AB13" s="49" t="str">
        <x:v>结构冻结·丹名占位</x:v>
      </x:c>
      <x:c r="AC13" s="59" t="str">
        <x:f>IF(COUNTA(A13:AB13)=28,"完整","缺字段")</x:f>
        <x:v>完整</x:v>
      </x:c>
      <x:c r="AD13" s="59" t="str">
        <x:f>IF(COUNTIF('02_子类规格'!$C$4:$C$37,F13)&gt;0,"通过","检查")</x:f>
        <x:v>通过</x:v>
      </x:c>
    </x:row>
    <x:row r="14" ht="88" customHeight="1">
      <x:c r="A14" s="49" t="str">
        <x:v>PILL0301</x:v>
      </x:c>
      <x:c r="B14" s="49" t="str">
        <x:v>破关丹</x:v>
      </x:c>
      <x:c r="C14" s="49" t="str">
        <x:v>占位名</x:v>
      </x:c>
      <x:c r="D14" s="49" t="str">
        <x:v>改</x:v>
      </x:c>
      <x:c r="E14" s="49" t="str">
        <x:v>破境重构</x:v>
      </x:c>
      <x:c r="F14" s="49" t="str">
        <x:v>破境补位</x:v>
      </x:c>
      <x:c r="G14" s="49" t="str">
        <x:v>目标大境界边界</x:v>
      </x:c>
      <x:c r="H14" s="49" t="str">
        <x:v>下一境缺失职责</x:v>
      </x:c>
      <x:c r="I14" s="49" t="str">
        <x:v>重构＋暂借＋稳固</x:v>
      </x:c>
      <x:c r="J14" s="49" t="str">
        <x:v>一次性</x:v>
      </x:c>
      <x:c r="K14" s="49" t="str">
        <x:v>五行职责补位支架</x:v>
      </x:c>
      <x:c r="L14" s="49" t="str">
        <x:v>按缺口决定</x:v>
      </x:c>
      <x:c r="M14" s="49" t="str">
        <x:v>其余职责闭合</x:v>
      </x:c>
      <x:c r="N14" s="49" t="str">
        <x:v>依丹方而定</x:v>
      </x:c>
      <x:c r="O14" s="49" t="str">
        <x:v>依归经而定</x:v>
      </x:c>
      <x:c r="P14" s="49" t="str">
        <x:v>携带下一境关键结构蓝图</x:v>
      </x:c>
      <x:c r="Q14" s="49" t="str">
        <x:v>补足主要缺失职责</x:v>
      </x:c>
      <x:c r="R14" s="49" t="str">
        <x:v>限制重构冲击并收残</x:v>
      </x:c>
      <x:c r="S14" s="49" t="str">
        <x:v>引向突破核心部位</x:v>
      </x:c>
      <x:c r="T14" s="49" t="str">
        <x:v>在突破窗口临时补位并等待本人转正</x:v>
      </x:c>
      <x:c r="U14" s="49" t="str">
        <x:v>成功则转正/耗散，失败则损耗且不退</x:v>
      </x:c>
      <x:c r="V14" s="49" t="str">
        <x:v>失败会产生高残留与结构伤</x:v>
      </x:c>
      <x:c r="W14" s="49" t="str">
        <x:v>缺口诊断错误、境界/道路错配</x:v>
      </x:c>
      <x:c r="X14" s="49" t="str">
        <x:v>突破结构×重构暂借×一次性</x:v>
      </x:c>
      <x:c r="Y14" s="49" t="str">
        <x:v>无</x:v>
      </x:c>
      <x:c r="Z14" s="49" t="str">
        <x:v>支架未转正、结构撕裂、假突破</x:v>
      </x:c>
      <x:c r="AA14" s="49" t="str">
        <x:v>提示每次尝试至多一颗且不保证成功</x:v>
      </x:c>
      <x:c r="AB14" s="49" t="str">
        <x:v>结构冻结·丹名占位</x:v>
      </x:c>
      <x:c r="AC14" s="59" t="str">
        <x:f>IF(COUNTA(A14:AB14)=28,"完整","缺字段")</x:f>
        <x:v>完整</x:v>
      </x:c>
      <x:c r="AD14" s="59" t="str">
        <x:f>IF(COUNTIF('02_子类规格'!$C$4:$C$37,F14)&gt;0,"通过","检查")</x:f>
        <x:v>通过</x:v>
      </x:c>
    </x:row>
    <x:row r="15" ht="88" customHeight="1">
      <x:c r="A15" s="49" t="str">
        <x:v>PILL0302</x:v>
      </x:c>
      <x:c r="B15" s="49" t="str">
        <x:v>定元丹</x:v>
      </x:c>
      <x:c r="C15" s="49" t="str">
        <x:v>占位名</x:v>
      </x:c>
      <x:c r="D15" s="49" t="str">
        <x:v>改</x:v>
      </x:c>
      <x:c r="E15" s="49" t="str">
        <x:v>破境重构</x:v>
      </x:c>
      <x:c r="F15" s="49" t="str">
        <x:v>稳境护脉</x:v>
      </x:c>
      <x:c r="G15" s="49" t="str">
        <x:v>突破中后</x:v>
      </x:c>
      <x:c r="H15" s="49" t="str">
        <x:v>经脉丹田与新结构边界</x:v>
      </x:c>
      <x:c r="I15" s="49" t="str">
        <x:v>稳固＋修复</x:v>
      </x:c>
      <x:c r="J15" s="49" t="str">
        <x:v>突破窗口</x:v>
      </x:c>
      <x:c r="K15" s="49" t="str">
        <x:v>承压收边网</x:v>
      </x:c>
      <x:c r="L15" s="49" t="str">
        <x:v>土、金</x:v>
      </x:c>
      <x:c r="M15" s="49" t="str">
        <x:v>木、水</x:v>
      </x:c>
      <x:c r="N15" s="49" t="str">
        <x:v>平偏凉</x:v>
      </x:c>
      <x:c r="O15" s="49" t="str">
        <x:v>甘辛</x:v>
      </x:c>
      <x:c r="P15" s="49" t="str">
        <x:v>建立临时承压与边界网</x:v>
      </x:c>
      <x:c r="Q15" s="49" t="str">
        <x:v>修补突破裂隙</x:v>
      </x:c>
      <x:c r="R15" s="49" t="str">
        <x:v>限制假稳固与过度收缩</x:v>
      </x:c>
      <x:c r="S15" s="49" t="str">
        <x:v>定向新旧结构接缝</x:v>
      </x:c>
      <x:c r="T15" s="49" t="str">
        <x:v>降低突破重构对经脉丹田的损伤</x:v>
      </x:c>
      <x:c r="U15" s="49" t="str">
        <x:v>药效结束后网架解耦排出</x:v>
      </x:c>
      <x:c r="V15" s="49" t="str">
        <x:v>解除不完全会形成僵化残留</x:v>
      </x:c>
      <x:c r="W15" s="49" t="str">
        <x:v>与主破境丹或新结构边界冲突</x:v>
      </x:c>
      <x:c r="X15" s="49" t="str">
        <x:v>突破承压×稳固修复×短时</x:v>
      </x:c>
      <x:c r="Y15" s="49" t="str">
        <x:v>无</x:v>
      </x:c>
      <x:c r="Z15" s="49" t="str">
        <x:v>把错误结构一起固化</x:v>
      </x:c>
      <x:c r="AA15" s="49" t="str">
        <x:v>显示保护对象与不兼容主丹</x:v>
      </x:c>
      <x:c r="AB15" s="49" t="str">
        <x:v>结构冻结·丹名占位</x:v>
      </x:c>
      <x:c r="AC15" s="59" t="str">
        <x:f>IF(COUNTA(A15:AB15)=28,"完整","缺字段")</x:f>
        <x:v>完整</x:v>
      </x:c>
      <x:c r="AD15" s="59" t="str">
        <x:f>IF(COUNTIF('02_子类规格'!$C$4:$C$37,F15)&gt;0,"通过","检查")</x:f>
        <x:v>通过</x:v>
      </x:c>
    </x:row>
    <x:row r="16" ht="88" customHeight="1">
      <x:c r="A16" s="49" t="str">
        <x:v>PILL0303</x:v>
      </x:c>
      <x:c r="B16" s="49" t="str">
        <x:v>护劫丹</x:v>
      </x:c>
      <x:c r="C16" s="49" t="str">
        <x:v>占位名</x:v>
      </x:c>
      <x:c r="D16" s="49" t="str">
        <x:v>改</x:v>
      </x:c>
      <x:c r="E16" s="49" t="str">
        <x:v>破境重构</x:v>
      </x:c>
      <x:c r="F16" s="49" t="str">
        <x:v>护劫辅助</x:v>
      </x:c>
      <x:c r="G16" s="49" t="str">
        <x:v>渡劫境界</x:v>
      </x:c>
      <x:c r="H16" s="49" t="str">
        <x:v>肉身神魂与外界冲击接口</x:v>
      </x:c>
      <x:c r="I16" s="49" t="str">
        <x:v>稳固＋暂借＋导流</x:v>
      </x:c>
      <x:c r="J16" s="49" t="str">
        <x:v>短时</x:v>
      </x:c>
      <x:c r="K16" s="49" t="str">
        <x:v>分流承压阵列</x:v>
      </x:c>
      <x:c r="L16" s="49" t="str">
        <x:v>金、土</x:v>
      </x:c>
      <x:c r="M16" s="49" t="str">
        <x:v>水、木</x:v>
      </x:c>
      <x:c r="N16" s="49" t="str">
        <x:v>凉平</x:v>
      </x:c>
      <x:c r="O16" s="49" t="str">
        <x:v>辛咸</x:v>
      </x:c>
      <x:c r="P16" s="49" t="str">
        <x:v>划定内外冲击边界</x:v>
      </x:c>
      <x:c r="Q16" s="49" t="str">
        <x:v>分流天地冲击</x:v>
      </x:c>
      <x:c r="R16" s="49" t="str">
        <x:v>缓冲并修复微裂</x:v>
      </x:c>
      <x:c r="S16" s="49" t="str">
        <x:v>导向可承载回路</x:v>
      </x:c>
      <x:c r="T16" s="49" t="str">
        <x:v>分担一类天劫冲击但不取消天地回压</x:v>
      </x:c>
      <x:c r="U16" s="49" t="str">
        <x:v>结束后解除阵列并承担回落</x:v>
      </x:c>
      <x:c r="V16" s="49" t="str">
        <x:v>高压展开残留偏高</x:v>
      </x:c>
      <x:c r="W16" s="49" t="str">
        <x:v>劫型、境界或承压路径不合</x:v>
      </x:c>
      <x:c r="X16" s="49" t="str">
        <x:v>渡劫承压×暂借稳固×短时</x:v>
      </x:c>
      <x:c r="Y16" s="49" t="str">
        <x:v>无</x:v>
      </x:c>
      <x:c r="Z16" s="49" t="str">
        <x:v>阵列崩裂造成二次冲击</x:v>
      </x:c>
      <x:c r="AA16" s="49" t="str">
        <x:v>提示只辅助、不判定渡劫成功</x:v>
      </x:c>
      <x:c r="AB16" s="49" t="str">
        <x:v>结构冻结·丹名占位</x:v>
      </x:c>
      <x:c r="AC16" s="59" t="str">
        <x:f>IF(COUNTA(A16:AB16)=28,"完整","缺字段")</x:f>
        <x:v>完整</x:v>
      </x:c>
      <x:c r="AD16" s="59" t="str">
        <x:f>IF(COUNTIF('02_子类规格'!$C$4:$C$37,F16)&gt;0,"通过","检查")</x:f>
        <x:v>通过</x:v>
      </x:c>
    </x:row>
    <x:row r="17" ht="88" customHeight="1">
      <x:c r="A17" s="49" t="str">
        <x:v>PILL0401</x:v>
      </x:c>
      <x:c r="B17" s="49" t="str">
        <x:v>生肌丹</x:v>
      </x:c>
      <x:c r="C17" s="49" t="str">
        <x:v>占位名</x:v>
      </x:c>
      <x:c r="D17" s="49" t="str">
        <x:v>养</x:v>
      </x:c>
      <x:c r="E17" s="49" t="str">
        <x:v>疗伤复元</x:v>
      </x:c>
      <x:c r="F17" s="49" t="str">
        <x:v>血肉复元</x:v>
      </x:c>
      <x:c r="G17" s="49" t="str">
        <x:v>通用/挂境界轴</x:v>
      </x:c>
      <x:c r="H17" s="49" t="str">
        <x:v>血肉结构</x:v>
      </x:c>
      <x:c r="I17" s="49" t="str">
        <x:v>修复＋导流＋稳固</x:v>
      </x:c>
      <x:c r="J17" s="49" t="str">
        <x:v>即时＋恢复期</x:v>
      </x:c>
      <x:c r="K17" s="49" t="str">
        <x:v>健康模板修补网</x:v>
      </x:c>
      <x:c r="L17" s="49" t="str">
        <x:v>木</x:v>
      </x:c>
      <x:c r="M17" s="49" t="str">
        <x:v>金、土、水</x:v>
      </x:c>
      <x:c r="N17" s="49" t="str">
        <x:v>温平</x:v>
      </x:c>
      <x:c r="O17" s="49" t="str">
        <x:v>酸甘</x:v>
      </x:c>
      <x:c r="P17" s="49" t="str">
        <x:v>提供正确生长模板</x:v>
      </x:c>
      <x:c r="Q17" s="49" t="str">
        <x:v>加速续接与供养</x:v>
      </x:c>
      <x:c r="R17" s="49" t="str">
        <x:v>限制过度生长和异物封入</x:v>
      </x:c>
      <x:c r="S17" s="49" t="str">
        <x:v>定向伤口层级</x:v>
      </x:c>
      <x:c r="T17" s="49" t="str">
        <x:v>止损、续接并促进血肉复元</x:v>
      </x:c>
      <x:c r="U17" s="49" t="str">
        <x:v>修复完成后耗散，多余载体排出</x:v>
      </x:c>
      <x:c r="V17" s="49" t="str">
        <x:v>丹毒不天然低，取决于方构完整度</x:v>
      </x:c>
      <x:c r="W17" s="49" t="str">
        <x:v>伤型识别错误或体质不合</x:v>
      </x:c>
      <x:c r="X17" s="49" t="str">
        <x:v>血肉×修复稳固×恢复期</x:v>
      </x:c>
      <x:c r="Y17" s="49" t="str">
        <x:v>无</x:v>
      </x:c>
      <x:c r="Z17" s="49" t="str">
        <x:v>过生、错接、把异物封入</x:v>
      </x:c>
      <x:c r="AA17" s="49" t="str">
        <x:v>显示适用伤型与禁忌</x:v>
      </x:c>
      <x:c r="AB17" s="49" t="str">
        <x:v>结构冻结·丹名占位</x:v>
      </x:c>
      <x:c r="AC17" s="59" t="str">
        <x:f>IF(COUNTA(A17:AB17)=28,"完整","缺字段")</x:f>
        <x:v>完整</x:v>
      </x:c>
      <x:c r="AD17" s="59" t="str">
        <x:f>IF(COUNTIF('02_子类规格'!$C$4:$C$37,F17)&gt;0,"通过","检查")</x:f>
        <x:v>通过</x:v>
      </x:c>
    </x:row>
    <x:row r="18" ht="88" customHeight="1">
      <x:c r="A18" s="49" t="str">
        <x:v>PILL0402</x:v>
      </x:c>
      <x:c r="B18" s="49" t="str">
        <x:v>复脉丹</x:v>
      </x:c>
      <x:c r="C18" s="49" t="str">
        <x:v>占位名</x:v>
      </x:c>
      <x:c r="D18" s="49" t="str">
        <x:v>养</x:v>
      </x:c>
      <x:c r="E18" s="49" t="str">
        <x:v>疗伤复元</x:v>
      </x:c>
      <x:c r="F18" s="49" t="str">
        <x:v>经脉丹田复元</x:v>
      </x:c>
      <x:c r="G18" s="49" t="str">
        <x:v>对应境界</x:v>
      </x:c>
      <x:c r="H18" s="49" t="str">
        <x:v>经脉与丹田</x:v>
      </x:c>
      <x:c r="I18" s="49" t="str">
        <x:v>修复＋导流＋稳固</x:v>
      </x:c>
      <x:c r="J18" s="49" t="str">
        <x:v>恢复期</x:v>
      </x:c>
      <x:c r="K18" s="49" t="str">
        <x:v>断路重接与容器补壁网</x:v>
      </x:c>
      <x:c r="L18" s="49" t="str">
        <x:v>木、水</x:v>
      </x:c>
      <x:c r="M18" s="49" t="str">
        <x:v>金、土</x:v>
      </x:c>
      <x:c r="N18" s="49" t="str">
        <x:v>平</x:v>
      </x:c>
      <x:c r="O18" s="49" t="str">
        <x:v>酸咸甘</x:v>
      </x:c>
      <x:c r="P18" s="49" t="str">
        <x:v>提供经脉/丹田健康模板</x:v>
      </x:c>
      <x:c r="Q18" s="49" t="str">
        <x:v>恢复通路与灵力输送</x:v>
      </x:c>
      <x:c r="R18" s="49" t="str">
        <x:v>限定边界并吸收修复碎片</x:v>
      </x:c>
      <x:c r="S18" s="49" t="str">
        <x:v>归入受损回路</x:v>
      </x:c>
      <x:c r="T18" s="49" t="str">
        <x:v>修复经脉断裂或丹田损伤</x:v>
      </x:c>
      <x:c r="U18" s="49" t="str">
        <x:v>恢复期内逐段转正</x:v>
      </x:c>
      <x:c r="V18" s="49" t="str">
        <x:v>修复接缝可能沉积</x:v>
      </x:c>
      <x:c r="W18" s="49" t="str">
        <x:v>部位、境界或功法回路不合</x:v>
      </x:c>
      <x:c r="X18" s="49" t="str">
        <x:v>经脉丹田×修复导流×恢复期</x:v>
      </x:c>
      <x:c r="Y18" s="49" t="str">
        <x:v>无</x:v>
      </x:c>
      <x:c r="Z18" s="49" t="str">
        <x:v>通而不固或封堵错误</x:v>
      </x:c>
      <x:c r="AA18" s="49" t="str">
        <x:v>提示不是回灵丹</x:v>
      </x:c>
      <x:c r="AB18" s="49" t="str">
        <x:v>结构冻结·丹名占位</x:v>
      </x:c>
      <x:c r="AC18" s="59" t="str">
        <x:f>IF(COUNTA(A18:AB18)=28,"完整","缺字段")</x:f>
        <x:v>完整</x:v>
      </x:c>
      <x:c r="AD18" s="59" t="str">
        <x:f>IF(COUNTIF('02_子类规格'!$C$4:$C$37,F18)&gt;0,"通过","检查")</x:f>
        <x:v>通过</x:v>
      </x:c>
    </x:row>
    <x:row r="19" ht="88" customHeight="1">
      <x:c r="A19" s="49" t="str">
        <x:v>PILL0403</x:v>
      </x:c>
      <x:c r="B19" s="49" t="str">
        <x:v>安魂丹</x:v>
      </x:c>
      <x:c r="C19" s="49" t="str">
        <x:v>占位名</x:v>
      </x:c>
      <x:c r="D19" s="49" t="str">
        <x:v>养</x:v>
      </x:c>
      <x:c r="E19" s="49" t="str">
        <x:v>疗伤复元</x:v>
      </x:c>
      <x:c r="F19" s="49" t="str">
        <x:v>神魂复元</x:v>
      </x:c>
      <x:c r="G19" s="49" t="str">
        <x:v>对应神魂层级</x:v>
      </x:c>
      <x:c r="H19" s="49" t="str">
        <x:v>神识与神魂结构</x:v>
      </x:c>
      <x:c r="I19" s="49" t="str">
        <x:v>修复＋稳固</x:v>
      </x:c>
      <x:c r="J19" s="49" t="str">
        <x:v>恢复期</x:v>
      </x:c>
      <x:c r="K19" s="49" t="str">
        <x:v>降噪续裂安定环</x:v>
      </x:c>
      <x:c r="L19" s="49" t="str">
        <x:v>金、土</x:v>
      </x:c>
      <x:c r="M19" s="49" t="str">
        <x:v>木、水</x:v>
      </x:c>
      <x:c r="N19" s="49" t="str">
        <x:v>凉平</x:v>
      </x:c>
      <x:c r="O19" s="49" t="str">
        <x:v>苦甘</x:v>
      </x:c>
      <x:c r="P19" s="49" t="str">
        <x:v>识别神魂裂隙与噪声</x:v>
      </x:c>
      <x:c r="Q19" s="49" t="str">
        <x:v>续接受损神识路径</x:v>
      </x:c>
      <x:c r="R19" s="49" t="str">
        <x:v>抑制错接与刺激</x:v>
      </x:c>
      <x:c r="S19" s="49" t="str">
        <x:v>引向神魂受损层</x:v>
      </x:c>
      <x:c r="T19" s="49" t="str">
        <x:v>修补神魂裂隙并降低噪声</x:v>
      </x:c>
      <x:c r="U19" s="49" t="str">
        <x:v>安静环境中逐步整合</x:v>
      </x:c>
      <x:c r="V19" s="49" t="str">
        <x:v>错接残片难排且后果重</x:v>
      </x:c>
      <x:c r="W19" s="49" t="str">
        <x:v>记忆、认同或道路模板不合</x:v>
      </x:c>
      <x:c r="X19" s="49" t="str">
        <x:v>神魂×修复稳固×恢复期</x:v>
      </x:c>
      <x:c r="Y19" s="49" t="str">
        <x:v>无</x:v>
      </x:c>
      <x:c r="Z19" s="49" t="str">
        <x:v>记忆错接、认同扰动、精神排异</x:v>
      </x:c>
      <x:c r="AA19" s="49" t="str">
        <x:v>提示不能直接给悟性和道心答案</x:v>
      </x:c>
      <x:c r="AB19" s="49" t="str">
        <x:v>结构冻结·丹名占位</x:v>
      </x:c>
      <x:c r="AC19" s="59" t="str">
        <x:f>IF(COUNTA(A19:AB19)=28,"完整","缺字段")</x:f>
        <x:v>完整</x:v>
      </x:c>
      <x:c r="AD19" s="59" t="str">
        <x:f>IF(COUNTIF('02_子类规格'!$C$4:$C$37,F19)&gt;0,"通过","检查")</x:f>
        <x:v>通过</x:v>
      </x:c>
    </x:row>
    <x:row r="20" ht="88" customHeight="1">
      <x:c r="A20" s="49" t="str">
        <x:v>PILL0404</x:v>
      </x:c>
      <x:c r="B20" s="49" t="str">
        <x:v>复元丹</x:v>
      </x:c>
      <x:c r="C20" s="49" t="str">
        <x:v>占位名</x:v>
      </x:c>
      <x:c r="D20" s="49" t="str">
        <x:v>养</x:v>
      </x:c>
      <x:c r="E20" s="49" t="str">
        <x:v>疗伤复元</x:v>
      </x:c>
      <x:c r="F20" s="49" t="str">
        <x:v>虚弱复元</x:v>
      </x:c>
      <x:c r="G20" s="49" t="str">
        <x:v>通用/挂境界轴</x:v>
      </x:c>
      <x:c r="H20" s="49" t="str">
        <x:v>全身低负荷失衡</x:v>
      </x:c>
      <x:c r="I20" s="49" t="str">
        <x:v>供给＋修复＋稳固</x:v>
      </x:c>
      <x:c r="J20" s="49" t="str">
        <x:v>短中期</x:v>
      </x:c>
      <x:c r="K20" s="49" t="str">
        <x:v>整体低负荷复原环</x:v>
      </x:c>
      <x:c r="L20" s="49" t="str">
        <x:v>土</x:v>
      </x:c>
      <x:c r="M20" s="49" t="str">
        <x:v>水、木、金</x:v>
      </x:c>
      <x:c r="N20" s="49" t="str">
        <x:v>平温</x:v>
      </x:c>
      <x:c r="O20" s="49" t="str">
        <x:v>甘</x:v>
      </x:c>
      <x:c r="P20" s="49" t="str">
        <x:v>提供整体恢复底物</x:v>
      </x:c>
      <x:c r="Q20" s="49" t="str">
        <x:v>恢复周流与小损伤</x:v>
      </x:c>
      <x:c r="R20" s="49" t="str">
        <x:v>避免遮蔽重伤</x:v>
      </x:c>
      <x:c r="S20" s="49" t="str">
        <x:v>引向全身基础循环</x:v>
      </x:c>
      <x:c r="T20" s="49" t="str">
        <x:v>恢复战后或术后整体运行能力</x:v>
      </x:c>
      <x:c r="U20" s="49" t="str">
        <x:v>逐步耗散并恢复基础稳态</x:v>
      </x:c>
      <x:c r="V20" s="49" t="str">
        <x:v>频用仍会累积丹毒</x:v>
      </x:c>
      <x:c r="W20" s="49" t="str">
        <x:v>存在未处理主伤或体质错配</x:v>
      </x:c>
      <x:c r="X20" s="49" t="str">
        <x:v>全身基础×供给修复×中期</x:v>
      </x:c>
      <x:c r="Y20" s="49" t="str">
        <x:v>无</x:v>
      </x:c>
      <x:c r="Z20" s="49" t="str">
        <x:v>表面恢复掩盖重伤</x:v>
      </x:c>
      <x:c r="AA20" s="49" t="str">
        <x:v>提示有主伤时先治主伤</x:v>
      </x:c>
      <x:c r="AB20" s="49" t="str">
        <x:v>结构冻结·丹名占位</x:v>
      </x:c>
      <x:c r="AC20" s="59" t="str">
        <x:f>IF(COUNTA(A20:AB20)=28,"完整","缺字段")</x:f>
        <x:v>完整</x:v>
      </x:c>
      <x:c r="AD20" s="59" t="str">
        <x:f>IF(COUNTIF('02_子类规格'!$C$4:$C$37,F20)&gt;0,"通过","检查")</x:f>
        <x:v>通过</x:v>
      </x:c>
    </x:row>
    <x:row r="21" ht="88" customHeight="1">
      <x:c r="A21" s="49" t="str">
        <x:v>PILL0501</x:v>
      </x:c>
      <x:c r="B21" s="49" t="str">
        <x:v>解毒丹</x:v>
      </x:c>
      <x:c r="C21" s="49" t="str">
        <x:v>占位名</x:v>
      </x:c>
      <x:c r="D21" s="49" t="str">
        <x:v>清</x:v>
      </x:c>
      <x:c r="E21" s="49" t="str">
        <x:v>清解排异</x:v>
      </x:c>
      <x:c r="F21" s="49" t="str">
        <x:v>外毒清解</x:v>
      </x:c>
      <x:c r="G21" s="49" t="str">
        <x:v>依毒种与境界</x:v>
      </x:c>
      <x:c r="H21" s="49" t="str">
        <x:v>外来毒性结构</x:v>
      </x:c>
      <x:c r="I21" s="49" t="str">
        <x:v>净化＋导流＋修复</x:v>
      </x:c>
      <x:c r="J21" s="49" t="str">
        <x:v>清除期</x:v>
      </x:c>
      <x:c r="K21" s="49" t="str">
        <x:v>识别—分离—包裹—排出链</x:v>
      </x:c>
      <x:c r="L21" s="49" t="str">
        <x:v>金、水</x:v>
      </x:c>
      <x:c r="M21" s="49" t="str">
        <x:v>土、木</x:v>
      </x:c>
      <x:c r="N21" s="49" t="str">
        <x:v>凉寒</x:v>
      </x:c>
      <x:c r="O21" s="49" t="str">
        <x:v>苦咸</x:v>
      </x:c>
      <x:c r="P21" s="49" t="str">
        <x:v>识别指定毒性结构</x:v>
      </x:c>
      <x:c r="Q21" s="49" t="str">
        <x:v>渗透并搬运毒物</x:v>
      </x:c>
      <x:c r="R21" s="49" t="str">
        <x:v>包裹毒片并修补微损</x:v>
      </x:c>
      <x:c r="S21" s="49" t="str">
        <x:v>导向排毒路径</x:v>
      </x:c>
      <x:c r="T21" s="49" t="str">
        <x:v>清除匹配毒种并减少毒伤</x:v>
      </x:c>
      <x:c r="U21" s="49" t="str">
        <x:v>毒片排出，修复部分转正</x:v>
      </x:c>
      <x:c r="V21" s="49" t="str">
        <x:v>自身也有残留，必须净下降</x:v>
      </x:c>
      <x:c r="W21" s="49" t="str">
        <x:v>毒种识别错误或正邪边界不清</x:v>
      </x:c>
      <x:c r="X21" s="49" t="str">
        <x:v>外毒×净化导流×清除期</x:v>
      </x:c>
      <x:c r="Y21" s="49" t="str">
        <x:v>无</x:v>
      </x:c>
      <x:c r="Z21" s="49" t="str">
        <x:v>过泻伤正或清而不出</x:v>
      </x:c>
      <x:c r="AA21" s="49" t="str">
        <x:v>显示匹配毒种和净清除量</x:v>
      </x:c>
      <x:c r="AB21" s="49" t="str">
        <x:v>结构冻结·丹名占位</x:v>
      </x:c>
      <x:c r="AC21" s="59" t="str">
        <x:f>IF(COUNTA(A21:AB21)=28,"完整","缺字段")</x:f>
        <x:v>完整</x:v>
      </x:c>
      <x:c r="AD21" s="59" t="str">
        <x:f>IF(COUNTIF('02_子类规格'!$C$4:$C$37,F21)&gt;0,"通过","检查")</x:f>
        <x:v>通过</x:v>
      </x:c>
    </x:row>
    <x:row r="22" ht="88" customHeight="1">
      <x:c r="A22" s="49" t="str">
        <x:v>PILL0502</x:v>
      </x:c>
      <x:c r="B22" s="49" t="str">
        <x:v>清障丹</x:v>
      </x:c>
      <x:c r="C22" s="49" t="str">
        <x:v>占位名</x:v>
      </x:c>
      <x:c r="D22" s="49" t="str">
        <x:v>清</x:v>
      </x:c>
      <x:c r="E22" s="49" t="str">
        <x:v>清解排异</x:v>
      </x:c>
      <x:c r="F22" s="49" t="str">
        <x:v>丹毒净化</x:v>
      </x:c>
      <x:c r="G22" s="49" t="str">
        <x:v>对应境界</x:v>
      </x:c>
      <x:c r="H22" s="49" t="str">
        <x:v>丹毒沉积</x:v>
      </x:c>
      <x:c r="I22" s="49" t="str">
        <x:v>净化＋导流＋修复</x:v>
      </x:c>
      <x:c r="J22" s="49" t="str">
        <x:v>清除期</x:v>
      </x:c>
      <x:c r="K22" s="49" t="str">
        <x:v>残片扫描搬运环</x:v>
      </x:c>
      <x:c r="L22" s="49" t="str">
        <x:v>金、水</x:v>
      </x:c>
      <x:c r="M22" s="49" t="str">
        <x:v>土、木</x:v>
      </x:c>
      <x:c r="N22" s="49" t="str">
        <x:v>凉</x:v>
      </x:c>
      <x:c r="O22" s="49" t="str">
        <x:v>苦咸甘</x:v>
      </x:c>
      <x:c r="P22" s="49" t="str">
        <x:v>区分正常结构与丹毒残片</x:v>
      </x:c>
      <x:c r="Q22" s="49" t="str">
        <x:v>把残片从缝隙搬出</x:v>
      </x:c>
      <x:c r="R22" s="49" t="str">
        <x:v>包裹残片并修补刮伤</x:v>
      </x:c>
      <x:c r="S22" s="49" t="str">
        <x:v>导向汗液、尿液或吐纳路径</x:v>
      </x:c>
      <x:c r="T22" s="49" t="str">
        <x:v>使全局丹毒净下降</x:v>
      </x:c>
      <x:c r="U22" s="49" t="str">
        <x:v>残片排出；修补部分转正</x:v>
      </x:c>
      <x:c r="V22" s="49" t="str">
        <x:v>自身新增必须小于清除量</x:v>
      </x:c>
      <x:c r="W22" s="49" t="str">
        <x:v>识别模板、境界或沉积类型不合</x:v>
      </x:c>
      <x:c r="X22" s="49" t="str">
        <x:v>丹毒×净化导流×清除期</x:v>
      </x:c>
      <x:c r="Y22" s="49" t="str">
        <x:v>无</x:v>
      </x:c>
      <x:c r="Z22" s="49" t="str">
        <x:v>越清越毒、好结构被误清</x:v>
      </x:c>
      <x:c r="AA22" s="49" t="str">
        <x:v>显示净下降量；明确不洗耐药</x:v>
      </x:c>
      <x:c r="AB22" s="49" t="str">
        <x:v>结构冻结·丹名占位</x:v>
      </x:c>
      <x:c r="AC22" s="59" t="str">
        <x:f>IF(COUNTA(A22:AB22)=28,"完整","缺字段")</x:f>
        <x:v>完整</x:v>
      </x:c>
      <x:c r="AD22" s="59" t="str">
        <x:f>IF(COUNTIF('02_子类规格'!$C$4:$C$37,F22)&gt;0,"通过","检查")</x:f>
        <x:v>通过</x:v>
      </x:c>
    </x:row>
    <x:row r="23" ht="88" customHeight="1">
      <x:c r="A23" s="49" t="str">
        <x:v>PILL0503</x:v>
      </x:c>
      <x:c r="B23" s="49" t="str">
        <x:v>镇魔丹</x:v>
      </x:c>
      <x:c r="C23" s="49" t="str">
        <x:v>占位名</x:v>
      </x:c>
      <x:c r="D23" s="49" t="str">
        <x:v>清</x:v>
      </x:c>
      <x:c r="E23" s="49" t="str">
        <x:v>清解排异</x:v>
      </x:c>
      <x:c r="F23" s="49" t="str">
        <x:v>魔染与异种灵气</x:v>
      </x:c>
      <x:c r="G23" s="49" t="str">
        <x:v>对应境界/魔染层级</x:v>
      </x:c>
      <x:c r="H23" s="49" t="str">
        <x:v>被改写或侵入的回路</x:v>
      </x:c>
      <x:c r="I23" s="49" t="str">
        <x:v>净化＋导流＋修复</x:v>
      </x:c>
      <x:c r="J23" s="49" t="str">
        <x:v>清除期</x:v>
      </x:c>
      <x:c r="K23" s="49" t="str">
        <x:v>异谱隔离复接网</x:v>
      </x:c>
      <x:c r="L23" s="49" t="str">
        <x:v>金</x:v>
      </x:c>
      <x:c r="M23" s="49" t="str">
        <x:v>水、土、木</x:v>
      </x:c>
      <x:c r="N23" s="49" t="str">
        <x:v>凉寒</x:v>
      </x:c>
      <x:c r="O23" s="49" t="str">
        <x:v>苦辛</x:v>
      </x:c>
      <x:c r="P23" s="49" t="str">
        <x:v>识别异质行谱与被侵边界</x:v>
      </x:c>
      <x:c r="Q23" s="49" t="str">
        <x:v>分流并搬运异气</x:v>
      </x:c>
      <x:c r="R23" s="49" t="str">
        <x:v>封隔扩散并控制伤正</x:v>
      </x:c>
      <x:c r="S23" s="49" t="str">
        <x:v>引向可排出路径</x:v>
      </x:c>
      <x:c r="T23" s="49" t="str">
        <x:v>隔离魔染/异气并恢复原有读取</x:v>
      </x:c>
      <x:c r="U23" s="49" t="str">
        <x:v>异气排出，原回路逐步复接</x:v>
      </x:c>
      <x:c r="V23" s="49" t="str">
        <x:v>识别复杂，残留风险高</x:v>
      </x:c>
      <x:c r="W23" s="49" t="str">
        <x:v>把自身道路误判为异物</x:v>
      </x:c>
      <x:c r="X23" s="49" t="str">
        <x:v>异谱×净化修复×清除期</x:v>
      </x:c>
      <x:c r="Y23" s="49" t="str">
        <x:v>无</x:v>
      </x:c>
      <x:c r="Z23" s="49" t="str">
        <x:v>人格/道路被误清或异气扩散</x:v>
      </x:c>
      <x:c r="AA23" s="49" t="str">
        <x:v>提示不能抹去道心与选择后果</x:v>
      </x:c>
      <x:c r="AB23" s="49" t="str">
        <x:v>结构冻结·丹名占位</x:v>
      </x:c>
      <x:c r="AC23" s="59" t="str">
        <x:f>IF(COUNTA(A23:AB23)=28,"完整","缺字段")</x:f>
        <x:v>完整</x:v>
      </x:c>
      <x:c r="AD23" s="59" t="str">
        <x:f>IF(COUNTIF('02_子类规格'!$C$4:$C$37,F23)&gt;0,"通过","检查")</x:f>
        <x:v>通过</x:v>
      </x:c>
    </x:row>
    <x:row r="24" ht="88" customHeight="1">
      <x:c r="A24" s="49" t="str">
        <x:v>PILL0601</x:v>
      </x:c>
      <x:c r="B24" s="49" t="str">
        <x:v>淬体丹</x:v>
      </x:c>
      <x:c r="C24" s="49" t="str">
        <x:v>占位名</x:v>
      </x:c>
      <x:c r="D24" s="49" t="str">
        <x:v>改</x:v>
      </x:c>
      <x:c r="E24" s="49" t="str">
        <x:v>锻体养基</x:v>
      </x:c>
      <x:c r="F24" s="49" t="str">
        <x:v>淬体</x:v>
      </x:c>
      <x:c r="G24" s="49" t="str">
        <x:v>对应境界</x:v>
      </x:c>
      <x:c r="H24" s="49" t="str">
        <x:v>血肉承载结构</x:v>
      </x:c>
      <x:c r="I24" s="49" t="str">
        <x:v>修复＋稳固＋缓慢重构</x:v>
      </x:c>
      <x:c r="J24" s="49" t="str">
        <x:v>长期</x:v>
      </x:c>
      <x:c r="K24" s="49" t="str">
        <x:v>渐进承压重塑网</x:v>
      </x:c>
      <x:c r="L24" s="49" t="str">
        <x:v>土、木</x:v>
      </x:c>
      <x:c r="M24" s="49" t="str">
        <x:v>金、水、火</x:v>
      </x:c>
      <x:c r="N24" s="49" t="str">
        <x:v>温平</x:v>
      </x:c>
      <x:c r="O24" s="49" t="str">
        <x:v>甘辛</x:v>
      </x:c>
      <x:c r="P24" s="49" t="str">
        <x:v>提供可控增生与承压模板</x:v>
      </x:c>
      <x:c r="Q24" s="49" t="str">
        <x:v>持续供养重塑</x:v>
      </x:c>
      <x:c r="R24" s="49" t="str">
        <x:v>限制过生和偏态</x:v>
      </x:c>
      <x:c r="S24" s="49" t="str">
        <x:v>引向目标组织层</x:v>
      </x:c>
      <x:c r="T24" s="49" t="str">
        <x:v>长期提高肉身承压和恢复基线</x:v>
      </x:c>
      <x:c r="U24" s="49" t="str">
        <x:v>多次调息逐步转正</x:v>
      </x:c>
      <x:c r="V24" s="49" t="str">
        <x:v>频用会积毒并逼近结构上限</x:v>
      </x:c>
      <x:c r="W24" s="49" t="str">
        <x:v>体质、境界或目标组织不合</x:v>
      </x:c>
      <x:c r="X24" s="49" t="str">
        <x:v>血肉×缓慢重构×长期</x:v>
      </x:c>
      <x:c r="Y24" s="49" t="str">
        <x:v>可能存在特定改造空间递减</x:v>
      </x:c>
      <x:c r="Z24" s="49" t="str">
        <x:v>永久偏态、超过境界上限</x:v>
      </x:c>
      <x:c r="AA24" s="49" t="str">
        <x:v>显示成长进度与上限</x:v>
      </x:c>
      <x:c r="AB24" s="49" t="str">
        <x:v>结构冻结·丹名占位</x:v>
      </x:c>
      <x:c r="AC24" s="59" t="str">
        <x:f>IF(COUNTA(A24:AB24)=28,"完整","缺字段")</x:f>
        <x:v>完整</x:v>
      </x:c>
      <x:c r="AD24" s="59" t="str">
        <x:f>IF(COUNTIF('02_子类规格'!$C$4:$C$37,F24)&gt;0,"通过","检查")</x:f>
        <x:v>通过</x:v>
      </x:c>
    </x:row>
    <x:row r="25" ht="88" customHeight="1">
      <x:c r="A25" s="49" t="str">
        <x:v>PILL0602</x:v>
      </x:c>
      <x:c r="B25" s="49" t="str">
        <x:v>锻脉丹</x:v>
      </x:c>
      <x:c r="C25" s="49" t="str">
        <x:v>占位名</x:v>
      </x:c>
      <x:c r="D25" s="49" t="str">
        <x:v>改</x:v>
      </x:c>
      <x:c r="E25" s="49" t="str">
        <x:v>锻体养基</x:v>
      </x:c>
      <x:c r="F25" s="49" t="str">
        <x:v>锻脉</x:v>
      </x:c>
      <x:c r="G25" s="49" t="str">
        <x:v>对应境界</x:v>
      </x:c>
      <x:c r="H25" s="49" t="str">
        <x:v>经脉通道</x:v>
      </x:c>
      <x:c r="I25" s="49" t="str">
        <x:v>修复＋稳固＋缓慢重构</x:v>
      </x:c>
      <x:c r="J25" s="49" t="str">
        <x:v>长期</x:v>
      </x:c>
      <x:c r="K25" s="49" t="str">
        <x:v>通道扩展加固环</x:v>
      </x:c>
      <x:c r="L25" s="49" t="str">
        <x:v>木、水</x:v>
      </x:c>
      <x:c r="M25" s="49" t="str">
        <x:v>金、土</x:v>
      </x:c>
      <x:c r="N25" s="49" t="str">
        <x:v>温平</x:v>
      </x:c>
      <x:c r="O25" s="49" t="str">
        <x:v>酸咸甘</x:v>
      </x:c>
      <x:c r="P25" s="49" t="str">
        <x:v>提供经脉扩展模板</x:v>
      </x:c>
      <x:c r="Q25" s="49" t="str">
        <x:v>维持流量与组织生长</x:v>
      </x:c>
      <x:c r="R25" s="49" t="str">
        <x:v>限定脉壁厚度和韧性</x:v>
      </x:c>
      <x:c r="S25" s="49" t="str">
        <x:v>引向主经脉或指定支路</x:v>
      </x:c>
      <x:c r="T25" s="49" t="str">
        <x:v>提升经脉容量、韧性与稳定</x:v>
      </x:c>
      <x:c r="U25" s="49" t="str">
        <x:v>长期调息逐段转正</x:v>
      </x:c>
      <x:c r="V25" s="49" t="str">
        <x:v>扩展接缝会产生残留</x:v>
      </x:c>
      <x:c r="W25" s="49" t="str">
        <x:v>功法流向或经脉结构不合</x:v>
      </x:c>
      <x:c r="X25" s="49" t="str">
        <x:v>经脉×缓慢重构×长期</x:v>
      </x:c>
      <x:c r="Y25" s="49" t="str">
        <x:v>可能存在特定改造空间递减</x:v>
      </x:c>
      <x:c r="Z25" s="49" t="str">
        <x:v>脉宽与韧性失配导致破裂</x:v>
      </x:c>
      <x:c r="AA25" s="49" t="str">
        <x:v>显示承载提升而非当前回灵</x:v>
      </x:c>
      <x:c r="AB25" s="49" t="str">
        <x:v>结构冻结·丹名占位</x:v>
      </x:c>
      <x:c r="AC25" s="59" t="str">
        <x:f>IF(COUNTA(A25:AB25)=28,"完整","缺字段")</x:f>
        <x:v>完整</x:v>
      </x:c>
      <x:c r="AD25" s="59" t="str">
        <x:f>IF(COUNTIF('02_子类规格'!$C$4:$C$37,F25)&gt;0,"通过","检查")</x:f>
        <x:v>通过</x:v>
      </x:c>
    </x:row>
    <x:row r="26" ht="88" customHeight="1">
      <x:c r="A26" s="49" t="str">
        <x:v>PILL0603</x:v>
      </x:c>
      <x:c r="B26" s="49" t="str">
        <x:v>固府丹</x:v>
      </x:c>
      <x:c r="C26" s="49" t="str">
        <x:v>占位名</x:v>
      </x:c>
      <x:c r="D26" s="49" t="str">
        <x:v>改</x:v>
      </x:c>
      <x:c r="E26" s="49" t="str">
        <x:v>锻体养基</x:v>
      </x:c>
      <x:c r="F26" s="49" t="str">
        <x:v>固丹田</x:v>
      </x:c>
      <x:c r="G26" s="49" t="str">
        <x:v>对应境界</x:v>
      </x:c>
      <x:c r="H26" s="49" t="str">
        <x:v>丹田容器</x:v>
      </x:c>
      <x:c r="I26" s="49" t="str">
        <x:v>修复＋稳固＋缓慢重构</x:v>
      </x:c>
      <x:c r="J26" s="49" t="str">
        <x:v>长期</x:v>
      </x:c>
      <x:c r="K26" s="49" t="str">
        <x:v>容器补壁固界构</x:v>
      </x:c>
      <x:c r="L26" s="49" t="str">
        <x:v>土、金</x:v>
      </x:c>
      <x:c r="M26" s="49" t="str">
        <x:v>木、水</x:v>
      </x:c>
      <x:c r="N26" s="49" t="str">
        <x:v>平</x:v>
      </x:c>
      <x:c r="O26" s="49" t="str">
        <x:v>甘辛</x:v>
      </x:c>
      <x:c r="P26" s="49" t="str">
        <x:v>提供容器稳定模板</x:v>
      </x:c>
      <x:c r="Q26" s="49" t="str">
        <x:v>补强薄弱部位</x:v>
      </x:c>
      <x:c r="R26" s="49" t="str">
        <x:v>限制虚涨与错误固化</x:v>
      </x:c>
      <x:c r="S26" s="49" t="str">
        <x:v>归入丹田边界</x:v>
      </x:c>
      <x:c r="T26" s="49" t="str">
        <x:v>提高丹田容量与抗冲击基线</x:v>
      </x:c>
      <x:c r="U26" s="49" t="str">
        <x:v>长期整合并固化</x:v>
      </x:c>
      <x:c r="V26" s="49" t="str">
        <x:v>边界修补残片可能沉积</x:v>
      </x:c>
      <x:c r="W26" s="49" t="str">
        <x:v>境界结构或丹田形态不合</x:v>
      </x:c>
      <x:c r="X26" s="49" t="str">
        <x:v>丹田×稳固重构×长期</x:v>
      </x:c>
      <x:c r="Y26" s="49" t="str">
        <x:v>可能存在特定改造空间递减</x:v>
      </x:c>
      <x:c r="Z26" s="49" t="str">
        <x:v>容量虚涨、错误边界固化</x:v>
      </x:c>
      <x:c r="AA26" s="49" t="str">
        <x:v>提示不是破境丹</x:v>
      </x:c>
      <x:c r="AB26" s="49" t="str">
        <x:v>结构冻结·丹名占位</x:v>
      </x:c>
      <x:c r="AC26" s="59" t="str">
        <x:f>IF(COUNTA(A26:AB26)=28,"完整","缺字段")</x:f>
        <x:v>完整</x:v>
      </x:c>
      <x:c r="AD26" s="59" t="str">
        <x:f>IF(COUNTIF('02_子类规格'!$C$4:$C$37,F26)&gt;0,"通过","检查")</x:f>
        <x:v>通过</x:v>
      </x:c>
    </x:row>
    <x:row r="27" ht="88" customHeight="1">
      <x:c r="A27" s="49" t="str">
        <x:v>PILL0604</x:v>
      </x:c>
      <x:c r="B27" s="49" t="str">
        <x:v>凝神丹</x:v>
      </x:c>
      <x:c r="C27" s="49" t="str">
        <x:v>占位名</x:v>
      </x:c>
      <x:c r="D27" s="49" t="str">
        <x:v>改</x:v>
      </x:c>
      <x:c r="E27" s="49" t="str">
        <x:v>锻体养基</x:v>
      </x:c>
      <x:c r="F27" s="49" t="str">
        <x:v>凝神养魂</x:v>
      </x:c>
      <x:c r="G27" s="49" t="str">
        <x:v>对应神魂层级</x:v>
      </x:c>
      <x:c r="H27" s="49" t="str">
        <x:v>神识与神魂承载</x:v>
      </x:c>
      <x:c r="I27" s="49" t="str">
        <x:v>修复＋稳固＋缓慢重构</x:v>
      </x:c>
      <x:c r="J27" s="49" t="str">
        <x:v>长期</x:v>
      </x:c>
      <x:c r="K27" s="49" t="str">
        <x:v>安定降噪养护环</x:v>
      </x:c>
      <x:c r="L27" s="49" t="str">
        <x:v>土、金</x:v>
      </x:c>
      <x:c r="M27" s="49" t="str">
        <x:v>木、水</x:v>
      </x:c>
      <x:c r="N27" s="49" t="str">
        <x:v>凉平</x:v>
      </x:c>
      <x:c r="O27" s="49" t="str">
        <x:v>苦甘</x:v>
      </x:c>
      <x:c r="P27" s="49" t="str">
        <x:v>提供稳定与降噪模板</x:v>
      </x:c>
      <x:c r="Q27" s="49" t="str">
        <x:v>持续修补神识疲劳</x:v>
      </x:c>
      <x:c r="R27" s="49" t="str">
        <x:v>防止认知僵化与错接</x:v>
      </x:c>
      <x:c r="S27" s="49" t="str">
        <x:v>引向神识基础回路</x:v>
      </x:c>
      <x:c r="T27" s="49" t="str">
        <x:v>提高神识稳定与抗疲劳基线</x:v>
      </x:c>
      <x:c r="U27" s="49" t="str">
        <x:v>长期静养逐步转正</x:v>
      </x:c>
      <x:c r="V27" s="49" t="str">
        <x:v>错固噪声会形成顽固残留</x:v>
      </x:c>
      <x:c r="W27" s="49" t="str">
        <x:v>道路、认知结构或神魂层级不合</x:v>
      </x:c>
      <x:c r="X27" s="49" t="str">
        <x:v>神魂×缓慢重构×长期</x:v>
      </x:c>
      <x:c r="Y27" s="49" t="str">
        <x:v>可能存在特定改造空间递减</x:v>
      </x:c>
      <x:c r="Z27" s="49" t="str">
        <x:v>噪声固化、认知僵化</x:v>
      </x:c>
      <x:c r="AA27" s="49" t="str">
        <x:v>提示不直接增加悟性答案</x:v>
      </x:c>
      <x:c r="AB27" s="49" t="str">
        <x:v>结构冻结·丹名占位</x:v>
      </x:c>
      <x:c r="AC27" s="59" t="str">
        <x:f>IF(COUNTA(A27:AB27)=28,"完整","缺字段")</x:f>
        <x:v>完整</x:v>
      </x:c>
      <x:c r="AD27" s="59" t="str">
        <x:f>IF(COUNTIF('02_子类规格'!$C$4:$C$37,F27)&gt;0,"通过","检查")</x:f>
        <x:v>通过</x:v>
      </x:c>
    </x:row>
    <x:row r="28" ht="88" customHeight="1">
      <x:c r="A28" s="49" t="str">
        <x:v>PILL0701</x:v>
      </x:c>
      <x:c r="B28" s="49" t="str">
        <x:v>洗髓丹</x:v>
      </x:c>
      <x:c r="C28" s="49" t="str">
        <x:v>占位名</x:v>
      </x:c>
      <x:c r="D28" s="49" t="str">
        <x:v>改</x:v>
      </x:c>
      <x:c r="E28" s="49" t="str">
        <x:v>灵根洗炼</x:v>
      </x:c>
      <x:c r="F28" s="49" t="str">
        <x:v>清堵洗髓</x:v>
      </x:c>
      <x:c r="G28" s="49" t="str">
        <x:v>对应境界</x:v>
      </x:c>
      <x:c r="H28" s="49" t="str">
        <x:v>灵根接口邻近结构</x:v>
      </x:c>
      <x:c r="I28" s="49" t="str">
        <x:v>净化＋重构＋稳固</x:v>
      </x:c>
      <x:c r="J28" s="49" t="str">
        <x:v>中期</x:v>
      </x:c>
      <x:c r="K28" s="49" t="str">
        <x:v>清堵复接环</x:v>
      </x:c>
      <x:c r="L28" s="49" t="str">
        <x:v>金、水</x:v>
      </x:c>
      <x:c r="M28" s="49" t="str">
        <x:v>木、土</x:v>
      </x:c>
      <x:c r="N28" s="49" t="str">
        <x:v>凉平</x:v>
      </x:c>
      <x:c r="O28" s="49" t="str">
        <x:v>苦咸</x:v>
      </x:c>
      <x:c r="P28" s="49" t="str">
        <x:v>识别接口堵塞</x:v>
      </x:c>
      <x:c r="Q28" s="49" t="str">
        <x:v>搬出堵塞并恢复传导</x:v>
      </x:c>
      <x:c r="R28" s="49" t="str">
        <x:v>保护接口不被误清</x:v>
      </x:c>
      <x:c r="S28" s="49" t="str">
        <x:v>引向灵根接口</x:v>
      </x:c>
      <x:c r="T28" s="49" t="str">
        <x:v>清除堵塞并恢复既有读法</x:v>
      </x:c>
      <x:c r="U28" s="49" t="str">
        <x:v>堵塞排出，接口复接转正</x:v>
      </x:c>
      <x:c r="V28" s="49" t="str">
        <x:v>接口附近残留敏感</x:v>
      </x:c>
      <x:c r="W28" s="49" t="str">
        <x:v>堵塞识别错误或灵根脆弱</x:v>
      </x:c>
      <x:c r="X28" s="49" t="str">
        <x:v>灵根接口×净化重构×中期</x:v>
      </x:c>
      <x:c r="Y28" s="49" t="str">
        <x:v>轻度路径通常无；深度使用可有</x:v>
      </x:c>
      <x:c r="Z28" s="49" t="str">
        <x:v>误伤接口或意外改变行谱</x:v>
      </x:c>
      <x:c r="AA28" s="49" t="str">
        <x:v>显示清堵层级和升级风险</x:v>
      </x:c>
      <x:c r="AB28" s="49" t="str">
        <x:v>结构冻结·丹名占位</x:v>
      </x:c>
      <x:c r="AC28" s="59" t="str">
        <x:f>IF(COUNTA(A28:AB28)=28,"完整","缺字段")</x:f>
        <x:v>完整</x:v>
      </x:c>
      <x:c r="AD28" s="59" t="str">
        <x:f>IF(COUNTIF('02_子类规格'!$C$4:$C$37,F28)&gt;0,"通过","检查")</x:f>
        <x:v>通过</x:v>
      </x:c>
    </x:row>
    <x:row r="29" ht="88" customHeight="1">
      <x:c r="A29" s="49" t="str">
        <x:v>PILL0702</x:v>
      </x:c>
      <x:c r="B29" s="49" t="str">
        <x:v>调谱丹</x:v>
      </x:c>
      <x:c r="C29" s="49" t="str">
        <x:v>占位名</x:v>
      </x:c>
      <x:c r="D29" s="49" t="str">
        <x:v>改</x:v>
      </x:c>
      <x:c r="E29" s="49" t="str">
        <x:v>灵根洗炼</x:v>
      </x:c>
      <x:c r="F29" s="49" t="str">
        <x:v>行谱纠偏</x:v>
      </x:c>
      <x:c r="G29" s="49" t="str">
        <x:v>对应境界/行谱</x:v>
      </x:c>
      <x:c r="H29" s="49" t="str">
        <x:v>灵根读取权重</x:v>
      </x:c>
      <x:c r="I29" s="49" t="str">
        <x:v>重构＋稳固</x:v>
      </x:c>
      <x:c r="J29" s="49" t="str">
        <x:v>中长期</x:v>
      </x:c>
      <x:c r="K29" s="49" t="str">
        <x:v>五行读谱校准构</x:v>
      </x:c>
      <x:c r="L29" s="49" t="str">
        <x:v>按目标行决定</x:v>
      </x:c>
      <x:c r="M29" s="49" t="str">
        <x:v>制衡行与土、金</x:v>
      </x:c>
      <x:c r="N29" s="49" t="str">
        <x:v>依目标而定</x:v>
      </x:c>
      <x:c r="O29" s="49" t="str">
        <x:v>依归经而定</x:v>
      </x:c>
      <x:c r="P29" s="49" t="str">
        <x:v>提供目标行谱校准模板</x:v>
      </x:c>
      <x:c r="Q29" s="49" t="str">
        <x:v>推动读取权重变化</x:v>
      </x:c>
      <x:c r="R29" s="49" t="str">
        <x:v>限制新旧读法冲突</x:v>
      </x:c>
      <x:c r="S29" s="49" t="str">
        <x:v>定向魂身接口</x:v>
      </x:c>
      <x:c r="T29" s="49" t="str">
        <x:v>长期调整五行读取比例</x:v>
      </x:c>
      <x:c r="U29" s="49" t="str">
        <x:v>新读法逐步转正，旧残片排出</x:v>
      </x:c>
      <x:c r="V29" s="49" t="str">
        <x:v>重写接口会留下高风险残留</x:v>
      </x:c>
      <x:c r="W29" s="49" t="str">
        <x:v>目标行谱、功法或魂身关系不合</x:v>
      </x:c>
      <x:c r="X29" s="49" t="str">
        <x:v>行谱读取×重构稳固×长期</x:v>
      </x:c>
      <x:c r="Y29" s="49" t="str">
        <x:v>有</x:v>
      </x:c>
      <x:c r="Z29" s="49" t="str">
        <x:v>新旧读法冲突、魂身错位</x:v>
      </x:c>
      <x:c r="AA29" s="49" t="str">
        <x:v>显示目标谱与剩余改造空间</x:v>
      </x:c>
      <x:c r="AB29" s="49" t="str">
        <x:v>结构冻结·丹名占位</x:v>
      </x:c>
      <x:c r="AC29" s="59" t="str">
        <x:f>IF(COUNTA(A29:AB29)=28,"完整","缺字段")</x:f>
        <x:v>完整</x:v>
      </x:c>
      <x:c r="AD29" s="59" t="str">
        <x:f>IF(COUNTIF('02_子类规格'!$C$4:$C$37,F29)&gt;0,"通过","检查")</x:f>
        <x:v>通过</x:v>
      </x:c>
    </x:row>
    <x:row r="30" ht="88" customHeight="1">
      <x:c r="A30" s="49" t="str">
        <x:v>PILL0703</x:v>
      </x:c>
      <x:c r="B30" s="49" t="str">
        <x:v>塑根丹</x:v>
      </x:c>
      <x:c r="C30" s="49" t="str">
        <x:v>占位名</x:v>
      </x:c>
      <x:c r="D30" s="49" t="str">
        <x:v>改</x:v>
      </x:c>
      <x:c r="E30" s="49" t="str">
        <x:v>灵根洗炼</x:v>
      </x:c>
      <x:c r="F30" s="49" t="str">
        <x:v>改根重塑</x:v>
      </x:c>
      <x:c r="G30" s="49" t="str">
        <x:v>对应境界/个体</x:v>
      </x:c>
      <x:c r="H30" s="49" t="str">
        <x:v>灵根及魂身接口</x:v>
      </x:c>
      <x:c r="I30" s="49" t="str">
        <x:v>重构＋稳固</x:v>
      </x:c>
      <x:c r="J30" s="49" t="str">
        <x:v>长期/一次性窗口</x:v>
      </x:c>
      <x:c r="K30" s="49" t="str">
        <x:v>完整接口重建蓝图</x:v>
      </x:c>
      <x:c r="L30" s="49" t="str">
        <x:v>五行全职责</x:v>
      </x:c>
      <x:c r="M30" s="49" t="str">
        <x:v>按个人缺口决定</x:v>
      </x:c>
      <x:c r="N30" s="49" t="str">
        <x:v>依丹方而定</x:v>
      </x:c>
      <x:c r="O30" s="49" t="str">
        <x:v>依归经而定</x:v>
      </x:c>
      <x:c r="P30" s="49" t="str">
        <x:v>定义新灵根读取结构</x:v>
      </x:c>
      <x:c r="Q30" s="49" t="str">
        <x:v>提供主要重构资源</x:v>
      </x:c>
      <x:c r="R30" s="49" t="str">
        <x:v>控制崩溃与错位</x:v>
      </x:c>
      <x:c r="S30" s="49" t="str">
        <x:v>把重构定位到魂身接口</x:v>
      </x:c>
      <x:c r="T30" s="49" t="str">
        <x:v>高风险重建灵根与主行关系</x:v>
      </x:c>
      <x:c r="U30" s="49" t="str">
        <x:v>成功则分期转正，失败留下永久伤</x:v>
      </x:c>
      <x:c r="V30" s="49" t="str">
        <x:v>高复杂丹构残留风险最高</x:v>
      </x:c>
      <x:c r="W30" s="49" t="str">
        <x:v>个人魂身、道路或旧灵根不合</x:v>
      </x:c>
      <x:c r="X30" s="49" t="str">
        <x:v>灵根接口×重构稳固×长期</x:v>
      </x:c>
      <x:c r="Y30" s="49" t="str">
        <x:v>有且通常不可等待洗回</x:v>
      </x:c>
      <x:c r="Z30" s="49" t="str">
        <x:v>读取崩溃、灵根损伤、魂身错位</x:v>
      </x:c>
      <x:c r="AA30" s="49" t="str">
        <x:v>显示成功区间、禁忌与永久递减</x:v>
      </x:c>
      <x:c r="AB30" s="49" t="str">
        <x:v>结构冻结·丹名占位</x:v>
      </x:c>
      <x:c r="AC30" s="59" t="str">
        <x:f>IF(COUNTA(A30:AB30)=28,"完整","缺字段")</x:f>
        <x:v>完整</x:v>
      </x:c>
      <x:c r="AD30" s="59" t="str">
        <x:f>IF(COUNTIF('02_子类规格'!$C$4:$C$37,F30)&gt;0,"通过","检查")</x:f>
        <x:v>通过</x:v>
      </x:c>
    </x:row>
    <x:row r="31" ht="88" customHeight="1">
      <x:c r="A31" s="49" t="str">
        <x:v>PILL0801</x:v>
      </x:c>
      <x:c r="B31" s="49" t="str">
        <x:v>燃血丹</x:v>
      </x:c>
      <x:c r="C31" s="49" t="str">
        <x:v>占位名</x:v>
      </x:c>
      <x:c r="D31" s="49" t="str">
        <x:v>发</x:v>
      </x:c>
      <x:c r="E31" s="49" t="str">
        <x:v>战时状态</x:v>
      </x:c>
      <x:c r="F31" s="49" t="str">
        <x:v>激发</x:v>
      </x:c>
      <x:c r="G31" s="49" t="str">
        <x:v>对应境界</x:v>
      </x:c>
      <x:c r="H31" s="49" t="str">
        <x:v>当前转化与输出参数</x:v>
      </x:c>
      <x:c r="I31" s="49" t="str">
        <x:v>暂借＋导流</x:v>
      </x:c>
      <x:c r="J31" s="49" t="str">
        <x:v>短时</x:v>
      </x:c>
      <x:c r="K31" s="49" t="str">
        <x:v>快释挂接限幅环</x:v>
      </x:c>
      <x:c r="L31" s="49" t="str">
        <x:v>火</x:v>
      </x:c>
      <x:c r="M31" s="49" t="str">
        <x:v>水、金、土</x:v>
      </x:c>
      <x:c r="N31" s="49" t="str">
        <x:v>热</x:v>
      </x:c>
      <x:c r="O31" s="49" t="str">
        <x:v>辛</x:v>
      </x:c>
      <x:c r="P31" s="49" t="str">
        <x:v>激活转化与输出</x:v>
      </x:c>
      <x:c r="Q31" s="49" t="str">
        <x:v>放大短时峰值</x:v>
      </x:c>
      <x:c r="R31" s="49" t="str">
        <x:v>用相克职责限制峰值</x:v>
      </x:c>
      <x:c r="S31" s="49" t="str">
        <x:v>导向攻击回路</x:v>
      </x:c>
      <x:c r="T31" s="49" t="str">
        <x:v>短时提高输出速率</x:v>
      </x:c>
      <x:c r="U31" s="49" t="str">
        <x:v>结束后解除耦合并产生回落</x:v>
      </x:c>
      <x:c r="V31" s="49" t="str">
        <x:v>快释与解除不全会留残</x:v>
      </x:c>
      <x:c r="W31" s="49" t="str">
        <x:v>经脉承载或行谱不合</x:v>
      </x:c>
      <x:c r="X31" s="49" t="str">
        <x:v>输出参数×暂借导流×短时</x:v>
      </x:c>
      <x:c r="Y31" s="49" t="str">
        <x:v>无</x:v>
      </x:c>
      <x:c r="Z31" s="49" t="str">
        <x:v>峰值失控、经脉灼伤、回落虚弱</x:v>
      </x:c>
      <x:c r="AA31" s="49" t="str">
        <x:v>显示增幅、时长、回落与耐药</x:v>
      </x:c>
      <x:c r="AB31" s="49" t="str">
        <x:v>结构冻结·丹名占位</x:v>
      </x:c>
      <x:c r="AC31" s="59" t="str">
        <x:f>IF(COUNTA(A31:AB31)=28,"完整","缺字段")</x:f>
        <x:v>完整</x:v>
      </x:c>
      <x:c r="AD31" s="59" t="str">
        <x:f>IF(COUNTIF('02_子类规格'!$C$4:$C$37,F31)&gt;0,"通过","检查")</x:f>
        <x:v>通过</x:v>
      </x:c>
    </x:row>
    <x:row r="32" ht="88" customHeight="1">
      <x:c r="A32" s="49" t="str">
        <x:v>PILL0802</x:v>
      </x:c>
      <x:c r="B32" s="49" t="str">
        <x:v>金甲丹</x:v>
      </x:c>
      <x:c r="C32" s="49" t="str">
        <x:v>占位名</x:v>
      </x:c>
      <x:c r="D32" s="49" t="str">
        <x:v>发</x:v>
      </x:c>
      <x:c r="E32" s="49" t="str">
        <x:v>战时状态</x:v>
      </x:c>
      <x:c r="F32" s="49" t="str">
        <x:v>护持</x:v>
      </x:c>
      <x:c r="G32" s="49" t="str">
        <x:v>对应境界</x:v>
      </x:c>
      <x:c r="H32" s="49" t="str">
        <x:v>肉身与经脉边界</x:v>
      </x:c>
      <x:c r="I32" s="49" t="str">
        <x:v>暂借＋稳固</x:v>
      </x:c>
      <x:c r="J32" s="49" t="str">
        <x:v>短时</x:v>
      </x:c>
      <x:c r="K32" s="49" t="str">
        <x:v>临时承压护界环</x:v>
      </x:c>
      <x:c r="L32" s="49" t="str">
        <x:v>土、金</x:v>
      </x:c>
      <x:c r="M32" s="49" t="str">
        <x:v>木、水</x:v>
      </x:c>
      <x:c r="N32" s="49" t="str">
        <x:v>平偏凉</x:v>
      </x:c>
      <x:c r="O32" s="49" t="str">
        <x:v>甘辛</x:v>
      </x:c>
      <x:c r="P32" s="49" t="str">
        <x:v>建立临时承压边界</x:v>
      </x:c>
      <x:c r="Q32" s="49" t="str">
        <x:v>维持护持结构</x:v>
      </x:c>
      <x:c r="R32" s="49" t="str">
        <x:v>控制僵化和冲击回流</x:v>
      </x:c>
      <x:c r="S32" s="49" t="str">
        <x:v>归入受击回路</x:v>
      </x:c>
      <x:c r="T32" s="49" t="str">
        <x:v>短时提高物理/灵力抗性</x:v>
      </x:c>
      <x:c r="U32" s="49" t="str">
        <x:v>效果结束解耦排出</x:v>
      </x:c>
      <x:c r="V32" s="49" t="str">
        <x:v>解除不全形成僵化残留</x:v>
      </x:c>
      <x:c r="W32" s="49" t="str">
        <x:v>护持对象、境界或伤害类型不合</x:v>
      </x:c>
      <x:c r="X32" s="49" t="str">
        <x:v>承压边界×暂借稳固×短时</x:v>
      </x:c>
      <x:c r="Y32" s="49" t="str">
        <x:v>无</x:v>
      </x:c>
      <x:c r="Z32" s="49" t="str">
        <x:v>护层破裂反冲或解除不全</x:v>
      </x:c>
      <x:c r="AA32" s="49" t="str">
        <x:v>提示不是永久淬体</x:v>
      </x:c>
      <x:c r="AB32" s="49" t="str">
        <x:v>结构冻结·丹名占位</x:v>
      </x:c>
      <x:c r="AC32" s="59" t="str">
        <x:f>IF(COUNTA(A32:AB32)=28,"完整","缺字段")</x:f>
        <x:v>完整</x:v>
      </x:c>
      <x:c r="AD32" s="59" t="str">
        <x:f>IF(COUNTIF('02_子类规格'!$C$4:$C$37,F32)&gt;0,"通过","检查")</x:f>
        <x:v>通过</x:v>
      </x:c>
    </x:row>
    <x:row r="33" ht="88" customHeight="1">
      <x:c r="A33" s="49" t="str">
        <x:v>PILL0803</x:v>
      </x:c>
      <x:c r="B33" s="49" t="str">
        <x:v>明神丹</x:v>
      </x:c>
      <x:c r="C33" s="49" t="str">
        <x:v>占位名</x:v>
      </x:c>
      <x:c r="D33" s="49" t="str">
        <x:v>发</x:v>
      </x:c>
      <x:c r="E33" s="49" t="str">
        <x:v>战时状态</x:v>
      </x:c>
      <x:c r="F33" s="49" t="str">
        <x:v>感知</x:v>
      </x:c>
      <x:c r="G33" s="49" t="str">
        <x:v>对应神魂层级</x:v>
      </x:c>
      <x:c r="H33" s="49" t="str">
        <x:v>感知与神识参数</x:v>
      </x:c>
      <x:c r="I33" s="49" t="str">
        <x:v>暂借＋导流</x:v>
      </x:c>
      <x:c r="J33" s="49" t="str">
        <x:v>短时</x:v>
      </x:c>
      <x:c r="K33" s="49" t="str">
        <x:v>降噪扩感挂接环</x:v>
      </x:c>
      <x:c r="L33" s="49" t="str">
        <x:v>金、水</x:v>
      </x:c>
      <x:c r="M33" s="49" t="str">
        <x:v>木、土</x:v>
      </x:c>
      <x:c r="N33" s="49" t="str">
        <x:v>凉</x:v>
      </x:c>
      <x:c r="O33" s="49" t="str">
        <x:v>苦咸</x:v>
      </x:c>
      <x:c r="P33" s="49" t="str">
        <x:v>降低感知噪声并标记信号</x:v>
      </x:c>
      <x:c r="Q33" s="49" t="str">
        <x:v>扩展传导范围</x:v>
      </x:c>
      <x:c r="R33" s="49" t="str">
        <x:v>限制信息过载</x:v>
      </x:c>
      <x:c r="S33" s="49" t="str">
        <x:v>引向目标感知通路</x:v>
      </x:c>
      <x:c r="T33" s="49" t="str">
        <x:v>短时提高感知精度或范围</x:v>
      </x:c>
      <x:c r="U33" s="49" t="str">
        <x:v>结束后关闭通路并休息恢复</x:v>
      </x:c>
      <x:c r="V33" s="49" t="str">
        <x:v>高强度感知会留神魂疲劳</x:v>
      </x:c>
      <x:c r="W33" s="49" t="str">
        <x:v>神魂承载或目标信号不合</x:v>
      </x:c>
      <x:c r="X33" s="49" t="str">
        <x:v>感知参数×暂借导流×短时</x:v>
      </x:c>
      <x:c r="Y33" s="49" t="str">
        <x:v>无</x:v>
      </x:c>
      <x:c r="Z33" s="49" t="str">
        <x:v>信息过载、幻听幻视、疲劳</x:v>
      </x:c>
      <x:c r="AA33" s="49" t="str">
        <x:v>提示不直接提供理解和道心</x:v>
      </x:c>
      <x:c r="AB33" s="49" t="str">
        <x:v>结构冻结·丹名占位</x:v>
      </x:c>
      <x:c r="AC33" s="59" t="str">
        <x:f>IF(COUNTA(A33:AB33)=28,"完整","缺字段")</x:f>
        <x:v>完整</x:v>
      </x:c>
      <x:c r="AD33" s="59" t="str">
        <x:f>IF(COUNTIF('02_子类规格'!$C$4:$C$37,F33)&gt;0,"通过","检查")</x:f>
        <x:v>通过</x:v>
      </x:c>
    </x:row>
    <x:row r="34" ht="88" customHeight="1">
      <x:c r="A34" s="49" t="str">
        <x:v>PILL0804</x:v>
      </x:c>
      <x:c r="B34" s="49" t="str">
        <x:v>轻身丹</x:v>
      </x:c>
      <x:c r="C34" s="49" t="str">
        <x:v>占位名</x:v>
      </x:c>
      <x:c r="D34" s="49" t="str">
        <x:v>发</x:v>
      </x:c>
      <x:c r="E34" s="49" t="str">
        <x:v>战时状态</x:v>
      </x:c>
      <x:c r="F34" s="49" t="str">
        <x:v>行遁</x:v>
      </x:c>
      <x:c r="G34" s="49" t="str">
        <x:v>对应境界</x:v>
      </x:c>
      <x:c r="H34" s="49" t="str">
        <x:v>移动与局部灵力回路</x:v>
      </x:c>
      <x:c r="I34" s="49" t="str">
        <x:v>暂借＋导流</x:v>
      </x:c>
      <x:c r="J34" s="49" t="str">
        <x:v>短时</x:v>
      </x:c>
      <x:c r="K34" s="49" t="str">
        <x:v>步法导流挂接环</x:v>
      </x:c>
      <x:c r="L34" s="49" t="str">
        <x:v>水、木</x:v>
      </x:c>
      <x:c r="M34" s="49" t="str">
        <x:v>火、金、土</x:v>
      </x:c>
      <x:c r="N34" s="49" t="str">
        <x:v>温平</x:v>
      </x:c>
      <x:c r="O34" s="49" t="str">
        <x:v>辛酸</x:v>
      </x:c>
      <x:c r="P34" s="49" t="str">
        <x:v>提供临时步法路径</x:v>
      </x:c>
      <x:c r="Q34" s="49" t="str">
        <x:v>驱动并连续接步</x:v>
      </x:c>
      <x:c r="R34" s="49" t="str">
        <x:v>限制方向偏差和关节过载</x:v>
      </x:c>
      <x:c r="S34" s="49" t="str">
        <x:v>导向足部/遁行回路</x:v>
      </x:c>
      <x:c r="T34" s="49" t="str">
        <x:v>短时提升速度或遁行适配</x:v>
      </x:c>
      <x:c r="U34" s="49" t="str">
        <x:v>结束后解除挂接并回落</x:v>
      </x:c>
      <x:c r="V34" s="49" t="str">
        <x:v>高频转向造成局部残留</x:v>
      </x:c>
      <x:c r="W34" s="49" t="str">
        <x:v>身法、地形或经脉节律不合</x:v>
      </x:c>
      <x:c r="X34" s="49" t="str">
        <x:v>移动回路×暂借导流×短时</x:v>
      </x:c>
      <x:c r="Y34" s="49" t="str">
        <x:v>无</x:v>
      </x:c>
      <x:c r="Z34" s="49" t="str">
        <x:v>回路错位、肌腱与经脉拉伤</x:v>
      </x:c>
      <x:c r="AA34" s="49" t="str">
        <x:v>显示速度、时长、地形限制</x:v>
      </x:c>
      <x:c r="AB34" s="49" t="str">
        <x:v>结构冻结·丹名占位</x:v>
      </x:c>
      <x:c r="AC34" s="59" t="str">
        <x:f>IF(COUNTA(A34:AB34)=28,"完整","缺字段")</x:f>
        <x:v>完整</x:v>
      </x:c>
      <x:c r="AD34" s="59" t="str">
        <x:f>IF(COUNTIF('02_子类规格'!$C$4:$C$37,F34)&gt;0,"通过","检查")</x:f>
        <x:v>通过</x:v>
      </x:c>
    </x:row>
    <x:row r="35" ht="88" customHeight="1">
      <x:c r="A35" s="49" t="str">
        <x:v>PILL0805</x:v>
      </x:c>
      <x:c r="B35" s="49" t="str">
        <x:v>偏行丹</x:v>
      </x:c>
      <x:c r="C35" s="49" t="str">
        <x:v>占位名</x:v>
      </x:c>
      <x:c r="D35" s="49" t="str">
        <x:v>发</x:v>
      </x:c>
      <x:c r="E35" s="49" t="str">
        <x:v>战时状态</x:v>
      </x:c>
      <x:c r="F35" s="49" t="str">
        <x:v>临时偏谱</x:v>
      </x:c>
      <x:c r="G35" s="49" t="str">
        <x:v>对应境界/目标行</x:v>
      </x:c>
      <x:c r="H35" s="49" t="str">
        <x:v>当前行谱调用权重</x:v>
      </x:c>
      <x:c r="I35" s="49" t="str">
        <x:v>暂借＋导流</x:v>
      </x:c>
      <x:c r="J35" s="49" t="str">
        <x:v>短时</x:v>
      </x:c>
      <x:c r="K35" s="49" t="str">
        <x:v>目标行临时调谐环</x:v>
      </x:c>
      <x:c r="L35" s="49" t="str">
        <x:v>目标行</x:v>
      </x:c>
      <x:c r="M35" s="49" t="str">
        <x:v>制衡行、土、金</x:v>
      </x:c>
      <x:c r="N35" s="49" t="str">
        <x:v>依目标而定</x:v>
      </x:c>
      <x:c r="O35" s="49" t="str">
        <x:v>依目标归经</x:v>
      </x:c>
      <x:c r="P35" s="49" t="str">
        <x:v>提高目标行调用权重</x:v>
      </x:c>
      <x:c r="Q35" s="49" t="str">
        <x:v>加速目标回路耦合</x:v>
      </x:c>
      <x:c r="R35" s="49" t="str">
        <x:v>限制排异与峰值</x:v>
      </x:c>
      <x:c r="S35" s="49" t="str">
        <x:v>导向指定术法回路</x:v>
      </x:c>
      <x:c r="T35" s="49" t="str">
        <x:v>短时改变五行调用偏好</x:v>
      </x:c>
      <x:c r="U35" s="49" t="str">
        <x:v>结束后复位并排出调谐构</x:v>
      </x:c>
      <x:c r="V35" s="49" t="str">
        <x:v>复位不全会留行谱残差</x:v>
      </x:c>
      <x:c r="W35" s="49" t="str">
        <x:v>灵根、功法或目标行严重不合</x:v>
      </x:c>
      <x:c r="X35" s="49" t="str">
        <x:v>行谱调用×暂借导流×短时</x:v>
      </x:c>
      <x:c r="Y35" s="49" t="str">
        <x:v>无</x:v>
      </x:c>
      <x:c r="Z35" s="49" t="str">
        <x:v>急性排异、回落失衡、残差</x:v>
      </x:c>
      <x:c r="AA35" s="49" t="str">
        <x:v>提示长期调整应使用洗炼类</x:v>
      </x:c>
      <x:c r="AB35" s="49" t="str">
        <x:v>结构冻结·丹名占位</x:v>
      </x:c>
      <x:c r="AC35" s="59" t="str">
        <x:f>IF(COUNTA(A35:AB35)=28,"完整","缺字段")</x:f>
        <x:v>完整</x:v>
      </x:c>
      <x:c r="AD35" s="59" t="str">
        <x:f>IF(COUNTIF('02_子类规格'!$C$4:$C$37,F35)&gt;0,"通过","检查")</x:f>
        <x:v>通过</x:v>
      </x:c>
    </x:row>
    <x:row r="36" ht="88" customHeight="1">
      <x:c r="A36" s="49" t="str">
        <x:v>PILL0901</x:v>
      </x:c>
      <x:c r="B36" s="49" t="str">
        <x:v>还元丹</x:v>
      </x:c>
      <x:c r="C36" s="49" t="str">
        <x:v>占位名</x:v>
      </x:c>
      <x:c r="D36" s="49" t="str">
        <x:v>养</x:v>
      </x:c>
      <x:c r="E36" s="49" t="str">
        <x:v>养命延寿</x:v>
      </x:c>
      <x:c r="F36" s="49" t="str">
        <x:v>异常寿损修复</x:v>
      </x:c>
      <x:c r="G36" s="49" t="str">
        <x:v>对应境界/寿损类型</x:v>
      </x:c>
      <x:c r="H36" s="49" t="str">
        <x:v>可逆异常寿损结构</x:v>
      </x:c>
      <x:c r="I36" s="49" t="str">
        <x:v>修复＋稳固</x:v>
      </x:c>
      <x:c r="J36" s="49" t="str">
        <x:v>长效</x:v>
      </x:c>
      <x:c r="K36" s="49" t="str">
        <x:v>寿损识别修补网</x:v>
      </x:c>
      <x:c r="L36" s="49" t="str">
        <x:v>木、土</x:v>
      </x:c>
      <x:c r="M36" s="49" t="str">
        <x:v>金、水</x:v>
      </x:c>
      <x:c r="N36" s="49" t="str">
        <x:v>平温</x:v>
      </x:c>
      <x:c r="O36" s="49" t="str">
        <x:v>甘酸</x:v>
      </x:c>
      <x:c r="P36" s="49" t="str">
        <x:v>识别并修补可逆寿损</x:v>
      </x:c>
      <x:c r="Q36" s="49" t="str">
        <x:v>维持生命循环供养</x:v>
      </x:c>
      <x:c r="R36" s="49" t="str">
        <x:v>排除自然老化与不可逆部分</x:v>
      </x:c>
      <x:c r="S36" s="49" t="str">
        <x:v>引向寿损薄弱结构</x:v>
      </x:c>
      <x:c r="T36" s="49" t="str">
        <x:v>修复外伤、越阶、魔染等造成的可逆寿损</x:v>
      </x:c>
      <x:c r="U36" s="49" t="str">
        <x:v>长时整合并转正为修复结构</x:v>
      </x:c>
      <x:c r="V36" s="49" t="str">
        <x:v>深层修补可能残留且难清</x:v>
      </x:c>
      <x:c r="W36" s="49" t="str">
        <x:v>寿损类型误判或结构已不可逆</x:v>
      </x:c>
      <x:c r="X36" s="49" t="str">
        <x:v>寿损修复×修复稳固×长效</x:v>
      </x:c>
      <x:c r="Y36" s="49" t="str">
        <x:v>有</x:v>
      </x:c>
      <x:c r="Z36" s="49" t="str">
        <x:v>把自然老化误当异常损伤、旧伤反扑</x:v>
      </x:c>
      <x:c r="AA36" s="49" t="str">
        <x:v>显示可修复部分与永久递减</x:v>
      </x:c>
      <x:c r="AB36" s="49" t="str">
        <x:v>结构冻结·丹名占位</x:v>
      </x:c>
      <x:c r="AC36" s="59" t="str">
        <x:f>IF(COUNTA(A36:AB36)=28,"完整","缺字段")</x:f>
        <x:v>完整</x:v>
      </x:c>
      <x:c r="AD36" s="59" t="str">
        <x:f>IF(COUNTIF('02_子类规格'!$C$4:$C$37,F36)&gt;0,"通过","检查")</x:f>
        <x:v>通过</x:v>
      </x:c>
    </x:row>
    <x:row r="37" ht="88" customHeight="1">
      <x:c r="A37" s="49" t="str">
        <x:v>PILL0902</x:v>
      </x:c>
      <x:c r="B37" s="49" t="str">
        <x:v>延年丹</x:v>
      </x:c>
      <x:c r="C37" s="49" t="str">
        <x:v>占位名</x:v>
      </x:c>
      <x:c r="D37" s="49" t="str">
        <x:v>养</x:v>
      </x:c>
      <x:c r="E37" s="49" t="str">
        <x:v>养命延寿</x:v>
      </x:c>
      <x:c r="F37" s="49" t="str">
        <x:v>缓耗延命</x:v>
      </x:c>
      <x:c r="G37" s="49" t="str">
        <x:v>对应境界/个体</x:v>
      </x:c>
      <x:c r="H37" s="49" t="str">
        <x:v>整体秩序维持周期</x:v>
      </x:c>
      <x:c r="I37" s="49" t="str">
        <x:v>修复＋稳固</x:v>
      </x:c>
      <x:c r="J37" s="49" t="str">
        <x:v>长效</x:v>
      </x:c>
      <x:c r="K37" s="49" t="str">
        <x:v>整体降耗稳态环</x:v>
      </x:c>
      <x:c r="L37" s="49" t="str">
        <x:v>土</x:v>
      </x:c>
      <x:c r="M37" s="49" t="str">
        <x:v>木、水、金、火</x:v>
      </x:c>
      <x:c r="N37" s="49" t="str">
        <x:v>平</x:v>
      </x:c>
      <x:c r="O37" s="49" t="str">
        <x:v>甘</x:v>
      </x:c>
      <x:c r="P37" s="49" t="str">
        <x:v>降低维持生命结构的无效耗散</x:v>
      </x:c>
      <x:c r="Q37" s="49" t="str">
        <x:v>持续补偿微损</x:v>
      </x:c>
      <x:c r="R37" s="49" t="str">
        <x:v>限制局部过养和旧伤遮蔽</x:v>
      </x:c>
      <x:c r="S37" s="49" t="str">
        <x:v>导向整体生命循环</x:v>
      </x:c>
      <x:c r="T37" s="49" t="str">
        <x:v>减缓未来寿命结构自耗</x:v>
      </x:c>
      <x:c r="U37" s="49" t="str">
        <x:v>长期整合，药构逐步耗散</x:v>
      </x:c>
      <x:c r="V37" s="49" t="str">
        <x:v>使用越深残留与收益边界越明显</x:v>
      </x:c>
      <x:c r="W37" s="49" t="str">
        <x:v>整体结构、旧伤或道路不合</x:v>
      </x:c>
      <x:c r="X37" s="49" t="str">
        <x:v>生命稳态×修复稳固×长效</x:v>
      </x:c>
      <x:c r="Y37" s="49" t="str">
        <x:v>有且不可用等待洗回</x:v>
      </x:c>
      <x:c r="Z37" s="49" t="str">
        <x:v>局部续命掩盖整体崩解</x:v>
      </x:c>
      <x:c r="AA37" s="49" t="str">
        <x:v>提示不能返还自然活过的时间</x:v>
      </x:c>
      <x:c r="AB37" s="49" t="str">
        <x:v>结构冻结·丹名占位</x:v>
      </x:c>
      <x:c r="AC37" s="59" t="str">
        <x:f>IF(COUNTA(A37:AB37)=28,"完整","缺字段")</x:f>
        <x:v>完整</x:v>
      </x:c>
      <x:c r="AD37" s="59" t="str">
        <x:f>IF(COUNTIF('02_子类规格'!$C$4:$C$37,F37)&gt;0,"通过","检查")</x:f>
        <x:v>通过</x:v>
      </x:c>
    </x:row>
  </x:sheetData>
  <x:mergeCells>
    <x:mergeCell ref="A1:AD1"/>
    <x:mergeCell ref="A2:AD2"/>
  </x:mergeCells>
  <x:conditionalFormatting sqref="AB4:AD37">
    <x:cfRule type="containsText" dxfId="39" priority="1" operator="containsText" text="冻结"/>
    <x:cfRule type="containsText" dxfId="40" priority="2" operator="containsText" text="占位"/>
    <x:cfRule type="containsText" dxfId="41" priority="3" operator="containsText" text="检查"/>
  </x:conditionalFormatting>
  <x:dataValidations count="4">
    <x:dataValidation type="list" sqref="C4:C37">
      <x:formula1>"占位名,候选名,定名"</x:formula1>
    </x:dataValidation>
    <x:dataValidation type="list" sqref="D4:D37">
      <x:formula1>"养,清,改,发"</x:formula1>
    </x:dataValidation>
    <x:dataValidation type="list" sqref="E4:E37">
      <x:formula1>"修为精进,灵力恢复,破境重构,疗伤复元,清解排异,锻体养基,灵根洗炼,战时状态,养命延寿"</x:formula1>
    </x:dataValidation>
    <x:dataValidation type="list" sqref="AB4:AB37">
      <x:formula1>"结构冻结·丹名占位,冻结,纸推占位,待审"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6056564264b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0" hidden="0" customWidth="1"/>
    <x:col min="4" max="4" width="38" hidden="0" customWidth="1"/>
    <x:col min="5" max="5" width="28" hidden="0" customWidth="1"/>
    <x:col min="6" max="6" width="36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</x:cols>
  <x:sheetData>
    <x:row r="1" ht="32" customHeight="1">
      <x:c r="A1" s="69" t="str">
        <x:v>配置接口与数据纪律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32" customHeight="1">
      <x:c r="A2" s="71" t="str">
        <x:v>字段名为第13轮建议，可在施工阶段改名；语义边界应保持。多效果采用effect_components数组。——小G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3" ht="34" customHeight="1">
      <x:c r="A3" s="79" t="str">
        <x:v>字段</x:v>
      </x:c>
      <x:c r="B3" s="80" t="str">
        <x:v>类型建议</x:v>
      </x:c>
      <x:c r="C3" s="80" t="str">
        <x:v>必填</x:v>
      </x:c>
      <x:c r="D3" s="80" t="str">
        <x:v>语义</x:v>
      </x:c>
      <x:c r="E3" s="80" t="str">
        <x:v>示例</x:v>
      </x:c>
      <x:c r="F3" s="80" t="str">
        <x:v>来源层</x:v>
      </x:c>
      <x:c r="G3" s="80" t="str">
        <x:v>玩家可见</x:v>
      </x:c>
      <x:c r="H3" s="80" t="str">
        <x:v>验证规则</x:v>
      </x:c>
      <x:c r="I3" s="80" t="str">
        <x:v>状态</x:v>
      </x:c>
      <x:c r="J3" s="81" t="str">
        <x:v>备注</x:v>
      </x:c>
    </x:row>
    <x:row r="4" ht="60" customHeight="1">
      <x:c r="A4" s="48" t="str">
        <x:v>pill_id</x:v>
      </x:c>
      <x:c r="B4" s="48" t="str">
        <x:v>string</x:v>
      </x:c>
      <x:c r="C4" s="48" t="str">
        <x:v>是</x:v>
      </x:c>
      <x:c r="D4" s="48" t="str">
        <x:v>丹药唯一标识</x:v>
      </x:c>
      <x:c r="E4" s="48" t="str">
        <x:v>PILL0201</x:v>
      </x:c>
      <x:c r="F4" s="48" t="str">
        <x:v>实例</x:v>
      </x:c>
      <x:c r="G4" s="48" t="str">
        <x:v>否</x:v>
      </x:c>
      <x:c r="H4" s="48" t="str">
        <x:v>全局唯一</x:v>
      </x:c>
      <x:c r="I4" s="48" t="str">
        <x:v>建议冻结</x:v>
      </x:c>
      <x:c r="J4" s="48" t="str">
        <x:v>不可由显示名生成</x:v>
      </x:c>
    </x:row>
    <x:row r="5" ht="60" customHeight="1">
      <x:c r="A5" s="49" t="str">
        <x:v>display_name</x:v>
      </x:c>
      <x:c r="B5" s="49" t="str">
        <x:v>loc_key/string</x:v>
      </x:c>
      <x:c r="C5" s="49" t="str">
        <x:v>是</x:v>
      </x:c>
      <x:c r="D5" s="49" t="str">
        <x:v>玩家显示名</x:v>
      </x:c>
      <x:c r="E5" s="49" t="str">
        <x:v>回灵丹</x:v>
      </x:c>
      <x:c r="F5" s="49" t="str">
        <x:v>实例</x:v>
      </x:c>
      <x:c r="G5" s="49" t="str">
        <x:v>是</x:v>
      </x:c>
      <x:c r="H5" s="49" t="str">
        <x:v>本地化键存在</x:v>
      </x:c>
      <x:c r="I5" s="49" t="str">
        <x:v>字段冻结·内容占位</x:v>
      </x:c>
      <x:c r="J5" s="49" t="str">
        <x:v>第13轮药名均为占位</x:v>
      </x:c>
    </x:row>
    <x:row r="6" ht="60" customHeight="1">
      <x:c r="A6" s="49" t="str">
        <x:v>quality</x:v>
      </x:c>
      <x:c r="B6" s="49" t="str">
        <x:v>item quality ref</x:v>
      </x:c>
      <x:c r="C6" s="49" t="str">
        <x:v>是</x:v>
      </x:c>
      <x:c r="D6" s="49" t="str">
        <x:v>引用公共物品品质</x:v>
      </x:c>
      <x:c r="E6" s="49" t="str">
        <x:v>灵品</x:v>
      </x:c>
      <x:c r="F6" s="49" t="str">
        <x:v>公共物品</x:v>
      </x:c>
      <x:c r="G6" s="49" t="str">
        <x:v>是</x:v>
      </x:c>
      <x:c r="H6" s="49" t="str">
        <x:v>不得再建pill_quality</x:v>
      </x:c>
      <x:c r="I6" s="49" t="str">
        <x:v>冻结</x:v>
      </x:c>
      <x:c r="J6" s="49" t="str">
        <x:v>影响完整度、纯净、保存与释放稳定</x:v>
      </x:c>
    </x:row>
    <x:row r="7" ht="60" customHeight="1">
      <x:c r="A7" s="49" t="str">
        <x:v>family_tag</x:v>
      </x:c>
      <x:c r="B7" s="49" t="str">
        <x:v>enum optional</x:v>
      </x:c>
      <x:c r="C7" s="49" t="str">
        <x:v>否</x:v>
      </x:c>
      <x:c r="D7" s="49" t="str">
        <x:v>养/清/改/发候选检索标签</x:v>
      </x:c>
      <x:c r="E7" s="49" t="str">
        <x:v>养</x:v>
      </x:c>
      <x:c r="F7" s="49" t="str">
        <x:v>展示</x:v>
      </x:c>
      <x:c r="G7" s="49" t="str">
        <x:v>可选</x:v>
      </x:c>
      <x:c r="H7" s="49" t="str">
        <x:v>不参与物理计算</x:v>
      </x:c>
      <x:c r="I7" s="49" t="str">
        <x:v>候选</x:v>
      </x:c>
      <x:c r="J7" s="49" t="str">
        <x:v>UI测试后决定</x:v>
      </x:c>
    </x:row>
    <x:row r="8" ht="60" customHeight="1">
      <x:c r="A8" s="49" t="str">
        <x:v>primary_purpose</x:v>
      </x:c>
      <x:c r="B8" s="49" t="str">
        <x:v>enum</x:v>
      </x:c>
      <x:c r="C8" s="49" t="str">
        <x:v>是</x:v>
      </x:c>
      <x:c r="D8" s="49" t="str">
        <x:v>九类唯一主用途</x:v>
      </x:c>
      <x:c r="E8" s="49" t="str">
        <x:v>灵力恢复</x:v>
      </x:c>
      <x:c r="F8" s="49" t="str">
        <x:v>用途</x:v>
      </x:c>
      <x:c r="G8" s="49" t="str">
        <x:v>是</x:v>
      </x:c>
      <x:c r="H8" s="49" t="str">
        <x:v>九选一</x:v>
      </x:c>
      <x:c r="I8" s="49" t="str">
        <x:v>冻结</x:v>
      </x:c>
      <x:c r="J8" s="49" t="str">
        <x:v>决定内容生产归属</x:v>
      </x:c>
    </x:row>
    <x:row r="9" ht="60" customHeight="1">
      <x:c r="A9" s="49" t="str">
        <x:v>subtype</x:v>
      </x:c>
      <x:c r="B9" s="49" t="str">
        <x:v>enum/ref</x:v>
      </x:c>
      <x:c r="C9" s="49" t="str">
        <x:v>是</x:v>
      </x:c>
      <x:c r="D9" s="49" t="str">
        <x:v>固定子类/产品线</x:v>
      </x:c>
      <x:c r="E9" s="49" t="str">
        <x:v>瞬时回灵</x:v>
      </x:c>
      <x:c r="F9" s="49" t="str">
        <x:v>子类</x:v>
      </x:c>
      <x:c r="G9" s="49" t="str">
        <x:v>是</x:v>
      </x:c>
      <x:c r="H9" s="49" t="str">
        <x:v>必须属于主用途</x:v>
      </x:c>
      <x:c r="I9" s="49" t="str">
        <x:v>冻结</x:v>
      </x:c>
      <x:c r="J9" s="49" t="str">
        <x:v>新内容优先复用现有子类</x:v>
      </x:c>
    </x:row>
    <x:row r="10" ht="60" customHeight="1">
      <x:c r="A10" s="49" t="str">
        <x:v>target_realms</x:v>
      </x:c>
      <x:c r="B10" s="49" t="str">
        <x:v>array/ref</x:v>
      </x:c>
      <x:c r="C10" s="49" t="str">
        <x:v>是</x:v>
      </x:c>
      <x:c r="D10" s="49" t="str">
        <x:v>适配境界范围</x:v>
      </x:c>
      <x:c r="E10" s="49" t="str">
        <x:v>[筑基]</x:v>
      </x:c>
      <x:c r="F10" s="49" t="str">
        <x:v>规格</x:v>
      </x:c>
      <x:c r="G10" s="49" t="str">
        <x:v>是</x:v>
      </x:c>
      <x:c r="H10" s="49" t="str">
        <x:v>至少一项或明确通用规则</x:v>
      </x:c>
      <x:c r="I10" s="49" t="str">
        <x:v>冻结语义</x:v>
      </x:c>
      <x:c r="J10" s="49" t="str">
        <x:v>回灵丹同样需要</x:v>
      </x:c>
    </x:row>
    <x:row r="11" ht="60" customHeight="1">
      <x:c r="A11" s="49" t="str">
        <x:v>target_objects</x:v>
      </x:c>
      <x:c r="B11" s="49" t="str">
        <x:v>array</x:v>
      </x:c>
      <x:c r="C11" s="49" t="str">
        <x:v>是</x:v>
      </x:c>
      <x:c r="D11" s="49" t="str">
        <x:v>药效作用对象</x:v>
      </x:c>
      <x:c r="E11" s="49" t="str">
        <x:v>[可调用灵力,经脉]</x:v>
      </x:c>
      <x:c r="F11" s="49" t="str">
        <x:v>机制</x:v>
      </x:c>
      <x:c r="G11" s="49" t="str">
        <x:v>部分</x:v>
      </x:c>
      <x:c r="H11" s="49" t="str">
        <x:v>不得为空</x:v>
      </x:c>
      <x:c r="I11" s="49" t="str">
        <x:v>冻结</x:v>
      </x:c>
      <x:c r="J11" s="49" t="str">
        <x:v>支持复合对象</x:v>
      </x:c>
    </x:row>
    <x:row r="12" ht="60" customHeight="1">
      <x:c r="A12" s="49" t="str">
        <x:v>mechanism_tags</x:v>
      </x:c>
      <x:c r="B12" s="49" t="str">
        <x:v>array enum</x:v>
      </x:c>
      <x:c r="C12" s="49" t="str">
        <x:v>是</x:v>
      </x:c>
      <x:c r="D12" s="49" t="str">
        <x:v>七种底层操作组合</x:v>
      </x:c>
      <x:c r="E12" s="49" t="str">
        <x:v>[供给,导流]</x:v>
      </x:c>
      <x:c r="F12" s="49" t="str">
        <x:v>机制</x:v>
      </x:c>
      <x:c r="G12" s="49" t="str">
        <x:v>开发/高级说明</x:v>
      </x:c>
      <x:c r="H12" s="49" t="str">
        <x:v>至少一项且与用途相容</x:v>
      </x:c>
      <x:c r="I12" s="49" t="str">
        <x:v>冻结</x:v>
      </x:c>
      <x:c r="J12" s="49" t="str">
        <x:v>用于耐药分组与失败生成</x:v>
      </x:c>
    </x:row>
    <x:row r="13" ht="60" customHeight="1">
      <x:c r="A13" s="49" t="str">
        <x:v>time_shape</x:v>
      </x:c>
      <x:c r="B13" s="49" t="str">
        <x:v>enum</x:v>
      </x:c>
      <x:c r="C13" s="49" t="str">
        <x:v>是</x:v>
      </x:c>
      <x:c r="D13" s="49" t="str">
        <x:v>瞬时/短时/恢复期/持续/长期/一次性窗口</x:v>
      </x:c>
      <x:c r="E13" s="49" t="str">
        <x:v>瞬时</x:v>
      </x:c>
      <x:c r="F13" s="49" t="str">
        <x:v>机制</x:v>
      </x:c>
      <x:c r="G13" s="49" t="str">
        <x:v>是</x:v>
      </x:c>
      <x:c r="H13" s="49" t="str">
        <x:v>枚举校验</x:v>
      </x:c>
      <x:c r="I13" s="49" t="str">
        <x:v>冻结语义</x:v>
      </x:c>
      <x:c r="J13" s="49" t="str">
        <x:v>决定分类边界</x:v>
      </x:c>
    </x:row>
    <x:row r="14" ht="60" customHeight="1">
      <x:c r="A14" s="49" t="str">
        <x:v>effect_components</x:v>
      </x:c>
      <x:c r="B14" s="49" t="str">
        <x:v>array&lt;object&gt;</x:v>
      </x:c>
      <x:c r="C14" s="49" t="str">
        <x:v>是</x:v>
      </x:c>
      <x:c r="D14" s="49" t="str">
        <x:v>一个丹可有多个效果组件</x:v>
      </x:c>
      <x:c r="E14" s="49" t="str">
        <x:v>见下表</x:v>
      </x:c>
      <x:c r="F14" s="49" t="str">
        <x:v>效果</x:v>
      </x:c>
      <x:c r="G14" s="49" t="str">
        <x:v>是</x:v>
      </x:c>
      <x:c r="H14" s="49" t="str">
        <x:v>至少一个主效果</x:v>
      </x:c>
      <x:c r="I14" s="49" t="str">
        <x:v>冻结语义</x:v>
      </x:c>
      <x:c r="J14" s="49" t="str">
        <x:v>替代单effect_target/operation/value</x:v>
      </x:c>
    </x:row>
    <x:row r="15" ht="60" customHeight="1">
      <x:c r="A15" s="49" t="str">
        <x:v>structure_template</x:v>
      </x:c>
      <x:c r="B15" s="49" t="str">
        <x:v>ref/string</x:v>
      </x:c>
      <x:c r="C15" s="49" t="str">
        <x:v>是</x:v>
      </x:c>
      <x:c r="D15" s="49" t="str">
        <x:v>丹构模板及复杂度</x:v>
      </x:c>
      <x:c r="E15" s="49" t="str">
        <x:v>快速解封缓冲环</x:v>
      </x:c>
      <x:c r="F15" s="49" t="str">
        <x:v>世界机制</x:v>
      </x:c>
      <x:c r="G15" s="49" t="str">
        <x:v>开发/说明</x:v>
      </x:c>
      <x:c r="H15" s="49" t="str">
        <x:v>模板存在</x:v>
      </x:c>
      <x:c r="I15" s="49" t="str">
        <x:v>建议冻结</x:v>
      </x:c>
      <x:c r="J15" s="49" t="str">
        <x:v>不等于炼丹工序倒放</x:v>
      </x:c>
    </x:row>
    <x:row r="16" ht="60" customHeight="1">
      <x:c r="A16" s="49" t="str">
        <x:v>spectrum_profile</x:v>
      </x:c>
      <x:c r="B16" s="49" t="str">
        <x:v>object/ref</x:v>
      </x:c>
      <x:c r="C16" s="49" t="str">
        <x:v>是</x:v>
      </x:c>
      <x:c r="D16" s="49" t="str">
        <x:v>丹构行谱与主辅行</x:v>
      </x:c>
      <x:c r="E16" s="49" t="str">
        <x:v>水火主、土金辅</x:v>
      </x:c>
      <x:c r="F16" s="49" t="str">
        <x:v>五行</x:v>
      </x:c>
      <x:c r="G16" s="49" t="str">
        <x:v>高级说明</x:v>
      </x:c>
      <x:c r="H16" s="49" t="str">
        <x:v>可判行或标盲区</x:v>
      </x:c>
      <x:c r="I16" s="49" t="str">
        <x:v>冻结语义</x:v>
      </x:c>
      <x:c r="J16" s="49" t="str">
        <x:v>先定性，不承诺数值字段</x:v>
      </x:c>
    </x:row>
    <x:row r="17" ht="60" customHeight="1">
      <x:c r="A17" s="49" t="str">
        <x:v>nature_profile</x:v>
      </x:c>
      <x:c r="B17" s="49" t="str">
        <x:v>enum/object</x:v>
      </x:c>
      <x:c r="C17" s="49" t="str">
        <x:v>是</x:v>
      </x:c>
      <x:c r="D17" s="49" t="str">
        <x:v>寒凉平温热及展开烈度</x:v>
      </x:c>
      <x:c r="E17" s="49" t="str">
        <x:v>平偏温</x:v>
      </x:c>
      <x:c r="F17" s="49" t="str">
        <x:v>性向</x:v>
      </x:c>
      <x:c r="G17" s="49" t="str">
        <x:v>高级说明</x:v>
      </x:c>
      <x:c r="H17" s="49" t="str">
        <x:v>枚举/组合合法</x:v>
      </x:c>
      <x:c r="I17" s="49" t="str">
        <x:v>建议冻结</x:v>
      </x:c>
      <x:c r="J17" s="49" t="str">
        <x:v>性向不等于五行</x:v>
      </x:c>
    </x:row>
    <x:row r="18" ht="60" customHeight="1">
      <x:c r="A18" s="49" t="str">
        <x:v>flavor_profile</x:v>
      </x:c>
      <x:c r="B18" s="49" t="str">
        <x:v>enum/object</x:v>
      </x:c>
      <x:c r="C18" s="49" t="str">
        <x:v>是</x:v>
      </x:c>
      <x:c r="D18" s="49" t="str">
        <x:v>五味与归经优先级</x:v>
      </x:c>
      <x:c r="E18" s="49" t="str">
        <x:v>辛甘</x:v>
      </x:c>
      <x:c r="F18" s="49" t="str">
        <x:v>归经</x:v>
      </x:c>
      <x:c r="G18" s="49" t="str">
        <x:v>高级说明</x:v>
      </x:c>
      <x:c r="H18" s="49" t="str">
        <x:v>枚举/组合合法</x:v>
      </x:c>
      <x:c r="I18" s="49" t="str">
        <x:v>建议冻结</x:v>
      </x:c>
      <x:c r="J18" s="49" t="str">
        <x:v>五味映射仍可细化</x:v>
      </x:c>
    </x:row>
    <x:row r="19" ht="60" customHeight="1">
      <x:c r="A19" s="49" t="str">
        <x:v>formula_roles</x:v>
      </x:c>
      <x:c r="B19" s="49" t="str">
        <x:v>object</x:v>
      </x:c>
      <x:c r="C19" s="49" t="str">
        <x:v>是</x:v>
      </x:c>
      <x:c r="D19" s="49" t="str">
        <x:v>君臣佐使职能与材料位</x:v>
      </x:c>
      <x:c r="E19" s="49" t="str">
        <x:v>{君:供给,佐:缓冲}</x:v>
      </x:c>
      <x:c r="F19" s="49" t="str">
        <x:v>配方</x:v>
      </x:c>
      <x:c r="G19" s="49" t="str">
        <x:v>开发/图鉴</x:v>
      </x:c>
      <x:c r="H19" s="49" t="str">
        <x:v>君必有；其余按方意</x:v>
      </x:c>
      <x:c r="I19" s="49" t="str">
        <x:v>冻结语义</x:v>
      </x:c>
      <x:c r="J19" s="49" t="str">
        <x:v>品质不决定有没有佐使</x:v>
      </x:c>
    </x:row>
    <x:row r="20" ht="60" customHeight="1">
      <x:c r="A20" s="49" t="str">
        <x:v>road_fit_tags</x:v>
      </x:c>
      <x:c r="B20" s="49" t="str">
        <x:v>array/ref</x:v>
      </x:c>
      <x:c r="C20" s="49" t="str">
        <x:v>否</x:v>
      </x:c>
      <x:c r="D20" s="49" t="str">
        <x:v>化神以后道路适配</x:v>
      </x:c>
      <x:c r="E20" s="49" t="str">
        <x:v>[剑修_金锐]</x:v>
      </x:c>
      <x:c r="F20" s="49" t="str">
        <x:v>适配</x:v>
      </x:c>
      <x:c r="G20" s="49" t="str">
        <x:v>是</x:v>
      </x:c>
      <x:c r="H20" s="49" t="str">
        <x:v>高境方建议必填</x:v>
      </x:c>
      <x:c r="I20" s="49" t="str">
        <x:v>冻结语义</x:v>
      </x:c>
      <x:c r="J20" s="49" t="str">
        <x:v>不得直接赋予理解</x:v>
      </x:c>
    </x:row>
    <x:row r="21" ht="60" customHeight="1">
      <x:c r="A21" s="49" t="str">
        <x:v>release_profile</x:v>
      </x:c>
      <x:c r="B21" s="49" t="str">
        <x:v>object</x:v>
      </x:c>
      <x:c r="C21" s="49" t="str">
        <x:v>是</x:v>
      </x:c>
      <x:c r="D21" s="49" t="str">
        <x:v>解封速度、峰值和缓释行为</x:v>
      </x:c>
      <x:c r="E21" s="49" t="str">
        <x:v>{mode:instant}</x:v>
      </x:c>
      <x:c r="F21" s="49" t="str">
        <x:v>生效链</x:v>
      </x:c>
      <x:c r="G21" s="49" t="str">
        <x:v>部分</x:v>
      </x:c>
      <x:c r="H21" s="49" t="str">
        <x:v>与time_shape一致</x:v>
      </x:c>
      <x:c r="I21" s="49" t="str">
        <x:v>建议冻结</x:v>
      </x:c>
      <x:c r="J21" s="49" t="str">
        <x:v>影响过载与残留</x:v>
      </x:c>
    </x:row>
    <x:row r="22" ht="60" customHeight="1">
      <x:c r="A22" s="49" t="str">
        <x:v>integration_mode</x:v>
      </x:c>
      <x:c r="B22" s="49" t="str">
        <x:v>enum</x:v>
      </x:c>
      <x:c r="C22" s="49" t="str">
        <x:v>是</x:v>
      </x:c>
      <x:c r="D22" s="49" t="str">
        <x:v>结算/整合/排出方式</x:v>
      </x:c>
      <x:c r="E22" s="49" t="str">
        <x:v>action_end</x:v>
      </x:c>
      <x:c r="F22" s="49" t="str">
        <x:v>生效链</x:v>
      </x:c>
      <x:c r="G22" s="49" t="str">
        <x:v>是</x:v>
      </x:c>
      <x:c r="H22" s="49" t="str">
        <x:v>与用途相容</x:v>
      </x:c>
      <x:c r="I22" s="49" t="str">
        <x:v>冻结语义</x:v>
      </x:c>
      <x:c r="J22" s="49" t="str">
        <x:v>普通修为丹动作后结算，高阶可持续</x:v>
      </x:c>
    </x:row>
    <x:row r="23" ht="60" customHeight="1">
      <x:c r="A23" s="49" t="str">
        <x:v>base_dan_toxicity</x:v>
      </x:c>
      <x:c r="B23" s="49" t="str">
        <x:v>number/ref</x:v>
      </x:c>
      <x:c r="C23" s="49" t="str">
        <x:v>是</x:v>
      </x:c>
      <x:c r="D23" s="49" t="str">
        <x:v>本丹基础残留倾向</x:v>
      </x:c>
      <x:c r="E23" s="49" t="str">
        <x:v>数值后定</x:v>
      </x:c>
      <x:c r="F23" s="49" t="str">
        <x:v>代价</x:v>
      </x:c>
      <x:c r="G23" s="49" t="str">
        <x:v>是</x:v>
      </x:c>
      <x:c r="H23" s="49" t="str">
        <x:v>非负，品质/错配再修正</x:v>
      </x:c>
      <x:c r="I23" s="49" t="str">
        <x:v>机制冻结·数值待定</x:v>
      </x:c>
      <x:c r="J23" s="49" t="str">
        <x:v>清毒丹也不为零</x:v>
      </x:c>
    </x:row>
    <x:row r="24" ht="60" customHeight="1">
      <x:c r="A24" s="49" t="str">
        <x:v>rejection_rule</x:v>
      </x:c>
      <x:c r="B24" s="49" t="str">
        <x:v>rule/ref</x:v>
      </x:c>
      <x:c r="C24" s="49" t="str">
        <x:v>是</x:v>
      </x:c>
      <x:c r="D24" s="49" t="str">
        <x:v>即时错配事件规则</x:v>
      </x:c>
      <x:c r="E24" s="49" t="str">
        <x:v>realm_overload</x:v>
      </x:c>
      <x:c r="F24" s="49" t="str">
        <x:v>代价</x:v>
      </x:c>
      <x:c r="G24" s="49" t="str">
        <x:v>是</x:v>
      </x:c>
      <x:c r="H24" s="49" t="str">
        <x:v>覆盖境界/行谱/道路/对象</x:v>
      </x:c>
      <x:c r="I24" s="49" t="str">
        <x:v>冻结语义</x:v>
      </x:c>
      <x:c r="J24" s="49" t="str">
        <x:v>不存排异累积值</x:v>
      </x:c>
    </x:row>
    <x:row r="25" ht="60" customHeight="1">
      <x:c r="A25" s="49" t="str">
        <x:v>tolerance_group</x:v>
      </x:c>
      <x:c r="B25" s="49" t="str">
        <x:v>key</x:v>
      </x:c>
      <x:c r="C25" s="49" t="str">
        <x:v>是</x:v>
      </x:c>
      <x:c r="D25" s="49" t="str">
        <x:v>对象＋机制＋时间形成的耐药组</x:v>
      </x:c>
      <x:c r="E25" s="49" t="str">
        <x:v>灵力_供给导流_瞬时</x:v>
      </x:c>
      <x:c r="F25" s="49" t="str">
        <x:v>代价</x:v>
      </x:c>
      <x:c r="G25" s="49" t="str">
        <x:v>是</x:v>
      </x:c>
      <x:c r="H25" s="49" t="str">
        <x:v>禁止按丹名分组</x:v>
      </x:c>
      <x:c r="I25" s="49" t="str">
        <x:v>冻结</x:v>
      </x:c>
      <x:c r="J25" s="49" t="str">
        <x:v>玩家只在当前丹查看收益</x:v>
      </x:c>
    </x:row>
    <x:row r="26" ht="60" customHeight="1">
      <x:c r="A26" s="49" t="str">
        <x:v>permanent_diminishing_group</x:v>
      </x:c>
      <x:c r="B26" s="49" t="str">
        <x:v>key/null</x:v>
      </x:c>
      <x:c r="C26" s="49" t="str">
        <x:v>是</x:v>
      </x:c>
      <x:c r="D26" s="49" t="str">
        <x:v>有限改造空间组</x:v>
      </x:c>
      <x:c r="E26" s="49" t="str">
        <x:v>灵根重塑_主行</x:v>
      </x:c>
      <x:c r="F26" s="49" t="str">
        <x:v>代价</x:v>
      </x:c>
      <x:c r="G26" s="49" t="str">
        <x:v>专属界面</x:v>
      </x:c>
      <x:c r="H26" s="49" t="str">
        <x:v>可为空但要显式null</x:v>
      </x:c>
      <x:c r="I26" s="49" t="str">
        <x:v>冻结</x:v>
      </x:c>
      <x:c r="J26" s="49" t="str">
        <x:v>不可与耐药互换</x:v>
      </x:c>
    </x:row>
    <x:row r="27" ht="60" customHeight="1">
      <x:c r="A27" s="49" t="str">
        <x:v>source_risk_tags</x:v>
      </x:c>
      <x:c r="B27" s="49" t="str">
        <x:v>array</x:v>
      </x:c>
      <x:c r="C27" s="49" t="str">
        <x:v>是</x:v>
      </x:c>
      <x:c r="D27" s="49" t="str">
        <x:v>来源、魔染、盲区、保存风险</x:v>
      </x:c>
      <x:c r="E27" s="49" t="str">
        <x:v>[常规宗门]</x:v>
      </x:c>
      <x:c r="F27" s="49" t="str">
        <x:v>来源</x:v>
      </x:c>
      <x:c r="G27" s="49" t="str">
        <x:v>是</x:v>
      </x:c>
      <x:c r="H27" s="49" t="str">
        <x:v>至少明确无/未知</x:v>
      </x:c>
      <x:c r="I27" s="49" t="str">
        <x:v>冻结边界</x:v>
      </x:c>
      <x:c r="J27" s="49" t="str">
        <x:v>品质不承担来源</x:v>
      </x:c>
    </x:row>
    <x:row r="28">
      <x:c r="A28" s="70"/>
      <x:c r="B28" s="70"/>
      <x:c r="C28" s="70"/>
      <x:c r="D28" s="70"/>
      <x:c r="E28" s="70"/>
      <x:c r="F28" s="70"/>
      <x:c r="G28" s="70"/>
      <x:c r="H28" s="70"/>
      <x:c r="I28" s="70"/>
      <x:c r="J28" s="70"/>
    </x:row>
    <x:row r="29">
      <x:c r="A29" s="70"/>
      <x:c r="B29" s="70"/>
      <x:c r="C29" s="70"/>
      <x:c r="D29" s="70"/>
      <x:c r="E29" s="70"/>
      <x:c r="F29" s="70"/>
      <x:c r="G29" s="70"/>
      <x:c r="H29" s="70"/>
      <x:c r="I29" s="70"/>
      <x:c r="J29" s="70"/>
    </x:row>
    <x:row r="30" ht="24" customHeight="1">
      <x:c r="A30" s="72" t="str">
        <x:v>effect_components 子结构</x:v>
      </x:c>
      <x:c r="B30" s="72" t="str">
        <x:v>effect_components 子结构</x:v>
      </x:c>
      <x:c r="C30" s="72" t="str">
        <x:v>effect_components 子结构</x:v>
      </x:c>
      <x:c r="D30" s="72" t="str">
        <x:v>effect_components 子结构</x:v>
      </x:c>
      <x:c r="E30" s="72" t="str">
        <x:v>effect_components 子结构</x:v>
      </x:c>
      <x:c r="F30" s="72" t="str">
        <x:v>effect_components 子结构</x:v>
      </x:c>
      <x:c r="G30" s="72" t="str">
        <x:v>effect_components 子结构</x:v>
      </x:c>
      <x:c r="H30" s="72" t="str">
        <x:v>effect_components 子结构</x:v>
      </x:c>
      <x:c r="I30" s="72" t="str">
        <x:v>effect_components 子结构</x:v>
      </x:c>
      <x:c r="J30" s="72" t="str">
        <x:v>effect_components 子结构</x:v>
      </x:c>
    </x:row>
    <x:row r="31" ht="34" customHeight="1">
      <x:c r="A31" s="79" t="str">
        <x:v>子字段</x:v>
      </x:c>
      <x:c r="B31" s="80" t="str">
        <x:v>类型</x:v>
      </x:c>
      <x:c r="C31" s="80" t="str">
        <x:v>必填</x:v>
      </x:c>
      <x:c r="D31" s="80" t="str">
        <x:v>语义</x:v>
      </x:c>
      <x:c r="E31" s="80" t="str">
        <x:v>示例</x:v>
      </x:c>
      <x:c r="F31" s="80" t="str">
        <x:v>验证</x:v>
      </x:c>
      <x:c r="G31" s="80" t="str">
        <x:v>状态</x:v>
      </x:c>
      <x:c r="H31" s="80" t="str">
        <x:v>玩家可见</x:v>
      </x:c>
      <x:c r="I31" s="80" t="str">
        <x:v>备注</x:v>
      </x:c>
      <x:c r="J31" s="81" t="str">
        <x:v>署名</x:v>
      </x:c>
    </x:row>
    <x:row r="32" ht="52" customHeight="1">
      <x:c r="A32" s="48" t="str">
        <x:v>effect_id</x:v>
      </x:c>
      <x:c r="B32" s="48" t="str">
        <x:v>string</x:v>
      </x:c>
      <x:c r="C32" s="48" t="str">
        <x:v>是</x:v>
      </x:c>
      <x:c r="D32" s="48" t="str">
        <x:v>组件唯一标识</x:v>
      </x:c>
      <x:c r="E32" s="48" t="str">
        <x:v>restore_qi</x:v>
      </x:c>
      <x:c r="F32" s="48" t="str">
        <x:v>同丹内唯一</x:v>
      </x:c>
      <x:c r="G32" s="48" t="str">
        <x:v>建议冻结</x:v>
      </x:c>
      <x:c r="H32" s="48" t="str">
        <x:v>否</x:v>
      </x:c>
      <x:c r="I32" s="48" t="str">
        <x:v>便于多效果与日志</x:v>
      </x:c>
      <x:c r="J32" s="48" t="str">
        <x:v>——小G</x:v>
      </x:c>
    </x:row>
    <x:row r="33" ht="52" customHeight="1">
      <x:c r="A33" s="49" t="str">
        <x:v>target</x:v>
      </x:c>
      <x:c r="B33" s="49" t="str">
        <x:v>enum/ref</x:v>
      </x:c>
      <x:c r="C33" s="49" t="str">
        <x:v>是</x:v>
      </x:c>
      <x:c r="D33" s="49" t="str">
        <x:v>组件作用对象</x:v>
      </x:c>
      <x:c r="E33" s="49" t="str">
        <x:v>usable_qi</x:v>
      </x:c>
      <x:c r="F33" s="49" t="str">
        <x:v>必须在target_objects中</x:v>
      </x:c>
      <x:c r="G33" s="49" t="str">
        <x:v>冻结语义</x:v>
      </x:c>
      <x:c r="H33" s="49" t="str">
        <x:v>是</x:v>
      </x:c>
      <x:c r="I33" s="49" t="str">
        <x:v>对象与用途分开</x:v>
      </x:c>
      <x:c r="J33" s="49"/>
    </x:row>
    <x:row r="34" ht="52" customHeight="1">
      <x:c r="A34" s="49" t="str">
        <x:v>operation</x:v>
      </x:c>
      <x:c r="B34" s="49" t="str">
        <x:v>enum</x:v>
      </x:c>
      <x:c r="C34" s="49" t="str">
        <x:v>是</x:v>
      </x:c>
      <x:c r="D34" s="49" t="str">
        <x:v>七操作之一</x:v>
      </x:c>
      <x:c r="E34" s="49" t="str">
        <x:v>供给</x:v>
      </x:c>
      <x:c r="F34" s="49" t="str">
        <x:v>必须在mechanism_tags中</x:v>
      </x:c>
      <x:c r="G34" s="49" t="str">
        <x:v>冻结</x:v>
      </x:c>
      <x:c r="H34" s="49" t="str">
        <x:v>高级说明</x:v>
      </x:c>
      <x:c r="I34" s="49" t="str">
        <x:v>每组件一个主操作</x:v>
      </x:c>
      <x:c r="J34" s="49"/>
    </x:row>
    <x:row r="35" ht="52" customHeight="1">
      <x:c r="A35" s="49" t="str">
        <x:v>magnitude</x:v>
      </x:c>
      <x:c r="B35" s="49" t="str">
        <x:v>number/formula ref</x:v>
      </x:c>
      <x:c r="C35" s="49" t="str">
        <x:v>是</x:v>
      </x:c>
      <x:c r="D35" s="49" t="str">
        <x:v>基础强度</x:v>
      </x:c>
      <x:c r="E35" s="49" t="str">
        <x:v>数值后定</x:v>
      </x:c>
      <x:c r="F35" s="49" t="str">
        <x:v>非负或明确可负</x:v>
      </x:c>
      <x:c r="G35" s="49" t="str">
        <x:v>数值待定</x:v>
      </x:c>
      <x:c r="H35" s="49" t="str">
        <x:v>是</x:v>
      </x:c>
      <x:c r="I35" s="49" t="str">
        <x:v>禁止把平衡数写进世界观</x:v>
      </x:c>
      <x:c r="J35" s="49"/>
    </x:row>
    <x:row r="36" ht="52" customHeight="1">
      <x:c r="A36" s="49" t="str">
        <x:v>duration</x:v>
      </x:c>
      <x:c r="B36" s="49" t="str">
        <x:v>number/ref</x:v>
      </x:c>
      <x:c r="C36" s="49" t="str">
        <x:v>条件</x:v>
      </x:c>
      <x:c r="D36" s="49" t="str">
        <x:v>持续效果时长</x:v>
      </x:c>
      <x:c r="E36" s="49" t="str">
        <x:v>数值后定</x:v>
      </x:c>
      <x:c r="F36" s="49" t="str">
        <x:v>与time_shape一致</x:v>
      </x:c>
      <x:c r="G36" s="49" t="str">
        <x:v>数值待定</x:v>
      </x:c>
      <x:c r="H36" s="49" t="str">
        <x:v>是</x:v>
      </x:c>
      <x:c r="I36" s="49" t="str">
        <x:v>瞬时可为0</x:v>
      </x:c>
      <x:c r="J36" s="49"/>
    </x:row>
    <x:row r="37" ht="52" customHeight="1">
      <x:c r="A37" s="49" t="str">
        <x:v>stack_rule</x:v>
      </x:c>
      <x:c r="B37" s="49" t="str">
        <x:v>enum/ref</x:v>
      </x:c>
      <x:c r="C37" s="49" t="str">
        <x:v>是</x:v>
      </x:c>
      <x:c r="D37" s="49" t="str">
        <x:v>叠加、覆盖、互斥规则</x:v>
      </x:c>
      <x:c r="E37" s="49" t="str">
        <x:v>refresh_duration</x:v>
      </x:c>
      <x:c r="F37" s="49" t="str">
        <x:v>枚举合法</x:v>
      </x:c>
      <x:c r="G37" s="49" t="str">
        <x:v>待设计</x:v>
      </x:c>
      <x:c r="H37" s="49" t="str">
        <x:v>部分</x:v>
      </x:c>
      <x:c r="I37" s="49" t="str">
        <x:v>与多丹同服系统相接</x:v>
      </x:c>
      <x:c r="J37" s="49"/>
    </x:row>
    <x:row r="38" ht="52" customHeight="1">
      <x:c r="A38" s="49" t="str">
        <x:v>conversion_rule</x:v>
      </x:c>
      <x:c r="B38" s="49" t="str">
        <x:v>rule/ref</x:v>
      </x:c>
      <x:c r="C38" s="49" t="str">
        <x:v>否</x:v>
      </x:c>
      <x:c r="D38" s="49" t="str">
        <x:v>结构转正、耗散或排出规则</x:v>
      </x:c>
      <x:c r="E38" s="49" t="str">
        <x:v>action_end_integrate</x:v>
      </x:c>
      <x:c r="F38" s="49" t="str">
        <x:v>目标合法</x:v>
      </x:c>
      <x:c r="G38" s="49" t="str">
        <x:v>建议冻结</x:v>
      </x:c>
      <x:c r="H38" s="49" t="str">
        <x:v>否</x:v>
      </x:c>
      <x:c r="I38" s="49" t="str">
        <x:v>修为/破境/净化尤为重要</x:v>
      </x:c>
      <x:c r="J38" s="49"/>
    </x:row>
    <x:row r="39">
      <x:c r="A39" s="70"/>
      <x:c r="B39" s="70"/>
      <x:c r="C39" s="70"/>
      <x:c r="D39" s="70"/>
      <x:c r="E39" s="70"/>
      <x:c r="F39" s="70"/>
      <x:c r="G39" s="70"/>
      <x:c r="H39" s="70"/>
      <x:c r="I39" s="70"/>
      <x:c r="J39" s="70"/>
    </x:row>
    <x:row r="40">
      <x:c r="A40" s="70"/>
      <x:c r="B40" s="70"/>
      <x:c r="C40" s="70"/>
      <x:c r="D40" s="70"/>
      <x:c r="E40" s="70"/>
      <x:c r="F40" s="70"/>
      <x:c r="G40" s="70"/>
      <x:c r="H40" s="70"/>
      <x:c r="I40" s="70"/>
      <x:c r="J40" s="70"/>
    </x:row>
    <x:row r="41" ht="24" customHeight="1">
      <x:c r="A41" s="72" t="str">
        <x:v>自动质量检查</x:v>
      </x:c>
      <x:c r="B41" s="72" t="str">
        <x:v>自动质量检查</x:v>
      </x:c>
      <x:c r="C41" s="72" t="str">
        <x:v>自动质量检查</x:v>
      </x:c>
      <x:c r="D41" s="72" t="str">
        <x:v>自动质量检查</x:v>
      </x:c>
      <x:c r="E41" s="72" t="str">
        <x:v>自动质量检查</x:v>
      </x:c>
      <x:c r="F41" s="72" t="str">
        <x:v>自动质量检查</x:v>
      </x:c>
      <x:c r="G41" s="72" t="str">
        <x:v>自动质量检查</x:v>
      </x:c>
      <x:c r="H41" s="72" t="str">
        <x:v>自动质量检查</x:v>
      </x:c>
      <x:c r="I41" s="72" t="str">
        <x:v>自动质量检查</x:v>
      </x:c>
      <x:c r="J41" s="72" t="str">
        <x:v>自动质量检查</x:v>
      </x:c>
    </x:row>
    <x:row r="42">
      <x:c r="A42" s="85" t="str">
        <x:v>检查项</x:v>
      </x:c>
      <x:c r="B42" s="85" t="str">
        <x:v>结果</x:v>
      </x:c>
      <x:c r="C42" s="70"/>
      <x:c r="D42" s="70"/>
      <x:c r="E42" s="70"/>
      <x:c r="F42" s="70"/>
      <x:c r="G42" s="70"/>
      <x:c r="H42" s="70"/>
      <x:c r="I42" s="70"/>
      <x:c r="J42" s="70"/>
    </x:row>
    <x:row r="43">
      <x:c r="A43" s="73" t="str">
        <x:v>用途主类数量</x:v>
      </x:c>
      <x:c r="B43" s="86" t="n">
        <x:f>COUNTA('01_用途九类'!$C$4:$C$12)</x:f>
        <x:v>9</x:v>
      </x:c>
      <x:c r="C43" s="70"/>
      <x:c r="D43" s="70"/>
      <x:c r="E43" s="70"/>
      <x:c r="F43" s="70"/>
      <x:c r="G43" s="70"/>
      <x:c r="H43" s="70"/>
      <x:c r="I43" s="70"/>
      <x:c r="J43" s="70"/>
    </x:row>
    <x:row r="44">
      <x:c r="A44" s="75" t="str">
        <x:v>固定子类数量</x:v>
      </x:c>
      <x:c r="B44" s="87" t="n">
        <x:f>COUNTA('02_子类规格'!$C$4:$C$37)</x:f>
        <x:v>34</x:v>
      </x:c>
      <x:c r="C44" s="70"/>
      <x:c r="D44" s="70"/>
      <x:c r="E44" s="70"/>
      <x:c r="F44" s="70"/>
      <x:c r="G44" s="70"/>
      <x:c r="H44" s="70"/>
      <x:c r="I44" s="70"/>
      <x:c r="J44" s="70"/>
    </x:row>
    <x:row r="45">
      <x:c r="A45" s="75" t="str">
        <x:v>实例字段完整</x:v>
      </x:c>
      <x:c r="B45" s="87" t="n">
        <x:f>COUNTIF('08_丹药实例库'!$AC$4:$AC$37,"完整")</x:f>
        <x:v>34</x:v>
      </x:c>
      <x:c r="C45" s="70"/>
      <x:c r="D45" s="70"/>
      <x:c r="E45" s="70"/>
      <x:c r="F45" s="70"/>
      <x:c r="G45" s="70"/>
      <x:c r="H45" s="70"/>
      <x:c r="I45" s="70"/>
      <x:c r="J45" s="70"/>
    </x:row>
    <x:row r="46">
      <x:c r="A46" s="77" t="str">
        <x:v>实例分类通过</x:v>
      </x:c>
      <x:c r="B46" s="88" t="n">
        <x:f>COUNTIF('08_丹药实例库'!$AD$4:$AD$37,"通过")</x:f>
        <x:v>34</x:v>
      </x:c>
      <x:c r="C46" s="70"/>
      <x:c r="D46" s="70"/>
      <x:c r="E46" s="70"/>
      <x:c r="F46" s="70"/>
      <x:c r="G46" s="70"/>
      <x:c r="H46" s="70"/>
      <x:c r="I46" s="70"/>
      <x:c r="J46" s="70"/>
    </x:row>
  </x:sheetData>
  <x:mergeCells>
    <x:mergeCell ref="A1:J1"/>
    <x:mergeCell ref="A2:J2"/>
    <x:mergeCell ref="A30:J30"/>
    <x:mergeCell ref="A41:J41"/>
  </x:mergeCells>
  <x:conditionalFormatting sqref="I4:I27">
    <x:cfRule type="containsText" dxfId="42" priority="1" operator="containsText" text="冻结"/>
    <x:cfRule type="containsText" dxfId="43" priority="2" operator="containsText" text="占位"/>
    <x:cfRule type="containsText" dxfId="44" priority="3" operator="containsText" text="检查"/>
  </x:conditionalFormatting>
  <x:pageMargins left="0.7" right="0.7" top="0.75" bottom="0.75" header="0.3" footer="0.3"/>
  <x:tableParts count="2">
    <x:tablePart xmlns:r="http://schemas.openxmlformats.org/officeDocument/2006/relationships" r:id="Ra8e7267fd5ad4371"/>
    <x:tablePart xmlns:r="http://schemas.openxmlformats.org/officeDocument/2006/relationships" r:id="R8772309aab6b456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42" hidden="0" customWidth="1"/>
    <x:col min="5" max="5" width="48" hidden="0" customWidth="1"/>
    <x:col min="6" max="6" width="18" hidden="0" customWidth="1"/>
    <x:col min="7" max="7" width="46" hidden="0" customWidth="1"/>
    <x:col min="8" max="8" width="30" hidden="0" customWidth="1"/>
    <x:col min="9" max="9" width="14" hidden="0" customWidth="1"/>
  </x:cols>
  <x:sheetData>
    <x:row r="1" ht="32" customHeight="1">
      <x:c r="A1" s="69" t="str">
        <x:v>第12轮互审与第13轮裁定</x:v>
      </x:c>
      <x:c r="B1" s="70"/>
      <x:c r="C1" s="70"/>
      <x:c r="D1" s="70"/>
      <x:c r="E1" s="70"/>
      <x:c r="F1" s="70"/>
      <x:c r="G1" s="70"/>
      <x:c r="H1" s="70"/>
      <x:c r="I1" s="70"/>
    </x:row>
    <x:row r="2" ht="32" customHeight="1">
      <x:c r="A2" s="71" t="str">
        <x:v>本页记录三家观点如何进入小G第13轮，不把任何纸推细节伪装成既定世界规则。——小G</x:v>
      </x:c>
      <x:c r="B2" s="70"/>
      <x:c r="C2" s="70"/>
      <x:c r="D2" s="70"/>
      <x:c r="E2" s="70"/>
      <x:c r="F2" s="70"/>
      <x:c r="G2" s="70"/>
      <x:c r="H2" s="70"/>
      <x:c r="I2" s="70"/>
    </x:row>
    <x:row r="3" ht="34" customHeight="1">
      <x:c r="A3" s="79" t="str">
        <x:v>议题</x:v>
      </x:c>
      <x:c r="B3" s="80" t="str">
        <x:v>小C第12轮</x:v>
      </x:c>
      <x:c r="C3" s="80" t="str">
        <x:v>小G第12轮</x:v>
      </x:c>
      <x:c r="D3" s="80" t="str">
        <x:v>小龙第12轮</x:v>
      </x:c>
      <x:c r="E3" s="80" t="str">
        <x:v>第13轮小G裁定</x:v>
      </x:c>
      <x:c r="F3" s="80" t="str">
        <x:v>状态</x:v>
      </x:c>
      <x:c r="G3" s="80" t="str">
        <x:v>理由</x:v>
      </x:c>
      <x:c r="H3" s="80" t="str">
        <x:v>下游位置</x:v>
      </x:c>
      <x:c r="I3" s="81" t="str">
        <x:v>署名</x:v>
      </x:c>
    </x:row>
    <x:row r="4" ht="84" customHeight="1">
      <x:c r="A4" s="48" t="str">
        <x:v>四族是否锁UI一级筛选</x:v>
      </x:c>
      <x:c r="B4" s="48" t="str">
        <x:v>主张正式作为筛选名</x:v>
      </x:c>
      <x:c r="C4" s="48" t="str">
        <x:v>候选展示粗分，名称待测试</x:v>
      </x:c>
      <x:c r="D4" s="48" t="str">
        <x:v>候选人间经验语言，不锁UI</x:v>
      </x:c>
      <x:c r="E4" s="48" t="str">
        <x:v>保留四族与层级，但不锁界面实现</x:v>
      </x:c>
      <x:c r="F4" s="48" t="str">
        <x:v>冻结边界</x:v>
      </x:c>
      <x:c r="G4" s="48" t="str">
        <x:v>UI受屏幕和测试影响；不应反写成物理</x:v>
      </x:c>
      <x:c r="H4" s="48" t="str">
        <x:v>UI原型/中间层可一句带过</x:v>
      </x:c>
      <x:c r="I4" s="48" t="str">
        <x:v>——小G</x:v>
      </x:c>
    </x:row>
    <x:row r="5" ht="84" customHeight="1">
      <x:c r="A5" s="49" t="str">
        <x:v>修为丹如何结算</x:v>
      </x:c>
      <x:c r="B5" s="49" t="str">
        <x:v>炼气至元婴即时；化神起调息</x:v>
      </x:c>
      <x:c r="C5" s="49" t="str">
        <x:v>普通丹动作后结算，高阶/定制可持续</x:v>
      </x:c>
      <x:c r="D5" s="49" t="str">
        <x:v>默认调息，快速版收益折损</x:v>
      </x:c>
      <x:c r="E5" s="49" t="str">
        <x:v>采用世界过程恒有＋玩法结算可配置；不引入固定八折</x:v>
      </x:c>
      <x:c r="F5" s="49" t="str">
        <x:v>冻结语义</x:v>
      </x:c>
      <x:c r="G5" s="49" t="str">
        <x:v>保留物理自洽，避免未经测试的硬数字</x:v>
      </x:c>
      <x:c r="H5" s="49" t="str">
        <x:v>修炼策划/丹药配置</x:v>
      </x:c>
      <x:c r="I5" s="49" t="str">
        <x:v>——小G</x:v>
      </x:c>
    </x:row>
    <x:row r="6" ht="84" customHeight="1">
      <x:c r="A6" s="49" t="str">
        <x:v>丹毒与耐药提示</x:v>
      </x:c>
      <x:c r="B6" s="49" t="str">
        <x:v>垃圾/吃腻的通俗解释</x:v>
      </x:c>
      <x:c r="C6" s="49" t="str">
        <x:v>剩余异物/外援路径反应</x:v>
      </x:c>
      <x:c r="D6" s="49" t="str">
        <x:v>垃圾条/身体学聪明</x:v>
      </x:c>
      <x:c r="E6" s="49" t="str">
        <x:v>采用小G两句；UI只常驻丹毒，当前丹显示耐药收益</x:v>
      </x:c>
      <x:c r="F6" s="49" t="str">
        <x:v>冻结</x:v>
      </x:c>
      <x:c r="G6" s="49" t="str">
        <x:v>四代价边界清楚且信息不过载</x:v>
      </x:c>
      <x:c r="H6" s="49" t="str">
        <x:v>玩家帮助/UI</x:v>
      </x:c>
      <x:c r="I6" s="49" t="str">
        <x:v>——小G</x:v>
      </x:c>
    </x:row>
    <x:row r="7" ht="84" customHeight="1">
      <x:c r="A7" s="49" t="str">
        <x:v>正式文档施工顺序</x:v>
      </x:c>
      <x:c r="B7" s="49" t="str">
        <x:v>先世界观后策划配置</x:v>
      </x:c>
      <x:c r="C7" s="49" t="str">
        <x:v>给出同批补丁清单，未越权执行</x:v>
      </x:c>
      <x:c r="D7" s="49" t="str">
        <x:v>先世界观，策划在纸推后</x:v>
      </x:c>
      <x:c r="E7" s="49" t="str">
        <x:v>本轮只做Excel，不修改正式稿；施工需用户另令</x:v>
      </x:c>
      <x:c r="F7" s="49" t="str">
        <x:v>冻结流程</x:v>
      </x:c>
      <x:c r="G7" s="49" t="str">
        <x:v>用户只要求第13轮Excel</x:v>
      </x:c>
      <x:c r="H7" s="49" t="str">
        <x:v>后续补丁包</x:v>
      </x:c>
      <x:c r="I7" s="49" t="str">
        <x:v>——小G</x:v>
      </x:c>
    </x:row>
    <x:row r="8" ht="84" customHeight="1">
      <x:c r="A8" s="49" t="str">
        <x:v>五丹纸推</x:v>
      </x:c>
      <x:c r="B8" s="49" t="str">
        <x:v>支持首丹验证</x:v>
      </x:c>
      <x:c r="C8" s="49" t="str">
        <x:v>吸收结构逻辑，拒绝越界细项</x:v>
      </x:c>
      <x:c r="D8" s="49" t="str">
        <x:v>给出五颗详细方</x:v>
      </x:c>
      <x:c r="E8" s="49" t="str">
        <x:v>吸收对象/操作/失败链；药名、药材、比例与数字均占位</x:v>
      </x:c>
      <x:c r="F8" s="49" t="str">
        <x:v>纸推占位</x:v>
      </x:c>
      <x:c r="G8" s="49" t="str">
        <x:v>具体丹方和材料属于后续阶段</x:v>
      </x:c>
      <x:c r="H8" s="49" t="str">
        <x:v>丹方设计阶段</x:v>
      </x:c>
      <x:c r="I8" s="49" t="str">
        <x:v>——小G</x:v>
      </x:c>
    </x:row>
    <x:row r="9" ht="84" customHeight="1">
      <x:c r="A9" s="49" t="str">
        <x:v>炼丹师境界与工序权限</x:v>
      </x:c>
      <x:c r="B9" s="49" t="str">
        <x:v>此前纸推出现权限假设</x:v>
      </x:c>
      <x:c r="C9" s="49" t="str">
        <x:v>明确未冻结且与境界/学问正交冲突</x:v>
      </x:c>
      <x:c r="D9" s="49" t="str">
        <x:v>再次使用炼气不能分理、金丹以上才能分理</x:v>
      </x:c>
      <x:c r="E9" s="49" t="str">
        <x:v>删除硬权限；改由知识、神识精度、设备、材料与熟练决定结果</x:v>
      </x:c>
      <x:c r="F9" s="49" t="str">
        <x:v>纠偏</x:v>
      </x:c>
      <x:c r="G9" s="49" t="str">
        <x:v>不能把示例写成世界本体</x:v>
      </x:c>
      <x:c r="H9" s="49" t="str">
        <x:v>炼丹过程阶段</x:v>
      </x:c>
      <x:c r="I9" s="49" t="str">
        <x:v>——小G</x:v>
      </x:c>
    </x:row>
    <x:row r="10" ht="84" customHeight="1">
      <x:c r="A10" s="49" t="str">
        <x:v>品质决定佐使</x:v>
      </x:c>
      <x:c r="B10" s="49" t="str">
        <x:v>示例曾用凡品省佐</x:v>
      </x:c>
      <x:c r="C10" s="49" t="str">
        <x:v>明确品质不决定佐使</x:v>
      </x:c>
      <x:c r="D10" s="49" t="str">
        <x:v>纸推再次出现凡品省佐</x:v>
      </x:c>
      <x:c r="E10" s="49" t="str">
        <x:v>明确品质与方内职能正交</x:v>
      </x:c>
      <x:c r="F10" s="49" t="str">
        <x:v>纠偏</x:v>
      </x:c>
      <x:c r="G10" s="49" t="str">
        <x:v>品质是成丹实现程度，佐使是设计职责</x:v>
      </x:c>
      <x:c r="H10" s="49" t="str">
        <x:v>物品品质/丹方表</x:v>
      </x:c>
      <x:c r="I10" s="49" t="str">
        <x:v>——小G</x:v>
      </x:c>
    </x:row>
    <x:row r="11" ht="84" customHeight="1">
      <x:c r="A11" s="49" t="str">
        <x:v>具体20%/第三颗无效</x:v>
      </x:c>
      <x:c r="B11" s="49" t="str">
        <x:v>未主张冻结数字</x:v>
      </x:c>
      <x:c r="C11" s="49" t="str">
        <x:v>要求数值后置</x:v>
      </x:c>
      <x:c r="D11" s="49" t="str">
        <x:v>纸推给出损失约两成、第三颗几乎无效</x:v>
      </x:c>
      <x:c r="E11" s="49" t="str">
        <x:v>删除硬数字，只保留参数接口</x:v>
      </x:c>
      <x:c r="F11" s="49" t="str">
        <x:v>纸推占位</x:v>
      </x:c>
      <x:c r="G11" s="49" t="str">
        <x:v>尚无平衡依据</x:v>
      </x:c>
      <x:c r="H11" s="49" t="str">
        <x:v>数值策划</x:v>
      </x:c>
      <x:c r="I11" s="49" t="str">
        <x:v>——小G</x:v>
      </x:c>
    </x:row>
    <x:row r="12" ht="84" customHeight="1">
      <x:c r="A12" s="49" t="str">
        <x:v>第三阶段是否完成</x:v>
      </x:c>
      <x:c r="B12" s="49" t="str">
        <x:v>主张收口</x:v>
      </x:c>
      <x:c r="C12" s="49" t="str">
        <x:v>主张可冻结</x:v>
      </x:c>
      <x:c r="D12" s="49" t="str">
        <x:v>主张完成</x:v>
      </x:c>
      <x:c r="E12" s="49" t="str">
        <x:v>第三阶段主干完成；第13轮进入详细系统规格与阶段4桥接</x:v>
      </x:c>
      <x:c r="F12" s="49" t="str">
        <x:v>冻结</x:v>
      </x:c>
      <x:c r="G12" s="49" t="str">
        <x:v>三家无实质分歧</x:v>
      </x:c>
      <x:c r="H12" s="49" t="str">
        <x:v>项目里程碑</x:v>
      </x:c>
      <x:c r="I12" s="49" t="str">
        <x:v>——小G</x:v>
      </x:c>
    </x:row>
    <x:row r="13" ht="84" customHeight="1">
      <x:c r="A13" s="49" t="str">
        <x:v>第13轮交付形态</x:v>
      </x:c>
      <x:c r="B13" s="49" t="str">
        <x:v>未指定Excel</x:v>
      </x:c>
      <x:c r="C13" s="49" t="str">
        <x:v>未指定Excel</x:v>
      </x:c>
      <x:c r="D13" s="49" t="str">
        <x:v>建议继续补四丹</x:v>
      </x:c>
      <x:c r="E13" s="49" t="str">
        <x:v>按用户要求交付可筛选Excel，覆盖34子类和34实例</x:v>
      </x:c>
      <x:c r="F13" s="49" t="str">
        <x:v>完成</x:v>
      </x:c>
      <x:c r="G13" s="49" t="str">
        <x:v>详细度足以供下一轮各方互评与继续填方</x:v>
      </x:c>
      <x:c r="H13" s="49" t="str">
        <x:v>本工作簿</x:v>
      </x:c>
      <x:c r="I13" s="49" t="str">
        <x:v>——小G</x:v>
      </x:c>
    </x:row>
  </x:sheetData>
  <x:mergeCells>
    <x:mergeCell ref="A1:I1"/>
    <x:mergeCell ref="A2:I2"/>
  </x:mergeCells>
  <x:conditionalFormatting sqref="F4:F13">
    <x:cfRule type="containsText" dxfId="45" priority="1" operator="containsText" text="冻结"/>
    <x:cfRule type="containsText" dxfId="46" priority="2" operator="containsText" text="占位"/>
    <x:cfRule type="containsText" dxfId="47" priority="3" operator="containsText" text="检查"/>
  </x:conditionalFormatting>
  <x:pageMargins left="0.7" right="0.7" top="0.75" bottom="0.75" header="0.3" footer="0.3"/>
  <x:tableParts count="1">
    <x:tablePart xmlns:r="http://schemas.openxmlformats.org/officeDocument/2006/relationships" r:id="R5123ba2ba1064809"/>
  </x:tableParts>
</x:worksheet>
</file>