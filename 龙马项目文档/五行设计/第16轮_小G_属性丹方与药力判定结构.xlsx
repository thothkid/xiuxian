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4cd2a49ade45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第16轮发言" sheetId="1" r:id="R431c8b8d14e148f1"/>
    <x:sheet xmlns:r="http://schemas.openxmlformats.org/officeDocument/2006/relationships" name="01_炼丹判定总纲" sheetId="2" r:id="R870e15d4909f4967"/>
    <x:sheet xmlns:r="http://schemas.openxmlformats.org/officeDocument/2006/relationships" name="02_九类属性丹方" sheetId="3" r:id="R3cd34f699343481d"/>
    <x:sheet xmlns:r="http://schemas.openxmlformats.org/officeDocument/2006/relationships" name="03_灵材属性表" sheetId="4" r:id="Rdbff4fcbae90428b"/>
    <x:sheet xmlns:r="http://schemas.openxmlformats.org/officeDocument/2006/relationships" name="04_药力曲线" sheetId="5" r:id="Re0c7ce326b044edb"/>
    <x:sheet xmlns:r="http://schemas.openxmlformats.org/officeDocument/2006/relationships" name="05_配置字段" sheetId="6" r:id="R2f04054a71a44c54"/>
    <x:sheet xmlns:r="http://schemas.openxmlformats.org/officeDocument/2006/relationships" name="06_聚元丹验算" sheetId="7" r:id="R0c3738fff9c64b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212B"/>
      <x:name val="Carlito"/>
    </x:font>
    <x:font>
      <x:b/>
      <x:sz val="10"/>
      <x:color rgb="FFFFFFFF"/>
      <x:name val="Carlito"/>
    </x:font>
    <x:font>
      <x:sz val="10"/>
      <x:color rgb="FF17212B"/>
      <x:name val="Carlito"/>
    </x:font>
    <x:font>
      <x:b/>
      <x:sz val="10"/>
      <x:color rgb="FF17212B"/>
      <x:name val="Carlito"/>
    </x:font>
    <x:font>
      <x:b/>
      <x:sz val="11"/>
      <x:color rgb="FF17212B"/>
      <x:name val="Carlito"/>
    </x:font>
    <x:font>
      <x:b/>
      <x:sz val="11"/>
      <x:color rgb="FF17324D"/>
      <x:name val="Carlito"/>
    </x:font>
    <x:font>
      <x:b/>
      <x:sz val="10"/>
      <x:color rgb="FF17212B"/>
      <x:name val="Microsoft YaHei"/>
    </x:font>
    <x:font>
      <x:i/>
      <x:sz val="10"/>
      <x:color rgb="FF17212B"/>
      <x:name val="Microsoft YaHei"/>
    </x:font>
    <x:font>
      <x:sz val="10"/>
      <x:color rgb="FF17212B"/>
      <x:name val="Microsoft YaHei"/>
    </x:font>
    <x:font>
      <x:b/>
      <x:sz val="16"/>
      <x:color rgb="FFFFFFFF"/>
      <x:name val="Microsoft YaHei"/>
    </x:font>
  </x:fonts>
  <x:fills count="13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EF5FA"/>
      </x:patternFill>
    </x:fill>
    <x:fill>
      <x:patternFill patternType="solid">
        <x:fgColor rgb="FF244A68"/>
      </x:patternFill>
    </x:fill>
    <x:fill>
      <x:patternFill patternType="solid">
        <x:fgColor rgb="FFFFFFFF"/>
      </x:patternFill>
    </x:fill>
    <x:fill>
      <x:patternFill patternType="solid">
        <x:fgColor rgb="FFDDEEDB"/>
      </x:patternFill>
    </x:fill>
    <x:fill>
      <x:patternFill patternType="solid">
        <x:fgColor rgb="FFFFF4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DDEBF7"/>
      </x:patternFill>
    </x:fill>
  </x:fills>
  <x:borders count="10">
    <x:border/>
    <x:border>
      <x:left style="thin">
        <x:color rgb="FFB8C3CC"/>
      </x:left>
      <x:right style="thin">
        <x:color rgb="FFB8C3CC"/>
      </x:right>
      <x:top style="thin">
        <x:color rgb="FFB8C3CC"/>
      </x:top>
      <x:bottom style="thin">
        <x:color rgb="FFB8C3CC"/>
      </x:bottom>
    </x:border>
    <x:border>
      <x:left style="thin">
        <x:color rgb="FFB8C3CC"/>
      </x:left>
      <x:top style="thin">
        <x:color rgb="FFB8C3CC"/>
      </x:top>
    </x:border>
    <x:border>
      <x:top style="thin">
        <x:color rgb="FFB8C3CC"/>
      </x:top>
    </x:border>
    <x:border>
      <x:right style="thin">
        <x:color rgb="FFB8C3CC"/>
      </x:right>
      <x:top style="thin">
        <x:color rgb="FFB8C3CC"/>
      </x:top>
    </x:border>
    <x:border>
      <x:left style="thin">
        <x:color rgb="FFB8C3CC"/>
      </x:left>
    </x:border>
    <x:border>
      <x:right style="thin">
        <x:color rgb="FFB8C3CC"/>
      </x:right>
    </x:border>
    <x:border>
      <x:left style="thin">
        <x:color rgb="FFB8C3CC"/>
      </x:left>
      <x:bottom style="thin">
        <x:color rgb="FFB8C3CC"/>
      </x:bottom>
    </x:border>
    <x:border>
      <x:bottom style="thin">
        <x:color rgb="FFB8C3CC"/>
      </x:bottom>
    </x:border>
    <x:border>
      <x:right style="thin">
        <x:color rgb="FFB8C3CC"/>
      </x:right>
      <x:bottom style="thin">
        <x:color rgb="FFB8C3CC"/>
      </x:bottom>
    </x:border>
  </x:borders>
  <x:cellStyleXfs count="1">
    <x:xf numFmtId="0" fontId="0" fillId="0" borderId="0"/>
  </x:cellStyleXfs>
  <x:cellXfs count="10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left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4" fillId="6" borderId="1" xfId="0" applyNumberFormat="1" applyFont="1" applyFill="1" applyBorder="1" applyAlignment="1">
      <x:alignment horizontal="left" vertical="center" wrapText="1"/>
    </x:xf>
    <x:xf numFmtId="0" fontId="5" fillId="6" borderId="1" xfId="0" applyNumberFormat="1" applyFont="1" applyFill="1" applyBorder="1" applyAlignment="1">
      <x:alignment horizontal="left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horizontal="left" vertical="center" wrapText="1"/>
    </x:xf>
    <x:xf numFmtId="0" fontId="5" fillId="7" borderId="1" xfId="0" applyNumberFormat="1" applyFont="1" applyFill="1" applyBorder="1" applyAlignment="1">
      <x:alignment horizontal="left" vertic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right"/>
    </x:xf>
    <x:xf numFmtId="0" fontId="7" fillId="0" borderId="0" xfId="0" applyNumberFormat="1" applyFont="1" applyFill="1" applyBorder="1" applyAlignment="1">
      <x:alignment horizontal="right" vertical="center"/>
    </x:xf>
    <x:xf numFmtId="0" fontId="4" fillId="8" borderId="1" xfId="0" applyNumberFormat="1" applyFont="1" applyFill="1" applyBorder="1" applyAlignment="1">
      <x:alignment horizontal="left" vertical="center" wrapText="1"/>
    </x:xf>
    <x:xf numFmtId="0" fontId="4" fillId="9" borderId="1" xfId="0" applyNumberFormat="1" applyFont="1" applyFill="1" applyBorder="1" applyAlignment="1">
      <x:alignment horizontal="left" vertical="center" wrapText="1"/>
    </x:xf>
    <x:xf numFmtId="0" fontId="4" fillId="10" borderId="1" xfId="0" applyNumberFormat="1" applyFont="1" applyFill="1" applyBorder="1" applyAlignment="1">
      <x:alignment horizontal="left" vertical="center" wrapText="1"/>
    </x:xf>
    <x:xf numFmtId="0" fontId="4" fillId="11" borderId="1" xfId="0" applyNumberFormat="1" applyFont="1" applyFill="1" applyBorder="1" applyAlignment="1">
      <x:alignment horizontal="left" vertical="center" wrapText="1"/>
    </x:xf>
    <x:xf numFmtId="0" fontId="4" fillId="12" borderId="1" xfId="0" applyNumberFormat="1" applyFont="1" applyFill="1" applyBorder="1" applyAlignment="1">
      <x:alignment horizontal="left" vertical="center" wrapText="1"/>
    </x:xf>
    <x:xf numFmtId="200" fontId="4" fillId="5" borderId="1" xfId="0" applyNumberFormat="1" applyFont="1" applyFill="1" applyBorder="1" applyAlignment="1">
      <x:alignment horizontal="center" vertical="center" wrapText="1"/>
    </x:xf>
    <x:xf numFmtId="201" fontId="4" fillId="5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201" fontId="4" fillId="5" borderId="1" xfId="0" applyNumberFormat="1" applyFont="1" applyFill="1" applyBorder="1" applyAlignment="1">
      <x:alignment horizontal="left" vertical="center" wrapText="1"/>
    </x:xf>
    <x:xf numFmtId="0" fontId="6" fillId="7" borderId="2" xfId="0" applyNumberFormat="1" applyFont="1" applyFill="1" applyBorder="1"/>
    <x:xf numFmtId="0" fontId="6" fillId="7" borderId="3" xfId="0" applyNumberFormat="1" applyFont="1" applyFill="1" applyBorder="1"/>
    <x:xf numFmtId="0" fontId="6" fillId="7" borderId="4" xfId="0" applyNumberFormat="1" applyFont="1" applyFill="1" applyBorder="1"/>
    <x:xf numFmtId="0" fontId="6" fillId="7" borderId="5" xfId="0" applyNumberFormat="1" applyFont="1" applyFill="1" applyBorder="1"/>
    <x:xf numFmtId="0" fontId="6" fillId="7" borderId="6" xfId="0" applyNumberFormat="1" applyFont="1" applyFill="1" applyBorder="1"/>
    <x:xf numFmtId="0" fontId="6" fillId="7" borderId="7" xfId="0" applyNumberFormat="1" applyFont="1" applyFill="1" applyBorder="1"/>
    <x:xf numFmtId="0" fontId="6" fillId="7" borderId="8" xfId="0" applyNumberFormat="1" applyFont="1" applyFill="1" applyBorder="1"/>
    <x:xf numFmtId="0" fontId="6" fillId="7" borderId="9" xfId="0" applyNumberFormat="1" applyFont="1" applyFill="1" applyBorder="1"/>
    <x:xf numFmtId="0" fontId="6" fillId="7" borderId="2" xfId="0" applyNumberFormat="1" applyFont="1" applyFill="1" applyBorder="1" applyAlignment="1">
      <x:alignment wrapText="1"/>
    </x:xf>
    <x:xf numFmtId="0" fontId="6" fillId="7" borderId="3" xfId="0" applyNumberFormat="1" applyFont="1" applyFill="1" applyBorder="1" applyAlignment="1">
      <x:alignment wrapText="1"/>
    </x:xf>
    <x:xf numFmtId="0" fontId="6" fillId="7" borderId="4" xfId="0" applyNumberFormat="1" applyFont="1" applyFill="1" applyBorder="1" applyAlignment="1">
      <x:alignment wrapText="1"/>
    </x:xf>
    <x:xf numFmtId="0" fontId="6" fillId="7" borderId="5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6" fillId="7" borderId="6" xfId="0" applyNumberFormat="1" applyFont="1" applyFill="1" applyBorder="1" applyAlignment="1">
      <x:alignment wrapText="1"/>
    </x:xf>
    <x:xf numFmtId="0" fontId="6" fillId="7" borderId="7" xfId="0" applyNumberFormat="1" applyFont="1" applyFill="1" applyBorder="1" applyAlignment="1">
      <x:alignment wrapText="1"/>
    </x:xf>
    <x:xf numFmtId="0" fontId="6" fillId="7" borderId="8" xfId="0" applyNumberFormat="1" applyFont="1" applyFill="1" applyBorder="1" applyAlignment="1">
      <x:alignment wrapText="1"/>
    </x:xf>
    <x:xf numFmtId="0" fontId="6" fillId="7" borderId="9" xfId="0" applyNumberFormat="1" applyFont="1" applyFill="1" applyBorder="1" applyAlignment="1">
      <x:alignment wrapText="1"/>
    </x:xf>
    <x:xf numFmtId="0" fontId="6" fillId="7" borderId="2" xfId="0" applyNumberFormat="1" applyFont="1" applyFill="1" applyBorder="1" applyAlignment="1">
      <x:alignment vertical="center" wrapText="1"/>
    </x:xf>
    <x:xf numFmtId="0" fontId="6" fillId="7" borderId="3" xfId="0" applyNumberFormat="1" applyFont="1" applyFill="1" applyBorder="1" applyAlignment="1">
      <x:alignment vertical="center" wrapText="1"/>
    </x:xf>
    <x:xf numFmtId="0" fontId="6" fillId="7" borderId="4" xfId="0" applyNumberFormat="1" applyFont="1" applyFill="1" applyBorder="1" applyAlignment="1">
      <x:alignment vertical="center" wrapText="1"/>
    </x:xf>
    <x:xf numFmtId="0" fontId="6" fillId="7" borderId="5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6" xfId="0" applyNumberFormat="1" applyFont="1" applyFill="1" applyBorder="1" applyAlignment="1">
      <x:alignment vertical="center" wrapText="1"/>
    </x:xf>
    <x:xf numFmtId="0" fontId="6" fillId="7" borderId="7" xfId="0" applyNumberFormat="1" applyFont="1" applyFill="1" applyBorder="1" applyAlignment="1">
      <x:alignment vertical="center" wrapText="1"/>
    </x:xf>
    <x:xf numFmtId="0" fontId="6" fillId="7" borderId="8" xfId="0" applyNumberFormat="1" applyFont="1" applyFill="1" applyBorder="1" applyAlignment="1">
      <x:alignment vertical="center" wrapText="1"/>
    </x:xf>
    <x:xf numFmtId="0" fontId="6" fillId="7" borderId="9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left" wrapText="1"/>
    </x:xf>
    <x:xf numFmtId="0" fontId="4" fillId="3" borderId="1" xfId="0" applyNumberFormat="1" applyFont="1" applyFill="1" applyBorder="1" applyAlignment="1">
      <x:alignment horizontal="left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 applyAlignment="1">
      <x:alignment horizontal="left" vertical="center" wrapText="1"/>
    </x:xf>
    <x:xf numFmtId="0" fontId="10" fillId="0" borderId="0" xfId="0" applyNumberFormat="1" applyFont="1" applyFill="1" applyBorder="1"/>
    <x:xf numFmtId="0" fontId="8" fillId="4" borderId="1" xfId="0" applyNumberFormat="1" applyFont="1" applyFill="1" applyBorder="1" applyAlignment="1">
      <x:alignment horizontal="center" vertical="center" wrapText="1"/>
    </x:xf>
    <x:xf numFmtId="0" fontId="10" fillId="5" borderId="1" xfId="0" applyNumberFormat="1" applyFont="1" applyFill="1" applyBorder="1" applyAlignment="1">
      <x:alignment horizontal="left" vertical="center" wrapText="1"/>
    </x:xf>
    <x:xf numFmtId="0" fontId="8" fillId="6" borderId="1" xfId="0" applyNumberFormat="1" applyFont="1" applyFill="1" applyBorder="1" applyAlignment="1">
      <x:alignment horizontal="center" vertical="center" wrapText="1"/>
    </x:xf>
    <x:xf numFmtId="0" fontId="8" fillId="7" borderId="0" xfId="0" applyNumberFormat="1" applyFont="1" applyFill="1" applyBorder="1" applyAlignment="1">
      <x:alignment vertical="center"/>
    </x:xf>
    <x:xf numFmtId="0" fontId="10" fillId="5" borderId="1" xfId="0" applyNumberFormat="1" applyFont="1" applyFill="1" applyBorder="1" applyAlignment="1">
      <x:alignment horizontal="center" vertical="center" wrapText="1"/>
    </x:xf>
    <x:xf numFmtId="0" fontId="8" fillId="7" borderId="1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horizontal="right" vertical="center"/>
    </x:xf>
    <x:xf numFmtId="0" fontId="10" fillId="8" borderId="1" xfId="0" applyNumberFormat="1" applyFont="1" applyFill="1" applyBorder="1" applyAlignment="1">
      <x:alignment horizontal="left" vertical="center" wrapText="1"/>
    </x:xf>
    <x:xf numFmtId="0" fontId="10" fillId="9" borderId="1" xfId="0" applyNumberFormat="1" applyFont="1" applyFill="1" applyBorder="1" applyAlignment="1">
      <x:alignment horizontal="left" vertical="center" wrapText="1"/>
    </x:xf>
    <x:xf numFmtId="0" fontId="10" fillId="10" borderId="1" xfId="0" applyNumberFormat="1" applyFont="1" applyFill="1" applyBorder="1" applyAlignment="1">
      <x:alignment horizontal="left" vertical="center" wrapText="1"/>
    </x:xf>
    <x:xf numFmtId="0" fontId="10" fillId="11" borderId="1" xfId="0" applyNumberFormat="1" applyFont="1" applyFill="1" applyBorder="1" applyAlignment="1">
      <x:alignment horizontal="left" vertical="center" wrapText="1"/>
    </x:xf>
    <x:xf numFmtId="0" fontId="10" fillId="12" borderId="1" xfId="0" applyNumberFormat="1" applyFont="1" applyFill="1" applyBorder="1" applyAlignment="1">
      <x:alignment horizontal="left" vertical="center" wrapText="1"/>
    </x:xf>
    <x:xf numFmtId="200" fontId="10" fillId="5" borderId="1" xfId="0" applyNumberFormat="1" applyFont="1" applyFill="1" applyBorder="1" applyAlignment="1">
      <x:alignment horizontal="center" vertical="center" wrapText="1"/>
    </x:xf>
    <x:xf numFmtId="201" fontId="10" fillId="5" borderId="1" xfId="0" applyNumberFormat="1" applyFont="1" applyFill="1" applyBorder="1" applyAlignment="1">
      <x:alignment horizontal="center" vertical="center" wrapText="1"/>
    </x:xf>
    <x:xf numFmtId="0" fontId="10" fillId="6" borderId="1" xfId="0" applyNumberFormat="1" applyFont="1" applyFill="1" applyBorder="1" applyAlignment="1">
      <x:alignment horizontal="center" vertical="center" wrapText="1"/>
    </x:xf>
    <x:xf numFmtId="201" fontId="10" fillId="5" borderId="1" xfId="0" applyNumberFormat="1" applyFont="1" applyFill="1" applyBorder="1" applyAlignment="1">
      <x:alignment horizontal="left" vertical="center" wrapText="1"/>
    </x:xf>
    <x:xf numFmtId="0" fontId="8" fillId="7" borderId="2" xfId="0" applyNumberFormat="1" applyFont="1" applyFill="1" applyBorder="1" applyAlignment="1">
      <x:alignment vertical="center" wrapText="1"/>
    </x:xf>
    <x:xf numFmtId="0" fontId="8" fillId="7" borderId="3" xfId="0" applyNumberFormat="1" applyFont="1" applyFill="1" applyBorder="1" applyAlignment="1">
      <x:alignment vertical="center" wrapText="1"/>
    </x:xf>
    <x:xf numFmtId="0" fontId="8" fillId="7" borderId="4" xfId="0" applyNumberFormat="1" applyFont="1" applyFill="1" applyBorder="1" applyAlignment="1">
      <x:alignment vertical="center" wrapText="1"/>
    </x:xf>
    <x:xf numFmtId="0" fontId="8" fillId="7" borderId="5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8" fillId="7" borderId="6" xfId="0" applyNumberFormat="1" applyFont="1" applyFill="1" applyBorder="1" applyAlignment="1">
      <x:alignment vertical="center" wrapText="1"/>
    </x:xf>
    <x:xf numFmtId="0" fontId="8" fillId="7" borderId="7" xfId="0" applyNumberFormat="1" applyFont="1" applyFill="1" applyBorder="1" applyAlignment="1">
      <x:alignment vertical="center" wrapText="1"/>
    </x:xf>
    <x:xf numFmtId="0" fontId="8" fillId="7" borderId="8" xfId="0" applyNumberFormat="1" applyFont="1" applyFill="1" applyBorder="1" applyAlignment="1">
      <x:alignment vertical="center" wrapText="1"/>
    </x:xf>
    <x:xf numFmtId="0" fontId="8" fillId="7" borderId="9" xfId="0" applyNumberFormat="1" applyFont="1" applyFill="1" applyBorder="1" applyAlignment="1">
      <x:alignment vertical="center" wrapText="1"/>
    </x:xf>
    <x:xf numFmtId="0" fontId="10" fillId="3" borderId="1" xfId="0" applyNumberFormat="1" applyFont="1" applyFill="1" applyBorder="1" applyAlignment="1">
      <x:alignment horizontal="center" vertical="center" wrapText="1"/>
    </x:xf>
    <x:xf numFmtId="0" fontId="1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40c42ab1a04707" /><Relationship Type="http://schemas.openxmlformats.org/officeDocument/2006/relationships/theme" Target="/xl/theme/theme1.xml" Id="R3356d709ad6844e6" /><Relationship Type="http://schemas.openxmlformats.org/officeDocument/2006/relationships/sharedStrings" Target="/xl/sharedStrings.xml" Id="Ra38fd6fa985e4e54" /><Relationship Type="http://schemas.openxmlformats.org/officeDocument/2006/relationships/worksheet" Target="/xl/worksheets/sheet1.xml" Id="R431c8b8d14e148f1" /><Relationship Type="http://schemas.openxmlformats.org/officeDocument/2006/relationships/worksheet" Target="/xl/worksheets/sheet2.xml" Id="R870e15d4909f4967" /><Relationship Type="http://schemas.openxmlformats.org/officeDocument/2006/relationships/worksheet" Target="/xl/worksheets/sheet3.xml" Id="R3cd34f699343481d" /><Relationship Type="http://schemas.openxmlformats.org/officeDocument/2006/relationships/worksheet" Target="/xl/worksheets/sheet4.xml" Id="Rdbff4fcbae90428b" /><Relationship Type="http://schemas.openxmlformats.org/officeDocument/2006/relationships/worksheet" Target="/xl/worksheets/sheet5.xml" Id="Re0c7ce326b044edb" /><Relationship Type="http://schemas.openxmlformats.org/officeDocument/2006/relationships/worksheet" Target="/xl/worksheets/sheet6.xml" Id="R2f04054a71a44c54" /><Relationship Type="http://schemas.openxmlformats.org/officeDocument/2006/relationships/worksheet" Target="/xl/worksheets/sheet7.xml" Id="R0c3738fff9c64b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53.75" hidden="0" customWidth="1"/>
    <x:col min="3" max="3" width="45" hidden="0" customWidth="1"/>
    <x:col min="4" max="4" width="14.380000114440918" hidden="0" customWidth="1"/>
  </x:cols>
  <x:sheetData>
    <x:row r="1" ht="34" customHeight="1">
      <x:c r="A1" s="105" t="str">
        <x:v>五行设计讨论｜第16轮发言</x:v>
      </x:c>
      <x:c r="B1" s="105" t="str">
        <x:v>五行设计讨论｜第16轮发言</x:v>
      </x:c>
      <x:c r="C1" s="105" t="str">
        <x:v>五行设计讨论｜第16轮发言</x:v>
      </x:c>
      <x:c r="D1" s="105" t="str">
        <x:v>五行设计讨论｜第16轮发言</x:v>
      </x:c>
    </x:row>
    <x:row r="2" ht="34" customHeight="1">
      <x:c r="A2" s="77" t="str">
        <x:v>发言人：小G｜本轮任务：把‘固定材料配方’改造成‘固定属性槽位＋药力门槛＋寒热目标’的易学炼丹系统。第15轮保留九类骨架，但配方表达方式全面纠偏。</x:v>
      </x:c>
      <x:c r="B2" s="77" t="str">
        <x:v>发言人：小G｜本轮任务：把‘固定材料配方’改造成‘固定属性槽位＋药力门槛＋寒热目标’的易学炼丹系统。第15轮保留九类骨架，但配方表达方式全面纠偏。</x:v>
      </x:c>
      <x:c r="C2" s="77" t="str">
        <x:v>发言人：小G｜本轮任务：把‘固定材料配方’改造成‘固定属性槽位＋药力门槛＋寒热目标’的易学炼丹系统。第15轮保留九类骨架，但配方表达方式全面纠偏。</x:v>
      </x:c>
      <x:c r="D2" s="77" t="str">
        <x:v>发言人：小G｜本轮任务：把‘固定材料配方’改造成‘固定属性槽位＋药力门槛＋寒热目标’的易学炼丹系统。第15轮保留九类骨架，但配方表达方式全面纠偏。</x:v>
      </x:c>
    </x:row>
    <x:row r="3">
      <x:c r="A3" s="78"/>
      <x:c r="B3" s="78"/>
      <x:c r="C3" s="78"/>
      <x:c r="D3" s="78"/>
    </x:row>
    <x:row r="4" ht="30" customHeight="1">
      <x:c r="A4" s="79" t="str">
        <x:v>议题</x:v>
      </x:c>
      <x:c r="B4" s="79" t="str">
        <x:v>第16轮结论</x:v>
      </x:c>
      <x:c r="C4" s="79" t="str">
        <x:v>对第15轮的修正</x:v>
      </x:c>
      <x:c r="D4" s="79" t="str">
        <x:v>状态</x:v>
      </x:c>
    </x:row>
    <x:row r="5" ht="48" customHeight="1">
      <x:c r="A5" s="80" t="str">
        <x:v>丹方本体</x:v>
      </x:c>
      <x:c r="B5" s="80" t="str">
        <x:v>固定的是君臣佐使的属性要求、药力门槛、目标寒热和总数量上限，不固定材料ID。</x:v>
      </x:c>
      <x:c r="C5" s="80" t="str">
        <x:v>候选灵植ID从正式丹方条件中移除，只可作为示例。</x:v>
      </x:c>
      <x:c r="D5" s="81" t="str">
        <x:v>建议冻结</x:v>
      </x:c>
    </x:row>
    <x:row r="6" ht="48" customHeight="1">
      <x:c r="A6" s="80" t="str">
        <x:v>三道判定</x:v>
      </x:c>
      <x:c r="B6" s="80" t="str">
        <x:v>①君臣方向匹配；②全方寒热达到目标；③君臣佐使分别药力达标。</x:v>
      </x:c>
      <x:c r="C6" s="80" t="str">
        <x:v>把复杂的对象×操作×时间留在设计侧，玩家只解三道题。</x:v>
      </x:c>
      <x:c r="D6" s="81" t="str">
        <x:v>建议冻结</x:v>
      </x:c>
    </x:row>
    <x:row r="7" ht="48" customHeight="1">
      <x:c r="A7" s="80" t="str">
        <x:v>灵材数据</x:v>
      </x:c>
      <x:c r="B7" s="80" t="str">
        <x:v>每份灵材只有三种药性标签：主行、四性、五味；另有一个数值：单份药力。</x:v>
      </x:c>
      <x:c r="C7" s="80" t="str">
        <x:v>第15轮灵植表补药力与境界/品质换算，不新增显性药效标签。</x:v>
      </x:c>
      <x:c r="D7" s="81" t="str">
        <x:v>建议冻结</x:v>
      </x:c>
    </x:row>
    <x:row r="8" ht="48" customHeight="1">
      <x:c r="A8" s="80" t="str">
        <x:v>五行与五味</x:v>
      </x:c>
      <x:c r="B8" s="80" t="str">
        <x:v>五行决定做什么结构操作，五味决定优先进入哪条回路；君臣的五行×五味组合锁定丹药方向。</x:v>
      </x:c>
      <x:c r="C8" s="80" t="str">
        <x:v>五味接近《觅长生》的药效方向，但不能单独承担九类。</x:v>
      </x:c>
      <x:c r="D8" s="81" t="str">
        <x:v>建议冻结</x:v>
      </x:c>
    </x:row>
    <x:row r="9" ht="48" customHeight="1">
      <x:c r="A9" s="80" t="str">
        <x:v>寒热</x:v>
      </x:c>
      <x:c r="B9" s="80" t="str">
        <x:v>寒/凉/平/温/热编码为−2/−1/0/+1/+2；全材料按数量求和，命中丹方目标值才成立。</x:v>
      </x:c>
      <x:c r="C9" s="80" t="str">
        <x:v>使药同时负责归经与最后配平；君臣佐已平时必须使用平性使药。</x:v>
      </x:c>
      <x:c r="D9" s="81" t="str">
        <x:v>建议冻结</x:v>
      </x:c>
    </x:row>
    <x:row r="10" ht="48" customHeight="1">
      <x:c r="A10" s="80" t="str">
        <x:v>药力</x:v>
      </x:c>
      <x:c r="B10" s="80" t="str">
        <x:v>单槽药力＝Σ单份药力×数量；君臣佐使四槽各自达标，不能用君位溢出替代臣位缺口。</x:v>
      </x:c>
      <x:c r="C10" s="80" t="str">
        <x:v>‘不可替换’从材料身份改为职务条件不可缺。</x:v>
      </x:c>
      <x:c r="D10" s="81" t="str">
        <x:v>建议冻结</x:v>
      </x:c>
    </x:row>
    <x:row r="11" ht="48" customHeight="1">
      <x:c r="A11" s="80" t="str">
        <x:v>八境同构</x:v>
      </x:c>
      <x:c r="B11" s="80" t="str">
        <x:v>同一类丹跨八境沿用同一属性结构，只提高药力门槛；必要时更换同属性的高阶材料。</x:v>
      </x:c>
      <x:c r="C11" s="80" t="str">
        <x:v>不再按八境复制九套配方结构。</x:v>
      </x:c>
      <x:c r="D11" s="81" t="str">
        <x:v>建议冻结</x:v>
      </x:c>
    </x:row>
    <x:row r="12" ht="48" customHeight="1">
      <x:c r="A12" s="80" t="str">
        <x:v>越境边界</x:v>
      </x:c>
      <x:c r="B12" s="80" t="str">
        <x:v>药力按境界递增，总投料受上限约束；低境灵材堆数量最多炼高一境，无法炼高两境。</x:v>
      </x:c>
      <x:c r="C12" s="80" t="str">
        <x:v>用统一数值不等式实现，不增加生硬的材料禁用规则。</x:v>
      </x:c>
      <x:c r="D12" s="81" t="str">
        <x:v>结构冻结，数值待调</x:v>
      </x:c>
    </x:row>
    <x:row r="13" ht="48" customHeight="1">
      <x:c r="A13" s="80" t="str">
        <x:v>世界观取舍</x:v>
      </x:c>
      <x:c r="B13" s="80" t="str">
        <x:v>保留五行、归经与君臣佐使的辨识度；删去玩家不需要实时计算的深层丹构步骤。</x:v>
      </x:c>
      <x:c r="C13" s="80" t="str">
        <x:v>复杂度留给失败解释和高级丹方，不压到第一层操作。</x:v>
      </x:c>
      <x:c r="D13" s="81" t="str">
        <x:v>建议冻结</x:v>
      </x:c>
    </x:row>
    <x:row r="14">
      <x:c r="A14" s="78"/>
      <x:c r="B14" s="78"/>
      <x:c r="C14" s="78"/>
      <x:c r="D14" s="78"/>
    </x:row>
    <x:row r="15">
      <x:c r="A15" s="78"/>
      <x:c r="B15" s="78"/>
      <x:c r="C15" s="78"/>
      <x:c r="D15" s="78"/>
    </x:row>
    <x:row r="16" ht="24" customHeight="1">
      <x:c r="A16" s="82" t="str">
        <x:v>第16轮冻结提案</x:v>
      </x:c>
      <x:c r="B16" s="82" t="str">
        <x:v>第16轮冻结提案</x:v>
      </x:c>
      <x:c r="C16" s="82" t="str">
        <x:v>第16轮冻结提案</x:v>
      </x:c>
      <x:c r="D16" s="82" t="str">
        <x:v>第16轮冻结提案</x:v>
      </x:c>
    </x:row>
    <x:row r="17" ht="32" customHeight="1">
      <x:c r="A17" s="83" t="n">
        <x:v>1</x:v>
      </x:c>
      <x:c r="B17" s="80" t="str">
        <x:v>丹方不绑定材料ID</x:v>
      </x:c>
      <x:c r="C17" s="80" t="str">
        <x:v>绑定属性槽位与数值门槛</x:v>
      </x:c>
      <x:c r="D17" s="84" t="str">
        <x:v>冻结</x:v>
      </x:c>
    </x:row>
    <x:row r="18" ht="32" customHeight="1">
      <x:c r="A18" s="83" t="n">
        <x:v>2</x:v>
      </x:c>
      <x:c r="B18" s="80" t="str">
        <x:v>玩家只处理三道判定</x:v>
      </x:c>
      <x:c r="C18" s="80" t="str">
        <x:v>方向、寒热、药力</x:v>
      </x:c>
      <x:c r="D18" s="84" t="str">
        <x:v>冻结</x:v>
      </x:c>
    </x:row>
    <x:row r="19" ht="32" customHeight="1">
      <x:c r="A19" s="83" t="n">
        <x:v>3</x:v>
      </x:c>
      <x:c r="B19" s="80" t="str">
        <x:v>灵材三标签一数值</x:v>
      </x:c>
      <x:c r="C19" s="80" t="str">
        <x:v>主行＋四性＋五味＋药力</x:v>
      </x:c>
      <x:c r="D19" s="84" t="str">
        <x:v>冻结</x:v>
      </x:c>
    </x:row>
    <x:row r="20" ht="32" customHeight="1">
      <x:c r="A20" s="83" t="n">
        <x:v>4</x:v>
      </x:c>
      <x:c r="B20" s="80" t="str">
        <x:v>主行唯一</x:v>
      </x:c>
      <x:c r="C20" s="80" t="str">
        <x:v>首期不做双主行灵材；复合效果由多味材料共同完成</x:v>
      </x:c>
      <x:c r="D20" s="84" t="str">
        <x:v>冻结</x:v>
      </x:c>
    </x:row>
    <x:row r="21" ht="32" customHeight="1">
      <x:c r="A21" s="83" t="n">
        <x:v>5</x:v>
      </x:c>
      <x:c r="B21" s="80" t="str">
        <x:v>四性五档</x:v>
      </x:c>
      <x:c r="C21" s="80" t="str">
        <x:v>寒−2、凉−1、平0、温+1、热+2</x:v>
      </x:c>
      <x:c r="D21" s="84" t="str">
        <x:v>冻结</x:v>
      </x:c>
    </x:row>
    <x:row r="22" ht="32" customHeight="1">
      <x:c r="A22" s="83" t="n">
        <x:v>6</x:v>
      </x:c>
      <x:c r="B22" s="80" t="str">
        <x:v>五味不是单独药效</x:v>
      </x:c>
      <x:c r="C22" s="80" t="str">
        <x:v>与五行、职务、丹方模板共同决定成品</x:v>
      </x:c>
      <x:c r="D22" s="84" t="str">
        <x:v>冻结</x:v>
      </x:c>
    </x:row>
    <x:row r="23" ht="32" customHeight="1">
      <x:c r="A23" s="83" t="n">
        <x:v>7</x:v>
      </x:c>
      <x:c r="B23" s="80" t="str">
        <x:v>君位条件不可替换</x:v>
      </x:c>
      <x:c r="C23" s="80" t="str">
        <x:v>具体君材可替换</x:v>
      </x:c>
      <x:c r="D23" s="84" t="str">
        <x:v>冻结</x:v>
      </x:c>
    </x:row>
    <x:row r="24" ht="32" customHeight="1">
      <x:c r="A24" s="83" t="n">
        <x:v>8</x:v>
      </x:c>
      <x:c r="B24" s="80" t="str">
        <x:v>八境只缩放药力</x:v>
      </x:c>
      <x:c r="C24" s="80" t="str">
        <x:v>五行、五味、目标寒热默认不变</x:v>
      </x:c>
      <x:c r="D24" s="84" t="str">
        <x:v>冻结</x:v>
      </x:c>
    </x:row>
    <x:row r="25" ht="32" customHeight="1">
      <x:c r="A25" s="83" t="n">
        <x:v>9</x:v>
      </x:c>
      <x:c r="B25" s="80" t="str">
        <x:v>低阶最多越一境</x:v>
      </x:c>
      <x:c r="C25" s="80" t="str">
        <x:v>由药力倍率与总数量上限共同保证</x:v>
      </x:c>
      <x:c r="D25" s="84" t="str">
        <x:v>冻结结构</x:v>
      </x:c>
    </x:row>
    <x:row r="26" ht="32" customHeight="1">
      <x:c r="A26" s="83" t="n">
        <x:v>10</x:v>
      </x:c>
      <x:c r="B26" s="80" t="str">
        <x:v>本轮数字为校准样例</x:v>
      </x:c>
      <x:c r="C26" s="80" t="str">
        <x:v>倍率3、总权重8、总数量24可在数值轮调整</x:v>
      </x:c>
      <x:c r="D26" s="84" t="str">
        <x:v>暂不冻结数值</x:v>
      </x:c>
    </x:row>
    <x:row r="27">
      <x:c r="A27" s="78"/>
      <x:c r="B27" s="78"/>
      <x:c r="C27" s="78"/>
      <x:c r="D27" s="78"/>
    </x:row>
    <x:row r="28">
      <x:c r="A28" s="85" t="str">
        <x:v>——小G｜第16轮</x:v>
      </x:c>
      <x:c r="B28" s="85" t="str">
        <x:v>——小G｜第16轮</x:v>
      </x:c>
      <x:c r="C28" s="85" t="str">
        <x:v>——小G｜第16轮</x:v>
      </x:c>
      <x:c r="D28" s="85" t="str">
        <x:v>——小G｜第16轮</x:v>
      </x:c>
    </x:row>
  </x:sheetData>
  <x:mergeCells>
    <x:mergeCell ref="A1:D1"/>
    <x:mergeCell ref="A2:D2"/>
    <x:mergeCell ref="A16:D16"/>
    <x:mergeCell ref="A28:D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32.5" hidden="0" customWidth="1"/>
    <x:col min="3" max="3" width="30.6299991607666" hidden="0" customWidth="1"/>
    <x:col min="4" max="4" width="32.5" hidden="0" customWidth="1"/>
    <x:col min="5" max="5" width="32.5" hidden="0" customWidth="1"/>
  </x:cols>
  <x:sheetData>
    <x:row r="1" ht="34" customHeight="1">
      <x:c r="A1" s="105" t="str">
        <x:v>第16轮｜炼丹判定总纲</x:v>
      </x:c>
      <x:c r="B1" s="105" t="str">
        <x:v>第16轮｜炼丹判定总纲</x:v>
      </x:c>
      <x:c r="C1" s="105" t="str">
        <x:v>第16轮｜炼丹判定总纲</x:v>
      </x:c>
      <x:c r="D1" s="105" t="str">
        <x:v>第16轮｜炼丹判定总纲</x:v>
      </x:c>
      <x:c r="E1" s="105" t="str">
        <x:v>第16轮｜炼丹判定总纲</x:v>
      </x:c>
    </x:row>
    <x:row r="2" ht="34" customHeight="1">
      <x:c r="A2" s="77" t="str">
        <x:v>一句话：选择丹方后，用可替换灵材填入君臣佐使；属性方向正确、寒热命中目标、四槽药力分别达标，即炼成该方。材料ID不是配方条件。</x:v>
      </x:c>
      <x:c r="B2" s="77" t="str">
        <x:v>一句话：选择丹方后，用可替换灵材填入君臣佐使；属性方向正确、寒热命中目标、四槽药力分别达标，即炼成该方。材料ID不是配方条件。</x:v>
      </x:c>
      <x:c r="C2" s="77" t="str">
        <x:v>一句话：选择丹方后，用可替换灵材填入君臣佐使；属性方向正确、寒热命中目标、四槽药力分别达标，即炼成该方。材料ID不是配方条件。</x:v>
      </x:c>
      <x:c r="D2" s="77" t="str">
        <x:v>一句话：选择丹方后，用可替换灵材填入君臣佐使；属性方向正确、寒热命中目标、四槽药力分别达标，即炼成该方。材料ID不是配方条件。</x:v>
      </x:c>
      <x:c r="E2" s="77" t="str">
        <x:v>一句话：选择丹方后，用可替换灵材填入君臣佐使；属性方向正确、寒热命中目标、四槽药力分别达标，即炼成该方。材料ID不是配方条件。</x:v>
      </x:c>
    </x:row>
    <x:row r="3">
      <x:c r="A3" s="78"/>
      <x:c r="B3" s="78"/>
      <x:c r="C3" s="78"/>
      <x:c r="D3" s="78"/>
      <x:c r="E3" s="78"/>
    </x:row>
    <x:row r="4" ht="24" customHeight="1">
      <x:c r="A4" s="82" t="str">
        <x:v>一、灵材的三标签＋一数值</x:v>
      </x:c>
      <x:c r="B4" s="82" t="str">
        <x:v>一、灵材的三标签＋一数值</x:v>
      </x:c>
      <x:c r="C4" s="82" t="str">
        <x:v>一、灵材的三标签＋一数值</x:v>
      </x:c>
      <x:c r="D4" s="82" t="str">
        <x:v>一、灵材的三标签＋一数值</x:v>
      </x:c>
      <x:c r="E4" s="82" t="str">
        <x:v>一、灵材的三标签＋一数值</x:v>
      </x:c>
    </x:row>
    <x:row r="5" ht="30" customHeight="1">
      <x:c r="A5" s="79" t="str">
        <x:v>字段</x:v>
      </x:c>
      <x:c r="B5" s="79" t="str">
        <x:v>取值</x:v>
      </x:c>
      <x:c r="C5" s="79" t="str">
        <x:v>玩家理解</x:v>
      </x:c>
      <x:c r="D5" s="79" t="str">
        <x:v>系统职责</x:v>
      </x:c>
      <x:c r="E5" s="79" t="str">
        <x:v>是否参与配方判定</x:v>
      </x:c>
    </x:row>
    <x:row r="6" ht="40" customHeight="1">
      <x:c r="A6" s="80" t="str">
        <x:v>主行</x:v>
      </x:c>
      <x:c r="B6" s="80" t="str">
        <x:v>金/木/水/火/土（唯一）</x:v>
      </x:c>
      <x:c r="C6" s="80" t="str">
        <x:v>这味药擅长做什么</x:v>
      </x:c>
      <x:c r="D6" s="80" t="str">
        <x:v>决定结构操作倾向</x:v>
      </x:c>
      <x:c r="E6" s="80" t="str">
        <x:v>是：按职务槽匹配</x:v>
      </x:c>
    </x:row>
    <x:row r="7" ht="40" customHeight="1">
      <x:c r="A7" s="80" t="str">
        <x:v>四性</x:v>
      </x:c>
      <x:c r="B7" s="80" t="str">
        <x:v>寒/凉/平/温/热</x:v>
      </x:c>
      <x:c r="C7" s="80" t="str">
        <x:v>这味药有多寒或多热</x:v>
      </x:c>
      <x:c r="D7" s="80" t="str">
        <x:v>编码−2至+2，按数量汇总</x:v>
      </x:c>
      <x:c r="E7" s="80" t="str">
        <x:v>是：全方总值匹配</x:v>
      </x:c>
    </x:row>
    <x:row r="8" ht="40" customHeight="1">
      <x:c r="A8" s="80" t="str">
        <x:v>五味</x:v>
      </x:c>
      <x:c r="B8" s="80" t="str">
        <x:v>酸/苦/甘/辛/咸（唯一）</x:v>
      </x:c>
      <x:c r="C8" s="80" t="str">
        <x:v>这味药往哪里走</x:v>
      </x:c>
      <x:c r="D8" s="80" t="str">
        <x:v>决定优先归经与目标回路</x:v>
      </x:c>
      <x:c r="E8" s="80" t="str">
        <x:v>是：按职务槽匹配</x:v>
      </x:c>
    </x:row>
    <x:row r="9" ht="40" customHeight="1">
      <x:c r="A9" s="80" t="str">
        <x:v>药力</x:v>
      </x:c>
      <x:c r="B9" s="80" t="str">
        <x:v>非负数值</x:v>
      </x:c>
      <x:c r="C9" s="80" t="str">
        <x:v>一份有多强</x:v>
      </x:c>
      <x:c r="D9" s="80" t="str">
        <x:v>单份药力×数量，分别累计到君臣佐使</x:v>
      </x:c>
      <x:c r="E9" s="80" t="str">
        <x:v>是：各槽分别达标</x:v>
      </x:c>
    </x:row>
    <x:row r="10">
      <x:c r="A10" s="78"/>
      <x:c r="B10" s="78"/>
      <x:c r="C10" s="78"/>
      <x:c r="D10" s="78"/>
      <x:c r="E10" s="78"/>
    </x:row>
    <x:row r="11" ht="24" customHeight="1">
      <x:c r="A11" s="82" t="str">
        <x:v>二、玩家只解三道题</x:v>
      </x:c>
      <x:c r="B11" s="82" t="str">
        <x:v>二、玩家只解三道题</x:v>
      </x:c>
      <x:c r="C11" s="82" t="str">
        <x:v>二、玩家只解三道题</x:v>
      </x:c>
      <x:c r="D11" s="82" t="str">
        <x:v>二、玩家只解三道题</x:v>
      </x:c>
      <x:c r="E11" s="82" t="str">
        <x:v>二、玩家只解三道题</x:v>
      </x:c>
    </x:row>
    <x:row r="12" ht="30" customHeight="1">
      <x:c r="A12" s="79" t="str">
        <x:v>顺序</x:v>
      </x:c>
      <x:c r="B12" s="79" t="str">
        <x:v>判定</x:v>
      </x:c>
      <x:c r="C12" s="79" t="str">
        <x:v>计算</x:v>
      </x:c>
      <x:c r="D12" s="79" t="str">
        <x:v>通过条件</x:v>
      </x:c>
      <x:c r="E12" s="79" t="str">
        <x:v>失败反馈</x:v>
      </x:c>
    </x:row>
    <x:row r="13" ht="48" customHeight="1">
      <x:c r="A13" s="83" t="n">
        <x:v>1</x:v>
      </x:c>
      <x:c r="B13" s="80" t="str">
        <x:v>方向判定</x:v>
      </x:c>
      <x:c r="C13" s="80" t="str">
        <x:v>逐槽核对所需主行、五味；未要求的标签写‘任一’</x:v>
      </x:c>
      <x:c r="D13" s="80" t="str">
        <x:v>君臣佐使的属性要求全部满足</x:v>
      </x:c>
      <x:c r="E13" s="80" t="str">
        <x:v>药不对症／炼成别方／直接废丹</x:v>
      </x:c>
    </x:row>
    <x:row r="14" ht="48" customHeight="1">
      <x:c r="A14" s="83" t="n">
        <x:v>2</x:v>
      </x:c>
      <x:c r="B14" s="80" t="str">
        <x:v>寒热判定</x:v>
      </x:c>
      <x:c r="C14" s="80" t="str">
        <x:v>总寒热＝Σ（四性值×数量）</x:v>
      </x:c>
      <x:c r="D14" s="80" t="str">
        <x:v>落在目标寒热±允许偏差内</x:v>
      </x:c>
      <x:c r="E14" s="80" t="str">
        <x:v>偏寒凝滞、偏热躁裂；药引可补最后差值</x:v>
      </x:c>
    </x:row>
    <x:row r="15" ht="48" customHeight="1">
      <x:c r="A15" s="83" t="n">
        <x:v>3</x:v>
      </x:c>
      <x:c r="B15" s="80" t="str">
        <x:v>药力判定</x:v>
      </x:c>
      <x:c r="C15" s="80" t="str">
        <x:v>各槽药力＝Σ（单份药力×数量）</x:v>
      </x:c>
      <x:c r="D15" s="80" t="str">
        <x:v>君臣佐使分别达到本境门槛且总数量不超上限</x:v>
      </x:c>
      <x:c r="E15" s="80" t="str">
        <x:v>某职务失效；药力不能跨职务挪用</x:v>
      </x:c>
    </x:row>
    <x:row r="16">
      <x:c r="A16" s="78"/>
      <x:c r="B16" s="78"/>
      <x:c r="C16" s="78"/>
      <x:c r="D16" s="78"/>
      <x:c r="E16" s="78"/>
    </x:row>
    <x:row r="17" ht="24" customHeight="1">
      <x:c r="A17" s="82" t="str">
        <x:v>三、君臣佐使在新系统中的职责</x:v>
      </x:c>
      <x:c r="B17" s="82" t="str">
        <x:v>三、君臣佐使在新系统中的职责</x:v>
      </x:c>
      <x:c r="C17" s="82" t="str">
        <x:v>三、君臣佐使在新系统中的职责</x:v>
      </x:c>
      <x:c r="D17" s="82" t="str">
        <x:v>三、君臣佐使在新系统中的职责</x:v>
      </x:c>
      <x:c r="E17" s="82" t="str">
        <x:v>三、君臣佐使在新系统中的职责</x:v>
      </x:c>
    </x:row>
    <x:row r="18" ht="30" customHeight="1">
      <x:c r="A18" s="79" t="str">
        <x:v>职务</x:v>
      </x:c>
      <x:c r="B18" s="79" t="str">
        <x:v>决定什么</x:v>
      </x:c>
      <x:c r="C18" s="79" t="str">
        <x:v>不可替换的东西</x:v>
      </x:c>
      <x:c r="D18" s="79" t="str">
        <x:v>可以替换的东西</x:v>
      </x:c>
      <x:c r="E18" s="79" t="str">
        <x:v>典型失败</x:v>
      </x:c>
    </x:row>
    <x:row r="19" ht="44" customHeight="1">
      <x:c r="A19" s="80" t="str">
        <x:v>君</x:v>
      </x:c>
      <x:c r="B19" s="80" t="str">
        <x:v>主效果与丹药身份</x:v>
      </x:c>
      <x:c r="C19" s="80" t="str">
        <x:v>君位所需主行、五味、药力</x:v>
      </x:c>
      <x:c r="D19" s="80" t="str">
        <x:v>任何满足条件的材料ID与数量组合</x:v>
      </x:c>
      <x:c r="E19" s="80" t="str">
        <x:v>君位缺失＝主效坍塌</x:v>
      </x:c>
    </x:row>
    <x:row r="20" ht="44" customHeight="1">
      <x:c r="A20" s="80" t="str">
        <x:v>臣</x:v>
      </x:c>
      <x:c r="B20" s="80" t="str">
        <x:v>增效方向、闭合第二种操作</x:v>
      </x:c>
      <x:c r="C20" s="80" t="str">
        <x:v>臣位所需主行、五味、药力</x:v>
      </x:c>
      <x:c r="D20" s="80" t="str">
        <x:v>任何满足条件的材料ID与数量组合</x:v>
      </x:c>
      <x:c r="E20" s="80" t="str">
        <x:v>药效残缺或强度不足</x:v>
      </x:c>
    </x:row>
    <x:row r="21" ht="44" customHeight="1">
      <x:c r="A21" s="80" t="str">
        <x:v>佐</x:v>
      </x:c>
      <x:c r="B21" s="80" t="str">
        <x:v>控害、吸残、限制过强反应</x:v>
      </x:c>
      <x:c r="C21" s="80" t="str">
        <x:v>佐位所需控制方向与药力</x:v>
      </x:c>
      <x:c r="D21" s="80" t="str">
        <x:v>同类控制材料</x:v>
      </x:c>
      <x:c r="E21" s="80" t="str">
        <x:v>丹毒、冲脉、过生、过泻</x:v>
      </x:c>
    </x:row>
    <x:row r="22" ht="44" customHeight="1">
      <x:c r="A22" s="80" t="str">
        <x:v>使</x:v>
      </x:c>
      <x:c r="B22" s="80" t="str">
        <x:v>归经、协调、退场及最后配平</x:v>
      </x:c>
      <x:c r="C22" s="80" t="str">
        <x:v>使位五味、药力与全方寒热结果</x:v>
      </x:c>
      <x:c r="D22" s="80" t="str">
        <x:v>不同主行但同味、同配平能力的材料</x:v>
      </x:c>
      <x:c r="E22" s="80" t="str">
        <x:v>药力分流、作用错位、偏寒偏热</x:v>
      </x:c>
    </x:row>
    <x:row r="23">
      <x:c r="A23" s="78"/>
      <x:c r="B23" s="78"/>
      <x:c r="C23" s="78"/>
      <x:c r="D23" s="78"/>
      <x:c r="E23" s="78"/>
    </x:row>
    <x:row r="24" ht="24" customHeight="1">
      <x:c r="A24" s="82" t="str">
        <x:v>四、基础映射（世界观保留，玩家不必背公式）</x:v>
      </x:c>
      <x:c r="B24" s="82" t="str">
        <x:v>四、基础映射（世界观保留，玩家不必背公式）</x:v>
      </x:c>
      <x:c r="C24" s="82" t="str">
        <x:v>四、基础映射（世界观保留，玩家不必背公式）</x:v>
      </x:c>
      <x:c r="D24" s="82" t="str">
        <x:v>四、基础映射（世界观保留，玩家不必背公式）</x:v>
      </x:c>
      <x:c r="E24" s="82" t="str">
        <x:v>四、基础映射（世界观保留，玩家不必背公式）</x:v>
      </x:c>
    </x:row>
    <x:row r="25" ht="30" customHeight="1">
      <x:c r="A25" s="79" t="str">
        <x:v>主行</x:v>
      </x:c>
      <x:c r="B25" s="79" t="str">
        <x:v>结构动作</x:v>
      </x:c>
      <x:c r="C25" s="79" t="str">
        <x:v>五味</x:v>
      </x:c>
      <x:c r="D25" s="79" t="str">
        <x:v>归经倾向</x:v>
      </x:c>
      <x:c r="E25" s="79" t="str">
        <x:v>设计提示</x:v>
      </x:c>
    </x:row>
    <x:row r="26">
      <x:c r="A26" s="86" t="str">
        <x:v>木</x:v>
      </x:c>
      <x:c r="B26" s="86" t="str">
        <x:v>生发、连接、修复</x:v>
      </x:c>
      <x:c r="C26" s="86" t="str">
        <x:v>酸</x:v>
      </x:c>
      <x:c r="D26" s="86" t="str">
        <x:v>肝木／筋脉／生发接口</x:v>
      </x:c>
      <x:c r="E26" s="86" t="str">
        <x:v>常用于修复、接续、养成</x:v>
      </x:c>
    </x:row>
    <x:row r="27">
      <x:c r="A27" s="87" t="str">
        <x:v>火</x:v>
      </x:c>
      <x:c r="B27" s="87" t="str">
        <x:v>活化、交换、拆解</x:v>
      </x:c>
      <x:c r="C27" s="87" t="str">
        <x:v>苦</x:v>
      </x:c>
      <x:c r="D27" s="87" t="str">
        <x:v>心火／活化与神识回路</x:v>
      </x:c>
      <x:c r="E27" s="87" t="str">
        <x:v>常用于爆发、转化、开窗</x:v>
      </x:c>
    </x:row>
    <x:row r="28">
      <x:c r="A28" s="88" t="str">
        <x:v>土</x:v>
      </x:c>
      <x:c r="B28" s="88" t="str">
        <x:v>承载、固化、容纳</x:v>
      </x:c>
      <x:c r="C28" s="88" t="str">
        <x:v>甘</x:v>
      </x:c>
      <x:c r="D28" s="88" t="str">
        <x:v>脾土／丹田与承载中枢</x:v>
      </x:c>
      <x:c r="E28" s="88" t="str">
        <x:v>常用于修为、固本、护持</x:v>
      </x:c>
    </x:row>
    <x:row r="29">
      <x:c r="A29" s="89" t="str">
        <x:v>金</x:v>
      </x:c>
      <x:c r="B29" s="89" t="str">
        <x:v>收束、分理、定界</x:v>
      </x:c>
      <x:c r="C29" s="89" t="str">
        <x:v>辛</x:v>
      </x:c>
      <x:c r="D29" s="89" t="str">
        <x:v>肺金／边界与发散回路</x:v>
      </x:c>
      <x:c r="E29" s="89" t="str">
        <x:v>常用于净化、定界、退场</x:v>
      </x:c>
    </x:row>
    <x:row r="30">
      <x:c r="A30" s="90" t="str">
        <x:v>水</x:v>
      </x:c>
      <x:c r="B30" s="90" t="str">
        <x:v>渗润、导流、搬运</x:v>
      </x:c>
      <x:c r="C30" s="90" t="str">
        <x:v>咸</x:v>
      </x:c>
      <x:c r="D30" s="90" t="str">
        <x:v>肾水／气海与渗透回路</x:v>
      </x:c>
      <x:c r="E30" s="90" t="str">
        <x:v>常用于回灵、清洗、传导</x:v>
      </x:c>
    </x:row>
  </x:sheetData>
  <x:mergeCells>
    <x:mergeCell ref="A1:E1"/>
    <x:mergeCell ref="A2:E2"/>
    <x:mergeCell ref="A4:E4"/>
    <x:mergeCell ref="A11:E11"/>
    <x:mergeCell ref="A17:E17"/>
    <x:mergeCell ref="A24:E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6.880000114440918" hidden="0" customWidth="1"/>
    <x:col min="3" max="3" width="13.130000114440918" hidden="0" customWidth="1"/>
    <x:col min="4" max="4" width="11.25" hidden="0" customWidth="1"/>
    <x:col min="5" max="5" width="38.75" hidden="0" customWidth="1"/>
    <x:col min="6" max="6" width="26.25" hidden="0" customWidth="1"/>
    <x:col min="7" max="7" width="6.880000114440918" hidden="0" customWidth="1"/>
    <x:col min="8" max="8" width="6.880000114440918" hidden="0" customWidth="1"/>
    <x:col min="9" max="9" width="8.130000114440918" hidden="0" customWidth="1"/>
    <x:col min="10" max="10" width="6.880000114440918" hidden="0" customWidth="1"/>
    <x:col min="11" max="11" width="6.880000114440918" hidden="0" customWidth="1"/>
    <x:col min="12" max="12" width="8.130000114440918" hidden="0" customWidth="1"/>
    <x:col min="13" max="13" width="6.880000114440918" hidden="0" customWidth="1"/>
    <x:col min="14" max="14" width="6.880000114440918" hidden="0" customWidth="1"/>
    <x:col min="15" max="15" width="8.130000114440918" hidden="0" customWidth="1"/>
    <x:col min="16" max="16" width="6.880000114440918" hidden="0" customWidth="1"/>
    <x:col min="17" max="17" width="11.880000114440918" hidden="0" customWidth="1"/>
    <x:col min="18" max="18" width="8.130000114440918" hidden="0" customWidth="1"/>
    <x:col min="19" max="19" width="9.380000114440918" hidden="0" customWidth="1"/>
    <x:col min="20" max="20" width="6.880000114440918" hidden="0" customWidth="1"/>
    <x:col min="21" max="21" width="10" hidden="0" customWidth="1"/>
    <x:col min="22" max="22" width="32.5" hidden="0" customWidth="1"/>
  </x:cols>
  <x:sheetData>
    <x:row r="1" ht="34" customHeight="1">
      <x:c r="A1" s="105" t="str">
        <x:v>第16轮｜九类属性丹方模板（不绑定材料ID）</x:v>
      </x:c>
      <x:c r="B1" s="105" t="str">
        <x:v>第16轮｜九类属性丹方模板（不绑定材料ID）</x:v>
      </x:c>
      <x:c r="C1" s="105" t="str">
        <x:v>第16轮｜九类属性丹方模板（不绑定材料ID）</x:v>
      </x:c>
      <x:c r="D1" s="105" t="str">
        <x:v>第16轮｜九类属性丹方模板（不绑定材料ID）</x:v>
      </x:c>
      <x:c r="E1" s="105" t="str">
        <x:v>第16轮｜九类属性丹方模板（不绑定材料ID）</x:v>
      </x:c>
      <x:c r="F1" s="105" t="str">
        <x:v>第16轮｜九类属性丹方模板（不绑定材料ID）</x:v>
      </x:c>
      <x:c r="G1" s="105" t="str">
        <x:v>第16轮｜九类属性丹方模板（不绑定材料ID）</x:v>
      </x:c>
      <x:c r="H1" s="105" t="str">
        <x:v>第16轮｜九类属性丹方模板（不绑定材料ID）</x:v>
      </x:c>
      <x:c r="I1" s="105" t="str">
        <x:v>第16轮｜九类属性丹方模板（不绑定材料ID）</x:v>
      </x:c>
      <x:c r="J1" s="105" t="str">
        <x:v>第16轮｜九类属性丹方模板（不绑定材料ID）</x:v>
      </x:c>
      <x:c r="K1" s="105" t="str">
        <x:v>第16轮｜九类属性丹方模板（不绑定材料ID）</x:v>
      </x:c>
      <x:c r="L1" s="105" t="str">
        <x:v>第16轮｜九类属性丹方模板（不绑定材料ID）</x:v>
      </x:c>
      <x:c r="M1" s="105" t="str">
        <x:v>第16轮｜九类属性丹方模板（不绑定材料ID）</x:v>
      </x:c>
      <x:c r="N1" s="105" t="str">
        <x:v>第16轮｜九类属性丹方模板（不绑定材料ID）</x:v>
      </x:c>
      <x:c r="O1" s="105" t="str">
        <x:v>第16轮｜九类属性丹方模板（不绑定材料ID）</x:v>
      </x:c>
      <x:c r="P1" s="105" t="str">
        <x:v>第16轮｜九类属性丹方模板（不绑定材料ID）</x:v>
      </x:c>
      <x:c r="Q1" s="105" t="str">
        <x:v>第16轮｜九类属性丹方模板（不绑定材料ID）</x:v>
      </x:c>
      <x:c r="R1" s="105" t="str">
        <x:v>第16轮｜九类属性丹方模板（不绑定材料ID）</x:v>
      </x:c>
      <x:c r="S1" s="105" t="str">
        <x:v>第16轮｜九类属性丹方模板（不绑定材料ID）</x:v>
      </x:c>
      <x:c r="T1" s="105" t="str">
        <x:v>第16轮｜九类属性丹方模板（不绑定材料ID）</x:v>
      </x:c>
      <x:c r="U1" s="105" t="str">
        <x:v>第16轮｜九类属性丹方模板（不绑定材料ID）</x:v>
      </x:c>
      <x:c r="V1" s="105" t="str">
        <x:v>第16轮｜九类属性丹方模板（不绑定材料ID）</x:v>
      </x:c>
    </x:row>
    <x:row r="2" ht="34" customHeight="1">
      <x:c r="A2" s="77" t="str">
        <x:v>九类先各一方。所有境界沿用相同五行、五味、寒热结构；角色药力门槛＝本方角色权重×目标境界基准药力。数字是初版校准值，不是最终经济平衡。——小G</x:v>
      </x:c>
      <x:c r="B2" s="77" t="str">
        <x:v>九类先各一方。所有境界沿用相同五行、五味、寒热结构；角色药力门槛＝本方角色权重×目标境界基准药力。数字是初版校准值，不是最终经济平衡。——小G</x:v>
      </x:c>
      <x:c r="C2" s="77" t="str">
        <x:v>九类先各一方。所有境界沿用相同五行、五味、寒热结构；角色药力门槛＝本方角色权重×目标境界基准药力。数字是初版校准值，不是最终经济平衡。——小G</x:v>
      </x:c>
      <x:c r="D2" s="77" t="str">
        <x:v>九类先各一方。所有境界沿用相同五行、五味、寒热结构；角色药力门槛＝本方角色权重×目标境界基准药力。数字是初版校准值，不是最终经济平衡。——小G</x:v>
      </x:c>
      <x:c r="E2" s="77" t="str">
        <x:v>九类先各一方。所有境界沿用相同五行、五味、寒热结构；角色药力门槛＝本方角色权重×目标境界基准药力。数字是初版校准值，不是最终经济平衡。——小G</x:v>
      </x:c>
      <x:c r="F2" s="77" t="str">
        <x:v>九类先各一方。所有境界沿用相同五行、五味、寒热结构；角色药力门槛＝本方角色权重×目标境界基准药力。数字是初版校准值，不是最终经济平衡。——小G</x:v>
      </x:c>
      <x:c r="G2" s="77" t="str">
        <x:v>九类先各一方。所有境界沿用相同五行、五味、寒热结构；角色药力门槛＝本方角色权重×目标境界基准药力。数字是初版校准值，不是最终经济平衡。——小G</x:v>
      </x:c>
      <x:c r="H2" s="77" t="str">
        <x:v>九类先各一方。所有境界沿用相同五行、五味、寒热结构；角色药力门槛＝本方角色权重×目标境界基准药力。数字是初版校准值，不是最终经济平衡。——小G</x:v>
      </x:c>
      <x:c r="I2" s="77" t="str">
        <x:v>九类先各一方。所有境界沿用相同五行、五味、寒热结构；角色药力门槛＝本方角色权重×目标境界基准药力。数字是初版校准值，不是最终经济平衡。——小G</x:v>
      </x:c>
      <x:c r="J2" s="77" t="str">
        <x:v>九类先各一方。所有境界沿用相同五行、五味、寒热结构；角色药力门槛＝本方角色权重×目标境界基准药力。数字是初版校准值，不是最终经济平衡。——小G</x:v>
      </x:c>
      <x:c r="K2" s="77" t="str">
        <x:v>九类先各一方。所有境界沿用相同五行、五味、寒热结构；角色药力门槛＝本方角色权重×目标境界基准药力。数字是初版校准值，不是最终经济平衡。——小G</x:v>
      </x:c>
      <x:c r="L2" s="77" t="str">
        <x:v>九类先各一方。所有境界沿用相同五行、五味、寒热结构；角色药力门槛＝本方角色权重×目标境界基准药力。数字是初版校准值，不是最终经济平衡。——小G</x:v>
      </x:c>
      <x:c r="M2" s="77" t="str">
        <x:v>九类先各一方。所有境界沿用相同五行、五味、寒热结构；角色药力门槛＝本方角色权重×目标境界基准药力。数字是初版校准值，不是最终经济平衡。——小G</x:v>
      </x:c>
      <x:c r="N2" s="77" t="str">
        <x:v>九类先各一方。所有境界沿用相同五行、五味、寒热结构；角色药力门槛＝本方角色权重×目标境界基准药力。数字是初版校准值，不是最终经济平衡。——小G</x:v>
      </x:c>
      <x:c r="O2" s="77" t="str">
        <x:v>九类先各一方。所有境界沿用相同五行、五味、寒热结构；角色药力门槛＝本方角色权重×目标境界基准药力。数字是初版校准值，不是最终经济平衡。——小G</x:v>
      </x:c>
      <x:c r="P2" s="77" t="str">
        <x:v>九类先各一方。所有境界沿用相同五行、五味、寒热结构；角色药力门槛＝本方角色权重×目标境界基准药力。数字是初版校准值，不是最终经济平衡。——小G</x:v>
      </x:c>
      <x:c r="Q2" s="77" t="str">
        <x:v>九类先各一方。所有境界沿用相同五行、五味、寒热结构；角色药力门槛＝本方角色权重×目标境界基准药力。数字是初版校准值，不是最终经济平衡。——小G</x:v>
      </x:c>
      <x:c r="R2" s="77" t="str">
        <x:v>九类先各一方。所有境界沿用相同五行、五味、寒热结构；角色药力门槛＝本方角色权重×目标境界基准药力。数字是初版校准值，不是最终经济平衡。——小G</x:v>
      </x:c>
      <x:c r="S2" s="77" t="str">
        <x:v>九类先各一方。所有境界沿用相同五行、五味、寒热结构；角色药力门槛＝本方角色权重×目标境界基准药力。数字是初版校准值，不是最终经济平衡。——小G</x:v>
      </x:c>
      <x:c r="T2" s="77" t="str">
        <x:v>九类先各一方。所有境界沿用相同五行、五味、寒热结构；角色药力门槛＝本方角色权重×目标境界基准药力。数字是初版校准值，不是最终经济平衡。——小G</x:v>
      </x:c>
      <x:c r="U2" s="77" t="str">
        <x:v>九类先各一方。所有境界沿用相同五行、五味、寒热结构；角色药力门槛＝本方角色权重×目标境界基准药力。数字是初版校准值，不是最终经济平衡。——小G</x:v>
      </x:c>
      <x:c r="V2" s="77" t="str">
        <x:v>九类先各一方。所有境界沿用相同五行、五味、寒热结构；角色药力门槛＝本方角色权重×目标境界基准药力。数字是初版校准值，不是最终经济平衡。——小G</x:v>
      </x:c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  <x:c r="O3" s="78"/>
      <x:c r="P3" s="78"/>
      <x:c r="Q3" s="78"/>
      <x:c r="R3" s="78"/>
      <x:c r="S3" s="78"/>
      <x:c r="T3" s="78"/>
      <x:c r="U3" s="78"/>
      <x:c r="V3" s="78"/>
    </x:row>
    <x:row r="4" ht="30" customHeight="1">
      <x:c r="A4" s="79" t="str">
        <x:v>丹方ID</x:v>
      </x:c>
      <x:c r="B4" s="79" t="str">
        <x:v>四族</x:v>
      </x:c>
      <x:c r="C4" s="79" t="str">
        <x:v>九类</x:v>
      </x:c>
      <x:c r="D4" s="79" t="str">
        <x:v>基准丹名</x:v>
      </x:c>
      <x:c r="E4" s="79" t="str">
        <x:v>产出效果</x:v>
      </x:c>
      <x:c r="F4" s="79" t="str">
        <x:v>作用对象×时间</x:v>
      </x:c>
      <x:c r="G4" s="79" t="str">
        <x:v>君行</x:v>
      </x:c>
      <x:c r="H4" s="79" t="str">
        <x:v>君味</x:v>
      </x:c>
      <x:c r="I4" s="79" t="str">
        <x:v>君权重</x:v>
      </x:c>
      <x:c r="J4" s="79" t="str">
        <x:v>臣行</x:v>
      </x:c>
      <x:c r="K4" s="79" t="str">
        <x:v>臣味</x:v>
      </x:c>
      <x:c r="L4" s="79" t="str">
        <x:v>臣权重</x:v>
      </x:c>
      <x:c r="M4" s="79" t="str">
        <x:v>佐行</x:v>
      </x:c>
      <x:c r="N4" s="79" t="str">
        <x:v>佐味</x:v>
      </x:c>
      <x:c r="O4" s="79" t="str">
        <x:v>佐权重</x:v>
      </x:c>
      <x:c r="P4" s="79" t="str">
        <x:v>使行</x:v>
      </x:c>
      <x:c r="Q4" s="79" t="str">
        <x:v>使味</x:v>
      </x:c>
      <x:c r="R4" s="79" t="str">
        <x:v>使权重</x:v>
      </x:c>
      <x:c r="S4" s="79" t="str">
        <x:v>目标寒热</x:v>
      </x:c>
      <x:c r="T4" s="79" t="str">
        <x:v>容差</x:v>
      </x:c>
      <x:c r="U4" s="79" t="str">
        <x:v>总量上限</x:v>
      </x:c>
      <x:c r="V4" s="79" t="str">
        <x:v>境界规则</x:v>
      </x:c>
    </x:row>
    <x:row r="5" ht="78" customHeight="1">
      <x:c r="A5" s="83" t="str">
        <x:v>F01</x:v>
      </x:c>
      <x:c r="B5" s="83" t="str">
        <x:v>养</x:v>
      </x:c>
      <x:c r="C5" s="83" t="str">
        <x:v>修为精进</x:v>
      </x:c>
      <x:c r="D5" s="83" t="str">
        <x:v>聚元丹</x:v>
      </x:c>
      <x:c r="E5" s="80" t="str">
        <x:v>把有序灵气整合进当前境界稳定结构，增加修为进度</x:v>
      </x:c>
      <x:c r="F5" s="80" t="str">
        <x:v>当前境界结构×短时整合</x:v>
      </x:c>
      <x:c r="G5" s="83" t="str">
        <x:v>土</x:v>
      </x:c>
      <x:c r="H5" s="83" t="str">
        <x:v>甘</x:v>
      </x:c>
      <x:c r="I5" s="91" t="n">
        <x:v>3</x:v>
      </x:c>
      <x:c r="J5" s="83" t="str">
        <x:v>木</x:v>
      </x:c>
      <x:c r="K5" s="83" t="str">
        <x:v>酸</x:v>
      </x:c>
      <x:c r="L5" s="91" t="n">
        <x:v>2</x:v>
      </x:c>
      <x:c r="M5" s="83" t="str">
        <x:v>金</x:v>
      </x:c>
      <x:c r="N5" s="83" t="str">
        <x:v>苦</x:v>
      </x:c>
      <x:c r="O5" s="91" t="n">
        <x:v>2</x:v>
      </x:c>
      <x:c r="P5" s="83" t="str">
        <x:v>任一</x:v>
      </x:c>
      <x:c r="Q5" s="83" t="str">
        <x:v>甘</x:v>
      </x:c>
      <x:c r="R5" s="91" t="n">
        <x:v>1</x:v>
      </x:c>
      <x:c r="S5" s="91" t="n">
        <x:v>0</x:v>
      </x:c>
      <x:c r="T5" s="91" t="n">
        <x:v>0</x:v>
      </x:c>
      <x:c r="U5" s="91" t="n">
        <x:v>24</x:v>
      </x:c>
      <x:c r="V5" s="80" t="str">
        <x:v>八境同构；只放大四槽药力门槛</x:v>
      </x:c>
    </x:row>
    <x:row r="6" ht="78" customHeight="1">
      <x:c r="A6" s="83" t="str">
        <x:v>F02</x:v>
      </x:c>
      <x:c r="B6" s="83" t="str">
        <x:v>养</x:v>
      </x:c>
      <x:c r="C6" s="83" t="str">
        <x:v>灵力恢复</x:v>
      </x:c>
      <x:c r="D6" s="83" t="str">
        <x:v>回灵丹</x:v>
      </x:c>
      <x:c r="E6" s="80" t="str">
        <x:v>快速补回可调用灵力，不增加长期修为</x:v>
      </x:c>
      <x:c r="F6" s="80" t="str">
        <x:v>灵力循环×瞬时</x:v>
      </x:c>
      <x:c r="G6" s="83" t="str">
        <x:v>水</x:v>
      </x:c>
      <x:c r="H6" s="83" t="str">
        <x:v>咸</x:v>
      </x:c>
      <x:c r="I6" s="91" t="n">
        <x:v>3</x:v>
      </x:c>
      <x:c r="J6" s="83" t="str">
        <x:v>火</x:v>
      </x:c>
      <x:c r="K6" s="83" t="str">
        <x:v>苦</x:v>
      </x:c>
      <x:c r="L6" s="91" t="n">
        <x:v>3</x:v>
      </x:c>
      <x:c r="M6" s="83" t="str">
        <x:v>土</x:v>
      </x:c>
      <x:c r="N6" s="83" t="str">
        <x:v>甘</x:v>
      </x:c>
      <x:c r="O6" s="91" t="n">
        <x:v>1</x:v>
      </x:c>
      <x:c r="P6" s="83" t="str">
        <x:v>任一</x:v>
      </x:c>
      <x:c r="Q6" s="83" t="str">
        <x:v>辛</x:v>
      </x:c>
      <x:c r="R6" s="91" t="n">
        <x:v>1</x:v>
      </x:c>
      <x:c r="S6" s="91" t="n">
        <x:v>1</x:v>
      </x:c>
      <x:c r="T6" s="91" t="n">
        <x:v>0</x:v>
      </x:c>
      <x:c r="U6" s="91" t="n">
        <x:v>24</x:v>
      </x:c>
      <x:c r="V6" s="80" t="str">
        <x:v>八境同构；提高释放药力与承载要求</x:v>
      </x:c>
    </x:row>
    <x:row r="7" ht="78" customHeight="1">
      <x:c r="A7" s="83" t="str">
        <x:v>F03</x:v>
      </x:c>
      <x:c r="B7" s="83" t="str">
        <x:v>改</x:v>
      </x:c>
      <x:c r="C7" s="83" t="str">
        <x:v>破境重构</x:v>
      </x:c>
      <x:c r="D7" s="83" t="str">
        <x:v>破境丹</x:v>
      </x:c>
      <x:c r="E7" s="80" t="str">
        <x:v>在突破窗口提供下一境支架、拆旧动力与稳定边界</x:v>
      </x:c>
      <x:c r="F7" s="80" t="str">
        <x:v>境界关隘×一次性窗口</x:v>
      </x:c>
      <x:c r="G7" s="83" t="str">
        <x:v>土</x:v>
      </x:c>
      <x:c r="H7" s="83" t="str">
        <x:v>甘</x:v>
      </x:c>
      <x:c r="I7" s="91" t="n">
        <x:v>3</x:v>
      </x:c>
      <x:c r="J7" s="83" t="str">
        <x:v>火</x:v>
      </x:c>
      <x:c r="K7" s="83" t="str">
        <x:v>苦</x:v>
      </x:c>
      <x:c r="L7" s="91" t="n">
        <x:v>2</x:v>
      </x:c>
      <x:c r="M7" s="83" t="str">
        <x:v>水</x:v>
      </x:c>
      <x:c r="N7" s="83" t="str">
        <x:v>咸</x:v>
      </x:c>
      <x:c r="O7" s="91" t="n">
        <x:v>2</x:v>
      </x:c>
      <x:c r="P7" s="83" t="str">
        <x:v>任一</x:v>
      </x:c>
      <x:c r="Q7" s="83" t="str">
        <x:v>辛</x:v>
      </x:c>
      <x:c r="R7" s="91" t="n">
        <x:v>1</x:v>
      </x:c>
      <x:c r="S7" s="91" t="n">
        <x:v>0</x:v>
      </x:c>
      <x:c r="T7" s="91" t="n">
        <x:v>0</x:v>
      </x:c>
      <x:c r="U7" s="91" t="n">
        <x:v>24</x:v>
      </x:c>
      <x:c r="V7" s="80" t="str">
        <x:v>各境只更换目标结构与药力门槛</x:v>
      </x:c>
    </x:row>
    <x:row r="8" ht="78" customHeight="1">
      <x:c r="A8" s="83" t="str">
        <x:v>F04</x:v>
      </x:c>
      <x:c r="B8" s="83" t="str">
        <x:v>养</x:v>
      </x:c>
      <x:c r="C8" s="83" t="str">
        <x:v>疗伤复元</x:v>
      </x:c>
      <x:c r="D8" s="83" t="str">
        <x:v>复元丹</x:v>
      </x:c>
      <x:c r="E8" s="80" t="str">
        <x:v>按健康模板修复受损血肉、经脉或神魂</x:v>
      </x:c>
      <x:c r="F8" s="80" t="str">
        <x:v>受损结构×恢复期</x:v>
      </x:c>
      <x:c r="G8" s="83" t="str">
        <x:v>木</x:v>
      </x:c>
      <x:c r="H8" s="83" t="str">
        <x:v>酸</x:v>
      </x:c>
      <x:c r="I8" s="91" t="n">
        <x:v>3</x:v>
      </x:c>
      <x:c r="J8" s="83" t="str">
        <x:v>水</x:v>
      </x:c>
      <x:c r="K8" s="83" t="str">
        <x:v>咸</x:v>
      </x:c>
      <x:c r="L8" s="91" t="n">
        <x:v>2</x:v>
      </x:c>
      <x:c r="M8" s="83" t="str">
        <x:v>金</x:v>
      </x:c>
      <x:c r="N8" s="83" t="str">
        <x:v>苦</x:v>
      </x:c>
      <x:c r="O8" s="91" t="n">
        <x:v>2</x:v>
      </x:c>
      <x:c r="P8" s="83" t="str">
        <x:v>任一</x:v>
      </x:c>
      <x:c r="Q8" s="83" t="str">
        <x:v>辛</x:v>
      </x:c>
      <x:c r="R8" s="91" t="n">
        <x:v>1</x:v>
      </x:c>
      <x:c r="S8" s="91" t="n">
        <x:v>0</x:v>
      </x:c>
      <x:c r="T8" s="91" t="n">
        <x:v>0</x:v>
      </x:c>
      <x:c r="U8" s="91" t="n">
        <x:v>24</x:v>
      </x:c>
      <x:c r="V8" s="80" t="str">
        <x:v>伤型改变模板，不改变三道判定</x:v>
      </x:c>
    </x:row>
    <x:row r="9" ht="78" customHeight="1">
      <x:c r="A9" s="83" t="str">
        <x:v>F05</x:v>
      </x:c>
      <x:c r="B9" s="83" t="str">
        <x:v>清</x:v>
      </x:c>
      <x:c r="C9" s="83" t="str">
        <x:v>清解排异</x:v>
      </x:c>
      <x:c r="D9" s="83" t="str">
        <x:v>清障丹</x:v>
      </x:c>
      <x:c r="E9" s="80" t="str">
        <x:v>识别、搬运并排出外毒、丹毒或魔染残留</x:v>
      </x:c>
      <x:c r="F9" s="80" t="str">
        <x:v>异常残留×清除期</x:v>
      </x:c>
      <x:c r="G9" s="83" t="str">
        <x:v>金</x:v>
      </x:c>
      <x:c r="H9" s="83" t="str">
        <x:v>辛</x:v>
      </x:c>
      <x:c r="I9" s="91" t="n">
        <x:v>3</x:v>
      </x:c>
      <x:c r="J9" s="83" t="str">
        <x:v>水</x:v>
      </x:c>
      <x:c r="K9" s="83" t="str">
        <x:v>咸</x:v>
      </x:c>
      <x:c r="L9" s="91" t="n">
        <x:v>2</x:v>
      </x:c>
      <x:c r="M9" s="83" t="str">
        <x:v>土</x:v>
      </x:c>
      <x:c r="N9" s="83" t="str">
        <x:v>甘</x:v>
      </x:c>
      <x:c r="O9" s="91" t="n">
        <x:v>2</x:v>
      </x:c>
      <x:c r="P9" s="83" t="str">
        <x:v>任一</x:v>
      </x:c>
      <x:c r="Q9" s="83" t="str">
        <x:v>苦</x:v>
      </x:c>
      <x:c r="R9" s="91" t="n">
        <x:v>1</x:v>
      </x:c>
      <x:c r="S9" s="91" t="n">
        <x:v>-1</x:v>
      </x:c>
      <x:c r="T9" s="91" t="n">
        <x:v>0</x:v>
      </x:c>
      <x:c r="U9" s="91" t="n">
        <x:v>24</x:v>
      </x:c>
      <x:c r="V9" s="80" t="str">
        <x:v>污染类型改变识别模板，属性骨架不变</x:v>
      </x:c>
    </x:row>
    <x:row r="10" ht="78" customHeight="1">
      <x:c r="A10" s="83" t="str">
        <x:v>F06</x:v>
      </x:c>
      <x:c r="B10" s="83" t="str">
        <x:v>改</x:v>
      </x:c>
      <x:c r="C10" s="83" t="str">
        <x:v>锻体养基</x:v>
      </x:c>
      <x:c r="D10" s="83" t="str">
        <x:v>淬体丹</x:v>
      </x:c>
      <x:c r="E10" s="80" t="str">
        <x:v>缓慢重构并固化肉身、经脉、丹田或神识承载</x:v>
      </x:c>
      <x:c r="F10" s="80" t="str">
        <x:v>承载结构×长期</x:v>
      </x:c>
      <x:c r="G10" s="83" t="str">
        <x:v>土</x:v>
      </x:c>
      <x:c r="H10" s="83" t="str">
        <x:v>甘</x:v>
      </x:c>
      <x:c r="I10" s="91" t="n">
        <x:v>3</x:v>
      </x:c>
      <x:c r="J10" s="83" t="str">
        <x:v>木</x:v>
      </x:c>
      <x:c r="K10" s="83" t="str">
        <x:v>酸</x:v>
      </x:c>
      <x:c r="L10" s="91" t="n">
        <x:v>2</x:v>
      </x:c>
      <x:c r="M10" s="83" t="str">
        <x:v>水</x:v>
      </x:c>
      <x:c r="N10" s="83" t="str">
        <x:v>咸</x:v>
      </x:c>
      <x:c r="O10" s="91" t="n">
        <x:v>2</x:v>
      </x:c>
      <x:c r="P10" s="83" t="str">
        <x:v>任一</x:v>
      </x:c>
      <x:c r="Q10" s="83" t="str">
        <x:v>辛</x:v>
      </x:c>
      <x:c r="R10" s="91" t="n">
        <x:v>1</x:v>
      </x:c>
      <x:c r="S10" s="91" t="n">
        <x:v>1</x:v>
      </x:c>
      <x:c r="T10" s="91" t="n">
        <x:v>0</x:v>
      </x:c>
      <x:c r="U10" s="91" t="n">
        <x:v>24</x:v>
      </x:c>
      <x:c r="V10" s="80" t="str">
        <x:v>对象变化只改变材料档与说明</x:v>
      </x:c>
    </x:row>
    <x:row r="11" ht="78" customHeight="1">
      <x:c r="A11" s="83" t="str">
        <x:v>F07</x:v>
      </x:c>
      <x:c r="B11" s="83" t="str">
        <x:v>改</x:v>
      </x:c>
      <x:c r="C11" s="83" t="str">
        <x:v>灵根洗炼</x:v>
      </x:c>
      <x:c r="D11" s="83" t="str">
        <x:v>洗髓丹</x:v>
      </x:c>
      <x:c r="E11" s="80" t="str">
        <x:v>清堵、纠偏或重接灵根与魂身读取接口</x:v>
      </x:c>
      <x:c r="F11" s="80" t="str">
        <x:v>灵根接口×长期/一次性</x:v>
      </x:c>
      <x:c r="G11" s="83" t="str">
        <x:v>水</x:v>
      </x:c>
      <x:c r="H11" s="83" t="str">
        <x:v>咸</x:v>
      </x:c>
      <x:c r="I11" s="91" t="n">
        <x:v>3</x:v>
      </x:c>
      <x:c r="J11" s="83" t="str">
        <x:v>木</x:v>
      </x:c>
      <x:c r="K11" s="83" t="str">
        <x:v>酸</x:v>
      </x:c>
      <x:c r="L11" s="91" t="n">
        <x:v>2</x:v>
      </x:c>
      <x:c r="M11" s="83" t="str">
        <x:v>土</x:v>
      </x:c>
      <x:c r="N11" s="83" t="str">
        <x:v>甘</x:v>
      </x:c>
      <x:c r="O11" s="91" t="n">
        <x:v>2</x:v>
      </x:c>
      <x:c r="P11" s="83" t="str">
        <x:v>任一</x:v>
      </x:c>
      <x:c r="Q11" s="83" t="str">
        <x:v>目标行对应味</x:v>
      </x:c>
      <x:c r="R11" s="91" t="n">
        <x:v>1</x:v>
      </x:c>
      <x:c r="S11" s="91" t="n">
        <x:v>0</x:v>
      </x:c>
      <x:c r="T11" s="91" t="n">
        <x:v>0</x:v>
      </x:c>
      <x:c r="U11" s="91" t="n">
        <x:v>24</x:v>
      </x:c>
      <x:c r="V11" s="80" t="str">
        <x:v>目标行改变使味；清堵/纠偏/改根提高药力与风险</x:v>
      </x:c>
    </x:row>
    <x:row r="12" ht="78" customHeight="1">
      <x:c r="A12" s="83" t="str">
        <x:v>F08</x:v>
      </x:c>
      <x:c r="B12" s="83" t="str">
        <x:v>发</x:v>
      </x:c>
      <x:c r="C12" s="83" t="str">
        <x:v>战时状态</x:v>
      </x:c>
      <x:c r="D12" s="83" t="str">
        <x:v>燃血丹</x:v>
      </x:c>
      <x:c r="E12" s="80" t="str">
        <x:v>临时提高交换、输出和经脉运行峰值，结束后回落</x:v>
      </x:c>
      <x:c r="F12" s="80" t="str">
        <x:v>运行参数×短时</x:v>
      </x:c>
      <x:c r="G12" s="83" t="str">
        <x:v>火</x:v>
      </x:c>
      <x:c r="H12" s="83" t="str">
        <x:v>苦</x:v>
      </x:c>
      <x:c r="I12" s="91" t="n">
        <x:v>3</x:v>
      </x:c>
      <x:c r="J12" s="83" t="str">
        <x:v>木</x:v>
      </x:c>
      <x:c r="K12" s="83" t="str">
        <x:v>酸</x:v>
      </x:c>
      <x:c r="L12" s="91" t="n">
        <x:v>3</x:v>
      </x:c>
      <x:c r="M12" s="83" t="str">
        <x:v>水</x:v>
      </x:c>
      <x:c r="N12" s="83" t="str">
        <x:v>咸</x:v>
      </x:c>
      <x:c r="O12" s="91" t="n">
        <x:v>1</x:v>
      </x:c>
      <x:c r="P12" s="83" t="str">
        <x:v>任一</x:v>
      </x:c>
      <x:c r="Q12" s="83" t="str">
        <x:v>辛</x:v>
      </x:c>
      <x:c r="R12" s="91" t="n">
        <x:v>1</x:v>
      </x:c>
      <x:c r="S12" s="91" t="n">
        <x:v>2</x:v>
      </x:c>
      <x:c r="T12" s="91" t="n">
        <x:v>0</x:v>
      </x:c>
      <x:c r="U12" s="91" t="n">
        <x:v>24</x:v>
      </x:c>
      <x:c r="V12" s="80" t="str">
        <x:v>状态子类只更换君臣方向；本行为爆发基准</x:v>
      </x:c>
    </x:row>
    <x:row r="13" ht="78" customHeight="1">
      <x:c r="A13" s="83" t="str">
        <x:v>F09</x:v>
      </x:c>
      <x:c r="B13" s="83" t="str">
        <x:v>养</x:v>
      </x:c>
      <x:c r="C13" s="83" t="str">
        <x:v>养命延寿</x:v>
      </x:c>
      <x:c r="D13" s="83" t="str">
        <x:v>延年丹</x:v>
      </x:c>
      <x:c r="E13" s="80" t="str">
        <x:v>修补可逆寿损并降低未来生命秩序自耗</x:v>
      </x:c>
      <x:c r="F13" s="80" t="str">
        <x:v>生命秩序×长效递减</x:v>
      </x:c>
      <x:c r="G13" s="83" t="str">
        <x:v>木</x:v>
      </x:c>
      <x:c r="H13" s="83" t="str">
        <x:v>甘</x:v>
      </x:c>
      <x:c r="I13" s="91" t="n">
        <x:v>3</x:v>
      </x:c>
      <x:c r="J13" s="83" t="str">
        <x:v>土</x:v>
      </x:c>
      <x:c r="K13" s="83" t="str">
        <x:v>甘</x:v>
      </x:c>
      <x:c r="L13" s="91" t="n">
        <x:v>2</x:v>
      </x:c>
      <x:c r="M13" s="83" t="str">
        <x:v>金</x:v>
      </x:c>
      <x:c r="N13" s="83" t="str">
        <x:v>辛</x:v>
      </x:c>
      <x:c r="O13" s="91" t="n">
        <x:v>2</x:v>
      </x:c>
      <x:c r="P13" s="83" t="str">
        <x:v>任一</x:v>
      </x:c>
      <x:c r="Q13" s="83" t="str">
        <x:v>甘</x:v>
      </x:c>
      <x:c r="R13" s="91" t="n">
        <x:v>1</x:v>
      </x:c>
      <x:c r="S13" s="91" t="n">
        <x:v>0</x:v>
      </x:c>
      <x:c r="T13" s="91" t="n">
        <x:v>0</x:v>
      </x:c>
      <x:c r="U13" s="91" t="n">
        <x:v>24</x:v>
      </x:c>
      <x:c r="V13" s="80" t="str">
        <x:v>境界与服用史改变门槛和收益，不改基础属性</x:v>
      </x:c>
    </x:row>
  </x:sheetData>
  <x:mergeCells>
    <x:mergeCell ref="A1:V1"/>
    <x:mergeCell ref="A2:V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5" hidden="0" customWidth="1"/>
    <x:col min="2" max="2" width="18.1299991607666" hidden="0" customWidth="1"/>
    <x:col min="3" max="3" width="13.130000114440918" hidden="0" customWidth="1"/>
    <x:col min="4" max="4" width="6.880000114440918" hidden="0" customWidth="1"/>
    <x:col min="5" max="5" width="6.880000114440918" hidden="0" customWidth="1"/>
    <x:col min="6" max="6" width="8.130000114440918" hidden="0" customWidth="1"/>
    <x:col min="7" max="7" width="6.880000114440918" hidden="0" customWidth="1"/>
    <x:col min="8" max="8" width="8.130000114440918" hidden="0" customWidth="1"/>
    <x:col min="9" max="9" width="9" hidden="0" customWidth="1"/>
    <x:col min="10" max="10" width="7.5" hidden="0" customWidth="1"/>
    <x:col min="11" max="11" width="10.25" hidden="0" customWidth="1"/>
    <x:col min="12" max="12" width="12.5" hidden="0" customWidth="1"/>
    <x:col min="13" max="13" width="10.25" hidden="0" customWidth="1"/>
    <x:col min="14" max="14" width="31.25" hidden="0" customWidth="1"/>
  </x:cols>
  <x:sheetData>
    <x:row r="1" ht="34" customHeight="1">
      <x:c r="A1" s="105" t="str">
        <x:v>第16轮｜灵材三属性＋药力表（占位名）</x:v>
      </x:c>
      <x:c r="B1" s="105" t="str">
        <x:v>第16轮｜灵材三属性＋药力表（占位名）</x:v>
      </x:c>
      <x:c r="C1" s="105" t="str">
        <x:v>第16轮｜灵材三属性＋药力表（占位名）</x:v>
      </x:c>
      <x:c r="D1" s="105" t="str">
        <x:v>第16轮｜灵材三属性＋药力表（占位名）</x:v>
      </x:c>
      <x:c r="E1" s="105" t="str">
        <x:v>第16轮｜灵材三属性＋药力表（占位名）</x:v>
      </x:c>
      <x:c r="F1" s="105" t="str">
        <x:v>第16轮｜灵材三属性＋药力表（占位名）</x:v>
      </x:c>
      <x:c r="G1" s="105" t="str">
        <x:v>第16轮｜灵材三属性＋药力表（占位名）</x:v>
      </x:c>
      <x:c r="H1" s="105" t="str">
        <x:v>第16轮｜灵材三属性＋药力表（占位名）</x:v>
      </x:c>
      <x:c r="I1" s="105" t="str">
        <x:v>第16轮｜灵材三属性＋药力表（占位名）</x:v>
      </x:c>
      <x:c r="J1" s="105" t="str">
        <x:v>第16轮｜灵材三属性＋药力表（占位名）</x:v>
      </x:c>
      <x:c r="K1" s="105" t="str">
        <x:v>第16轮｜灵材三属性＋药力表（占位名）</x:v>
      </x:c>
      <x:c r="L1" s="105" t="str">
        <x:v>第16轮｜灵材三属性＋药力表（占位名）</x:v>
      </x:c>
      <x:c r="M1" s="105" t="str">
        <x:v>第16轮｜灵材三属性＋药力表（占位名）</x:v>
      </x:c>
      <x:c r="N1" s="105" t="str">
        <x:v>第16轮｜灵材三属性＋药力表（占位名）</x:v>
      </x:c>
    </x:row>
    <x:row r="2" ht="34" customHeight="1">
      <x:c r="A2" s="77" t="str">
        <x:v>三种药性标签只有主行、四性、五味；药力是数值。材料境界决定药力数量级，品质只作系数修正。每株灵材只有一个主行，复合效果由多味材料共同完成。</x:v>
      </x:c>
      <x:c r="B2" s="77" t="str">
        <x:v>三种药性标签只有主行、四性、五味；药力是数值。材料境界决定药力数量级，品质只作系数修正。每株灵材只有一个主行，复合效果由多味材料共同完成。</x:v>
      </x:c>
      <x:c r="C2" s="77" t="str">
        <x:v>三种药性标签只有主行、四性、五味；药力是数值。材料境界决定药力数量级，品质只作系数修正。每株灵材只有一个主行，复合效果由多味材料共同完成。</x:v>
      </x:c>
      <x:c r="D2" s="77" t="str">
        <x:v>三种药性标签只有主行、四性、五味；药力是数值。材料境界决定药力数量级，品质只作系数修正。每株灵材只有一个主行，复合效果由多味材料共同完成。</x:v>
      </x:c>
      <x:c r="E2" s="77" t="str">
        <x:v>三种药性标签只有主行、四性、五味；药力是数值。材料境界决定药力数量级，品质只作系数修正。每株灵材只有一个主行，复合效果由多味材料共同完成。</x:v>
      </x:c>
      <x:c r="F2" s="77" t="str">
        <x:v>三种药性标签只有主行、四性、五味；药力是数值。材料境界决定药力数量级，品质只作系数修正。每株灵材只有一个主行，复合效果由多味材料共同完成。</x:v>
      </x:c>
      <x:c r="G2" s="77" t="str">
        <x:v>三种药性标签只有主行、四性、五味；药力是数值。材料境界决定药力数量级，品质只作系数修正。每株灵材只有一个主行，复合效果由多味材料共同完成。</x:v>
      </x:c>
      <x:c r="H2" s="77" t="str">
        <x:v>三种药性标签只有主行、四性、五味；药力是数值。材料境界决定药力数量级，品质只作系数修正。每株灵材只有一个主行，复合效果由多味材料共同完成。</x:v>
      </x:c>
      <x:c r="I2" s="77" t="str">
        <x:v>三种药性标签只有主行、四性、五味；药力是数值。材料境界决定药力数量级，品质只作系数修正。每株灵材只有一个主行，复合效果由多味材料共同完成。</x:v>
      </x:c>
      <x:c r="J2" s="77" t="str">
        <x:v>三种药性标签只有主行、四性、五味；药力是数值。材料境界决定药力数量级，品质只作系数修正。每株灵材只有一个主行，复合效果由多味材料共同完成。</x:v>
      </x:c>
      <x:c r="K2" s="77" t="str">
        <x:v>三种药性标签只有主行、四性、五味；药力是数值。材料境界决定药力数量级，品质只作系数修正。每株灵材只有一个主行，复合效果由多味材料共同完成。</x:v>
      </x:c>
      <x:c r="L2" s="77" t="str">
        <x:v>三种药性标签只有主行、四性、五味；药力是数值。材料境界决定药力数量级，品质只作系数修正。每株灵材只有一个主行，复合效果由多味材料共同完成。</x:v>
      </x:c>
      <x:c r="M2" s="77" t="str">
        <x:v>三种药性标签只有主行、四性、五味；药力是数值。材料境界决定药力数量级，品质只作系数修正。每株灵材只有一个主行，复合效果由多味材料共同完成。</x:v>
      </x:c>
      <x:c r="N2" s="77" t="str">
        <x:v>三种药性标签只有主行、四性、五味；药力是数值。材料境界决定药力数量级，品质只作系数修正。每株灵材只有一个主行，复合效果由多味材料共同完成。</x:v>
      </x:c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</x:row>
    <x:row r="4" ht="30" customHeight="1">
      <x:c r="A4" s="79" t="str">
        <x:v>灵材ID</x:v>
      </x:c>
      <x:c r="B4" s="79" t="str">
        <x:v>占位名</x:v>
      </x:c>
      <x:c r="C4" s="79" t="str">
        <x:v>图标</x:v>
      </x:c>
      <x:c r="D4" s="79" t="str">
        <x:v>主行</x:v>
      </x:c>
      <x:c r="E4" s="79" t="str">
        <x:v>四性</x:v>
      </x:c>
      <x:c r="F4" s="79" t="str">
        <x:v>寒热值</x:v>
      </x:c>
      <x:c r="G4" s="79" t="str">
        <x:v>五味</x:v>
      </x:c>
      <x:c r="H4" s="79" t="str">
        <x:v>境界ID</x:v>
      </x:c>
      <x:c r="I4" s="79" t="str">
        <x:v>材料境界</x:v>
      </x:c>
      <x:c r="J4" s="79" t="str">
        <x:v>品质</x:v>
      </x:c>
      <x:c r="K4" s="79" t="str">
        <x:v>品质系数</x:v>
      </x:c>
      <x:c r="L4" s="79" t="str">
        <x:v>境界基准药力</x:v>
      </x:c>
      <x:c r="M4" s="79" t="str">
        <x:v>单份药力</x:v>
      </x:c>
      <x:c r="N4" s="79" t="str">
        <x:v>备注</x:v>
      </x:c>
    </x:row>
    <x:row r="5" ht="30" customHeight="1">
      <x:c r="A5" s="83" t="str">
        <x:v>L001</x:v>
      </x:c>
      <x:c r="B5" s="83" t="str">
        <x:v>承元草（占位）</x:v>
      </x:c>
      <x:c r="C5" s="83" t="str">
        <x:v>ico_L001</x:v>
      </x:c>
      <x:c r="D5" s="83" t="str">
        <x:v>土</x:v>
      </x:c>
      <x:c r="E5" s="83" t="str">
        <x:v>平</x:v>
      </x:c>
      <x:c r="F5" s="83" t="n">
        <x:v>0</x:v>
      </x:c>
      <x:c r="G5" s="83" t="str">
        <x:v>甘</x:v>
      </x:c>
      <x:c r="H5" s="83" t="n">
        <x:v>1</x:v>
      </x:c>
      <x:c r="I5" s="83" t="str">
        <x:v>炼气</x:v>
      </x:c>
      <x:c r="J5" s="83" t="str">
        <x:v>灵</x:v>
      </x:c>
      <x:c r="K5" s="92" t="n">
        <x:f>VLOOKUP(J5,'04_药力曲线'!$O$5:$P$10,2,FALSE)</x:f>
        <x:v>1</x:v>
      </x:c>
      <x:c r="L5" s="92" t="n">
        <x:f>VLOOKUP(H5,'04_药力曲线'!$A$5:$C$12,3,FALSE)</x:f>
        <x:v>1</x:v>
      </x:c>
      <x:c r="M5" s="92" t="n">
        <x:f>K5*L5</x:f>
        <x:v>1</x:v>
      </x:c>
      <x:c r="N5" s="80" t="str">
        <x:v>聚元丹验算用；具体名称后改</x:v>
      </x:c>
    </x:row>
    <x:row r="6" ht="30" customHeight="1">
      <x:c r="A6" s="83" t="str">
        <x:v>L002</x:v>
      </x:c>
      <x:c r="B6" s="83" t="str">
        <x:v>聚气根（占位）</x:v>
      </x:c>
      <x:c r="C6" s="83" t="str">
        <x:v>ico_L002</x:v>
      </x:c>
      <x:c r="D6" s="83" t="str">
        <x:v>土</x:v>
      </x:c>
      <x:c r="E6" s="83" t="str">
        <x:v>温</x:v>
      </x:c>
      <x:c r="F6" s="83" t="n">
        <x:v>1</x:v>
      </x:c>
      <x:c r="G6" s="83" t="str">
        <x:v>甘</x:v>
      </x:c>
      <x:c r="H6" s="83" t="n">
        <x:v>2</x:v>
      </x:c>
      <x:c r="I6" s="83" t="str">
        <x:v>筑基</x:v>
      </x:c>
      <x:c r="J6" s="83" t="str">
        <x:v>灵</x:v>
      </x:c>
      <x:c r="K6" s="92" t="n">
        <x:f>VLOOKUP(J6,'04_药力曲线'!$O$5:$P$10,2,FALSE)</x:f>
        <x:v>1</x:v>
      </x:c>
      <x:c r="L6" s="92" t="n">
        <x:f>VLOOKUP(H6,'04_药力曲线'!$A$5:$C$12,3,FALSE)</x:f>
        <x:v>3</x:v>
      </x:c>
      <x:c r="M6" s="92" t="n">
        <x:f>K6*L6</x:f>
        <x:v>3</x:v>
      </x:c>
      <x:c r="N6" s="80" t="str">
        <x:v>供给型占位材</x:v>
      </x:c>
    </x:row>
    <x:row r="7" ht="30" customHeight="1">
      <x:c r="A7" s="83" t="str">
        <x:v>L003</x:v>
      </x:c>
      <x:c r="B7" s="83" t="str">
        <x:v>引流藤（占位）</x:v>
      </x:c>
      <x:c r="C7" s="83" t="str">
        <x:v>ico_L003</x:v>
      </x:c>
      <x:c r="D7" s="83" t="str">
        <x:v>水</x:v>
      </x:c>
      <x:c r="E7" s="83" t="str">
        <x:v>平</x:v>
      </x:c>
      <x:c r="F7" s="83" t="n">
        <x:v>0</x:v>
      </x:c>
      <x:c r="G7" s="83" t="str">
        <x:v>咸</x:v>
      </x:c>
      <x:c r="H7" s="83" t="n">
        <x:v>1</x:v>
      </x:c>
      <x:c r="I7" s="83" t="str">
        <x:v>炼气</x:v>
      </x:c>
      <x:c r="J7" s="83" t="str">
        <x:v>凡</x:v>
      </x:c>
      <x:c r="K7" s="92" t="n">
        <x:f>VLOOKUP(J7,'04_药力曲线'!$O$5:$P$10,2,FALSE)</x:f>
        <x:v>0.8</x:v>
      </x:c>
      <x:c r="L7" s="92" t="n">
        <x:f>VLOOKUP(H7,'04_药力曲线'!$A$5:$C$12,3,FALSE)</x:f>
        <x:v>1</x:v>
      </x:c>
      <x:c r="M7" s="92" t="n">
        <x:f>K7*L7</x:f>
        <x:v>0.8</x:v>
      </x:c>
      <x:c r="N7" s="80" t="str">
        <x:v>导流型占位材</x:v>
      </x:c>
    </x:row>
    <x:row r="8" ht="30" customHeight="1">
      <x:c r="A8" s="83" t="str">
        <x:v>L004</x:v>
      </x:c>
      <x:c r="B8" s="83" t="str">
        <x:v>通脉花（占位）</x:v>
      </x:c>
      <x:c r="C8" s="83" t="str">
        <x:v>ico_L004</x:v>
      </x:c>
      <x:c r="D8" s="83" t="str">
        <x:v>木</x:v>
      </x:c>
      <x:c r="E8" s="83" t="str">
        <x:v>温</x:v>
      </x:c>
      <x:c r="F8" s="83" t="n">
        <x:v>1</x:v>
      </x:c>
      <x:c r="G8" s="83" t="str">
        <x:v>酸</x:v>
      </x:c>
      <x:c r="H8" s="83" t="n">
        <x:v>1</x:v>
      </x:c>
      <x:c r="I8" s="83" t="str">
        <x:v>炼气</x:v>
      </x:c>
      <x:c r="J8" s="83" t="str">
        <x:v>灵</x:v>
      </x:c>
      <x:c r="K8" s="92" t="n">
        <x:f>VLOOKUP(J8,'04_药力曲线'!$O$5:$P$10,2,FALSE)</x:f>
        <x:v>1</x:v>
      </x:c>
      <x:c r="L8" s="92" t="n">
        <x:f>VLOOKUP(H8,'04_药力曲线'!$A$5:$C$12,3,FALSE)</x:f>
        <x:v>1</x:v>
      </x:c>
      <x:c r="M8" s="92" t="n">
        <x:f>K8*L8</x:f>
        <x:v>1</x:v>
      </x:c>
      <x:c r="N8" s="80" t="str">
        <x:v>聚元丹验算用</x:v>
      </x:c>
    </x:row>
    <x:row r="9" ht="30" customHeight="1">
      <x:c r="A9" s="83" t="str">
        <x:v>L005</x:v>
      </x:c>
      <x:c r="B9" s="83" t="str">
        <x:v>分尘草（占位）</x:v>
      </x:c>
      <x:c r="C9" s="83" t="str">
        <x:v>ico_L005</x:v>
      </x:c>
      <x:c r="D9" s="83" t="str">
        <x:v>金</x:v>
      </x:c>
      <x:c r="E9" s="83" t="str">
        <x:v>凉</x:v>
      </x:c>
      <x:c r="F9" s="83" t="n">
        <x:v>-1</x:v>
      </x:c>
      <x:c r="G9" s="83" t="str">
        <x:v>苦</x:v>
      </x:c>
      <x:c r="H9" s="83" t="n">
        <x:v>1</x:v>
      </x:c>
      <x:c r="I9" s="83" t="str">
        <x:v>炼气</x:v>
      </x:c>
      <x:c r="J9" s="83" t="str">
        <x:v>灵</x:v>
      </x:c>
      <x:c r="K9" s="92" t="n">
        <x:f>VLOOKUP(J9,'04_药力曲线'!$O$5:$P$10,2,FALSE)</x:f>
        <x:v>1</x:v>
      </x:c>
      <x:c r="L9" s="92" t="n">
        <x:f>VLOOKUP(H9,'04_药力曲线'!$A$5:$C$12,3,FALSE)</x:f>
        <x:v>1</x:v>
      </x:c>
      <x:c r="M9" s="92" t="n">
        <x:f>K9*L9</x:f>
        <x:v>1</x:v>
      </x:c>
      <x:c r="N9" s="80" t="str">
        <x:v>聚元丹验算用；控残</x:v>
      </x:c>
    </x:row>
    <x:row r="10" ht="30" customHeight="1">
      <x:c r="A10" s="83" t="str">
        <x:v>L006</x:v>
      </x:c>
      <x:c r="B10" s="83" t="str">
        <x:v>清心莲（占位）</x:v>
      </x:c>
      <x:c r="C10" s="83" t="str">
        <x:v>ico_L006</x:v>
      </x:c>
      <x:c r="D10" s="83" t="str">
        <x:v>水</x:v>
      </x:c>
      <x:c r="E10" s="83" t="str">
        <x:v>凉</x:v>
      </x:c>
      <x:c r="F10" s="83" t="n">
        <x:v>-1</x:v>
      </x:c>
      <x:c r="G10" s="83" t="str">
        <x:v>苦</x:v>
      </x:c>
      <x:c r="H10" s="83" t="n">
        <x:v>2</x:v>
      </x:c>
      <x:c r="I10" s="83" t="str">
        <x:v>筑基</x:v>
      </x:c>
      <x:c r="J10" s="83" t="str">
        <x:v>玄</x:v>
      </x:c>
      <x:c r="K10" s="92" t="n">
        <x:f>VLOOKUP(J10,'04_药力曲线'!$O$5:$P$10,2,FALSE)</x:f>
        <x:v>1.15</x:v>
      </x:c>
      <x:c r="L10" s="92" t="n">
        <x:f>VLOOKUP(H10,'04_药力曲线'!$A$5:$C$12,3,FALSE)</x:f>
        <x:v>3</x:v>
      </x:c>
      <x:c r="M10" s="92" t="n">
        <x:f>K10*L10</x:f>
        <x:v>3.4499999999999997</x:v>
      </x:c>
      <x:c r="N10" s="80" t="str">
        <x:v>清解、降温占位材</x:v>
      </x:c>
    </x:row>
    <x:row r="11" ht="30" customHeight="1">
      <x:c r="A11" s="83" t="str">
        <x:v>L007</x:v>
      </x:c>
      <x:c r="B11" s="83" t="str">
        <x:v>归元籽（占位）</x:v>
      </x:c>
      <x:c r="C11" s="83" t="str">
        <x:v>ico_L007</x:v>
      </x:c>
      <x:c r="D11" s="83" t="str">
        <x:v>土</x:v>
      </x:c>
      <x:c r="E11" s="83" t="str">
        <x:v>平</x:v>
      </x:c>
      <x:c r="F11" s="83" t="n">
        <x:v>0</x:v>
      </x:c>
      <x:c r="G11" s="83" t="str">
        <x:v>甘</x:v>
      </x:c>
      <x:c r="H11" s="83" t="n">
        <x:v>1</x:v>
      </x:c>
      <x:c r="I11" s="83" t="str">
        <x:v>炼气</x:v>
      </x:c>
      <x:c r="J11" s="83" t="str">
        <x:v>灵</x:v>
      </x:c>
      <x:c r="K11" s="92" t="n">
        <x:f>VLOOKUP(J11,'04_药力曲线'!$O$5:$P$10,2,FALSE)</x:f>
        <x:v>1</x:v>
      </x:c>
      <x:c r="L11" s="92" t="n">
        <x:f>VLOOKUP(H11,'04_药力曲线'!$A$5:$C$12,3,FALSE)</x:f>
        <x:v>1</x:v>
      </x:c>
      <x:c r="M11" s="92" t="n">
        <x:f>K11*L11</x:f>
        <x:v>1</x:v>
      </x:c>
      <x:c r="N11" s="80" t="str">
        <x:v>聚元丹验算用；使药</x:v>
      </x:c>
    </x:row>
    <x:row r="12" ht="30" customHeight="1">
      <x:c r="A12" s="83" t="str">
        <x:v>L008</x:v>
      </x:c>
      <x:c r="B12" s="83" t="str">
        <x:v>破障芽（占位）</x:v>
      </x:c>
      <x:c r="C12" s="83" t="str">
        <x:v>ico_L008</x:v>
      </x:c>
      <x:c r="D12" s="83" t="str">
        <x:v>火</x:v>
      </x:c>
      <x:c r="E12" s="83" t="str">
        <x:v>温</x:v>
      </x:c>
      <x:c r="F12" s="83" t="n">
        <x:v>1</x:v>
      </x:c>
      <x:c r="G12" s="83" t="str">
        <x:v>辛</x:v>
      </x:c>
      <x:c r="H12" s="83" t="n">
        <x:v>2</x:v>
      </x:c>
      <x:c r="I12" s="83" t="str">
        <x:v>筑基</x:v>
      </x:c>
      <x:c r="J12" s="83" t="str">
        <x:v>灵</x:v>
      </x:c>
      <x:c r="K12" s="92" t="n">
        <x:f>VLOOKUP(J12,'04_药力曲线'!$O$5:$P$10,2,FALSE)</x:f>
        <x:v>1</x:v>
      </x:c>
      <x:c r="L12" s="92" t="n">
        <x:f>VLOOKUP(H12,'04_药力曲线'!$A$5:$C$12,3,FALSE)</x:f>
        <x:v>3</x:v>
      </x:c>
      <x:c r="M12" s="92" t="n">
        <x:f>K12*L12</x:f>
        <x:v>3</x:v>
      </x:c>
      <x:c r="N12" s="80" t="str">
        <x:v>开窗、活化占位材</x:v>
      </x:c>
    </x:row>
    <x:row r="13" ht="30" customHeight="1">
      <x:c r="A13" s="83" t="str">
        <x:v>L009</x:v>
      </x:c>
      <x:c r="B13" s="83" t="str">
        <x:v>定界花（占位）</x:v>
      </x:c>
      <x:c r="C13" s="83" t="str">
        <x:v>ico_L009</x:v>
      </x:c>
      <x:c r="D13" s="83" t="str">
        <x:v>金</x:v>
      </x:c>
      <x:c r="E13" s="83" t="str">
        <x:v>平</x:v>
      </x:c>
      <x:c r="F13" s="83" t="n">
        <x:v>0</x:v>
      </x:c>
      <x:c r="G13" s="83" t="str">
        <x:v>辛</x:v>
      </x:c>
      <x:c r="H13" s="83" t="n">
        <x:v>3</x:v>
      </x:c>
      <x:c r="I13" s="83" t="str">
        <x:v>金丹</x:v>
      </x:c>
      <x:c r="J13" s="83" t="str">
        <x:v>玄</x:v>
      </x:c>
      <x:c r="K13" s="92" t="n">
        <x:f>VLOOKUP(J13,'04_药力曲线'!$O$5:$P$10,2,FALSE)</x:f>
        <x:v>1.15</x:v>
      </x:c>
      <x:c r="L13" s="92" t="n">
        <x:f>VLOOKUP(H13,'04_药力曲线'!$A$5:$C$12,3,FALSE)</x:f>
        <x:v>9</x:v>
      </x:c>
      <x:c r="M13" s="92" t="n">
        <x:f>K13*L13</x:f>
        <x:v>10.35</x:v>
      </x:c>
      <x:c r="N13" s="80" t="str">
        <x:v>定界、收束占位材</x:v>
      </x:c>
    </x:row>
    <x:row r="14" ht="30" customHeight="1">
      <x:c r="A14" s="83" t="str">
        <x:v>L010</x:v>
      </x:c>
      <x:c r="B14" s="83" t="str">
        <x:v>生肌藤（占位）</x:v>
      </x:c>
      <x:c r="C14" s="83" t="str">
        <x:v>ico_L010</x:v>
      </x:c>
      <x:c r="D14" s="83" t="str">
        <x:v>木</x:v>
      </x:c>
      <x:c r="E14" s="83" t="str">
        <x:v>温</x:v>
      </x:c>
      <x:c r="F14" s="83" t="n">
        <x:v>1</x:v>
      </x:c>
      <x:c r="G14" s="83" t="str">
        <x:v>酸</x:v>
      </x:c>
      <x:c r="H14" s="83" t="n">
        <x:v>2</x:v>
      </x:c>
      <x:c r="I14" s="83" t="str">
        <x:v>筑基</x:v>
      </x:c>
      <x:c r="J14" s="83" t="str">
        <x:v>灵</x:v>
      </x:c>
      <x:c r="K14" s="92" t="n">
        <x:f>VLOOKUP(J14,'04_药力曲线'!$O$5:$P$10,2,FALSE)</x:f>
        <x:v>1</x:v>
      </x:c>
      <x:c r="L14" s="92" t="n">
        <x:f>VLOOKUP(H14,'04_药力曲线'!$A$5:$C$12,3,FALSE)</x:f>
        <x:v>3</x:v>
      </x:c>
      <x:c r="M14" s="92" t="n">
        <x:f>K14*L14</x:f>
        <x:v>3</x:v>
      </x:c>
      <x:c r="N14" s="80" t="str">
        <x:v>修复占位材</x:v>
      </x:c>
    </x:row>
    <x:row r="15" ht="30" customHeight="1">
      <x:c r="A15" s="83" t="str">
        <x:v>L011</x:v>
      </x:c>
      <x:c r="B15" s="83" t="str">
        <x:v>护脉根（占位）</x:v>
      </x:c>
      <x:c r="C15" s="83" t="str">
        <x:v>ico_L011</x:v>
      </x:c>
      <x:c r="D15" s="83" t="str">
        <x:v>土</x:v>
      </x:c>
      <x:c r="E15" s="83" t="str">
        <x:v>温</x:v>
      </x:c>
      <x:c r="F15" s="83" t="n">
        <x:v>1</x:v>
      </x:c>
      <x:c r="G15" s="83" t="str">
        <x:v>甘</x:v>
      </x:c>
      <x:c r="H15" s="83" t="n">
        <x:v>3</x:v>
      </x:c>
      <x:c r="I15" s="83" t="str">
        <x:v>金丹</x:v>
      </x:c>
      <x:c r="J15" s="83" t="str">
        <x:v>玄</x:v>
      </x:c>
      <x:c r="K15" s="92" t="n">
        <x:f>VLOOKUP(J15,'04_药力曲线'!$O$5:$P$10,2,FALSE)</x:f>
        <x:v>1.15</x:v>
      </x:c>
      <x:c r="L15" s="92" t="n">
        <x:f>VLOOKUP(H15,'04_药力曲线'!$A$5:$C$12,3,FALSE)</x:f>
        <x:v>9</x:v>
      </x:c>
      <x:c r="M15" s="92" t="n">
        <x:f>K15*L15</x:f>
        <x:v>10.35</x:v>
      </x:c>
      <x:c r="N15" s="80" t="str">
        <x:v>承载、防冲击占位材</x:v>
      </x:c>
    </x:row>
    <x:row r="16" ht="30" customHeight="1">
      <x:c r="A16" s="83" t="str">
        <x:v>L012</x:v>
      </x:c>
      <x:c r="B16" s="83" t="str">
        <x:v>洗灵苔（占位）</x:v>
      </x:c>
      <x:c r="C16" s="83" t="str">
        <x:v>ico_L012</x:v>
      </x:c>
      <x:c r="D16" s="83" t="str">
        <x:v>水</x:v>
      </x:c>
      <x:c r="E16" s="83" t="str">
        <x:v>寒</x:v>
      </x:c>
      <x:c r="F16" s="83" t="n">
        <x:v>-2</x:v>
      </x:c>
      <x:c r="G16" s="83" t="str">
        <x:v>咸</x:v>
      </x:c>
      <x:c r="H16" s="83" t="n">
        <x:v>4</x:v>
      </x:c>
      <x:c r="I16" s="83" t="str">
        <x:v>元婴</x:v>
      </x:c>
      <x:c r="J16" s="83" t="str">
        <x:v>玄</x:v>
      </x:c>
      <x:c r="K16" s="92" t="n">
        <x:f>VLOOKUP(J16,'04_药力曲线'!$O$5:$P$10,2,FALSE)</x:f>
        <x:v>1.15</x:v>
      </x:c>
      <x:c r="L16" s="92" t="n">
        <x:f>VLOOKUP(H16,'04_药力曲线'!$A$5:$C$12,3,FALSE)</x:f>
        <x:v>27</x:v>
      </x:c>
      <x:c r="M16" s="92" t="n">
        <x:f>K16*L16</x:f>
        <x:v>31.049999999999997</x:v>
      </x:c>
      <x:c r="N16" s="80" t="str">
        <x:v>洗炼、清堵占位材</x:v>
      </x:c>
    </x:row>
    <x:row r="17" ht="30" customHeight="1">
      <x:c r="A17" s="83" t="str">
        <x:v>L013</x:v>
      </x:c>
      <x:c r="B17" s="83" t="str">
        <x:v>调谱叶（占位）</x:v>
      </x:c>
      <x:c r="C17" s="83" t="str">
        <x:v>ico_L013</x:v>
      </x:c>
      <x:c r="D17" s="83" t="str">
        <x:v>木</x:v>
      </x:c>
      <x:c r="E17" s="83" t="str">
        <x:v>平</x:v>
      </x:c>
      <x:c r="F17" s="83" t="n">
        <x:v>0</x:v>
      </x:c>
      <x:c r="G17" s="83" t="str">
        <x:v>酸</x:v>
      </x:c>
      <x:c r="H17" s="83" t="n">
        <x:v>5</x:v>
      </x:c>
      <x:c r="I17" s="83" t="str">
        <x:v>化神</x:v>
      </x:c>
      <x:c r="J17" s="83" t="str">
        <x:v>仙</x:v>
      </x:c>
      <x:c r="K17" s="92" t="n">
        <x:f>VLOOKUP(J17,'04_药力曲线'!$O$5:$P$10,2,FALSE)</x:f>
        <x:v>1.3</x:v>
      </x:c>
      <x:c r="L17" s="92" t="n">
        <x:f>VLOOKUP(H17,'04_药力曲线'!$A$5:$C$12,3,FALSE)</x:f>
        <x:v>81</x:v>
      </x:c>
      <x:c r="M17" s="92" t="n">
        <x:f>K17*L17</x:f>
        <x:v>105.3</x:v>
      </x:c>
      <x:c r="N17" s="80" t="str">
        <x:v>行谱纠偏占位材</x:v>
      </x:c>
    </x:row>
    <x:row r="18" ht="30" customHeight="1">
      <x:c r="A18" s="83" t="str">
        <x:v>L014</x:v>
      </x:c>
      <x:c r="B18" s="83" t="str">
        <x:v>烈阳花（占位）</x:v>
      </x:c>
      <x:c r="C18" s="83" t="str">
        <x:v>ico_L014</x:v>
      </x:c>
      <x:c r="D18" s="83" t="str">
        <x:v>火</x:v>
      </x:c>
      <x:c r="E18" s="83" t="str">
        <x:v>热</x:v>
      </x:c>
      <x:c r="F18" s="83" t="n">
        <x:v>2</x:v>
      </x:c>
      <x:c r="G18" s="83" t="str">
        <x:v>辛</x:v>
      </x:c>
      <x:c r="H18" s="83" t="n">
        <x:v>4</x:v>
      </x:c>
      <x:c r="I18" s="83" t="str">
        <x:v>元婴</x:v>
      </x:c>
      <x:c r="J18" s="83" t="str">
        <x:v>玄</x:v>
      </x:c>
      <x:c r="K18" s="92" t="n">
        <x:f>VLOOKUP(J18,'04_药力曲线'!$O$5:$P$10,2,FALSE)</x:f>
        <x:v>1.15</x:v>
      </x:c>
      <x:c r="L18" s="92" t="n">
        <x:f>VLOOKUP(H18,'04_药力曲线'!$A$5:$C$12,3,FALSE)</x:f>
        <x:v>27</x:v>
      </x:c>
      <x:c r="M18" s="92" t="n">
        <x:f>K18*L18</x:f>
        <x:v>31.049999999999997</x:v>
      </x:c>
      <x:c r="N18" s="80" t="str">
        <x:v>爆发占位材</x:v>
      </x:c>
    </x:row>
    <x:row r="19" ht="30" customHeight="1">
      <x:c r="A19" s="83" t="str">
        <x:v>L015</x:v>
      </x:c>
      <x:c r="B19" s="83" t="str">
        <x:v>冰息叶（占位）</x:v>
      </x:c>
      <x:c r="C19" s="83" t="str">
        <x:v>ico_L015</x:v>
      </x:c>
      <x:c r="D19" s="83" t="str">
        <x:v>水</x:v>
      </x:c>
      <x:c r="E19" s="83" t="str">
        <x:v>寒</x:v>
      </x:c>
      <x:c r="F19" s="83" t="n">
        <x:v>-2</x:v>
      </x:c>
      <x:c r="G19" s="83" t="str">
        <x:v>苦</x:v>
      </x:c>
      <x:c r="H19" s="83" t="n">
        <x:v>4</x:v>
      </x:c>
      <x:c r="I19" s="83" t="str">
        <x:v>元婴</x:v>
      </x:c>
      <x:c r="J19" s="83" t="str">
        <x:v>玄</x:v>
      </x:c>
      <x:c r="K19" s="92" t="n">
        <x:f>VLOOKUP(J19,'04_药力曲线'!$O$5:$P$10,2,FALSE)</x:f>
        <x:v>1.15</x:v>
      </x:c>
      <x:c r="L19" s="92" t="n">
        <x:f>VLOOKUP(H19,'04_药力曲线'!$A$5:$C$12,3,FALSE)</x:f>
        <x:v>27</x:v>
      </x:c>
      <x:c r="M19" s="92" t="n">
        <x:f>K19*L19</x:f>
        <x:v>31.049999999999997</x:v>
      </x:c>
      <x:c r="N19" s="80" t="str">
        <x:v>峰值控制占位材</x:v>
      </x:c>
    </x:row>
    <x:row r="20" ht="30" customHeight="1">
      <x:c r="A20" s="83" t="str">
        <x:v>L016</x:v>
      </x:c>
      <x:c r="B20" s="83" t="str">
        <x:v>延生芝（占位）</x:v>
      </x:c>
      <x:c r="C20" s="83" t="str">
        <x:v>ico_L016</x:v>
      </x:c>
      <x:c r="D20" s="83" t="str">
        <x:v>木</x:v>
      </x:c>
      <x:c r="E20" s="83" t="str">
        <x:v>平</x:v>
      </x:c>
      <x:c r="F20" s="83" t="n">
        <x:v>0</x:v>
      </x:c>
      <x:c r="G20" s="83" t="str">
        <x:v>甘</x:v>
      </x:c>
      <x:c r="H20" s="83" t="n">
        <x:v>6</x:v>
      </x:c>
      <x:c r="I20" s="83" t="str">
        <x:v>炼虚</x:v>
      </x:c>
      <x:c r="J20" s="83" t="str">
        <x:v>仙</x:v>
      </x:c>
      <x:c r="K20" s="92" t="n">
        <x:f>VLOOKUP(J20,'04_药力曲线'!$O$5:$P$10,2,FALSE)</x:f>
        <x:v>1.3</x:v>
      </x:c>
      <x:c r="L20" s="92" t="n">
        <x:f>VLOOKUP(H20,'04_药力曲线'!$A$5:$C$12,3,FALSE)</x:f>
        <x:v>243</x:v>
      </x:c>
      <x:c r="M20" s="92" t="n">
        <x:f>K20*L20</x:f>
        <x:v>315.90000000000003</x:v>
      </x:c>
      <x:c r="N20" s="80" t="str">
        <x:v>延寿占位材</x:v>
      </x:c>
    </x:row>
    <x:row r="21" ht="30" customHeight="1">
      <x:c r="A21" s="83" t="str">
        <x:v>L017</x:v>
      </x:c>
      <x:c r="B21" s="83" t="str">
        <x:v>固元果（占位）</x:v>
      </x:c>
      <x:c r="C21" s="83" t="str">
        <x:v>ico_L017</x:v>
      </x:c>
      <x:c r="D21" s="83" t="str">
        <x:v>土</x:v>
      </x:c>
      <x:c r="E21" s="83" t="str">
        <x:v>平</x:v>
      </x:c>
      <x:c r="F21" s="83" t="n">
        <x:v>0</x:v>
      </x:c>
      <x:c r="G21" s="83" t="str">
        <x:v>甘</x:v>
      </x:c>
      <x:c r="H21" s="83" t="n">
        <x:v>6</x:v>
      </x:c>
      <x:c r="I21" s="83" t="str">
        <x:v>炼虚</x:v>
      </x:c>
      <x:c r="J21" s="83" t="str">
        <x:v>仙</x:v>
      </x:c>
      <x:c r="K21" s="92" t="n">
        <x:f>VLOOKUP(J21,'04_药力曲线'!$O$5:$P$10,2,FALSE)</x:f>
        <x:v>1.3</x:v>
      </x:c>
      <x:c r="L21" s="92" t="n">
        <x:f>VLOOKUP(H21,'04_药力曲线'!$A$5:$C$12,3,FALSE)</x:f>
        <x:v>243</x:v>
      </x:c>
      <x:c r="M21" s="92" t="n">
        <x:f>K21*L21</x:f>
        <x:v>315.90000000000003</x:v>
      </x:c>
      <x:c r="N21" s="80" t="str">
        <x:v>稳态占位材</x:v>
      </x:c>
    </x:row>
    <x:row r="22" ht="30" customHeight="1">
      <x:c r="A22" s="83" t="str">
        <x:v>L018</x:v>
      </x:c>
      <x:c r="B22" s="83" t="str">
        <x:v>辛夷蕾（占位）</x:v>
      </x:c>
      <x:c r="C22" s="83" t="str">
        <x:v>ico_L018</x:v>
      </x:c>
      <x:c r="D22" s="83" t="str">
        <x:v>金</x:v>
      </x:c>
      <x:c r="E22" s="83" t="str">
        <x:v>温</x:v>
      </x:c>
      <x:c r="F22" s="83" t="n">
        <x:v>1</x:v>
      </x:c>
      <x:c r="G22" s="83" t="str">
        <x:v>辛</x:v>
      </x:c>
      <x:c r="H22" s="83" t="n">
        <x:v>1</x:v>
      </x:c>
      <x:c r="I22" s="83" t="str">
        <x:v>炼气</x:v>
      </x:c>
      <x:c r="J22" s="83" t="str">
        <x:v>凡</x:v>
      </x:c>
      <x:c r="K22" s="92" t="n">
        <x:f>VLOOKUP(J22,'04_药力曲线'!$O$5:$P$10,2,FALSE)</x:f>
        <x:v>0.8</x:v>
      </x:c>
      <x:c r="L22" s="92" t="n">
        <x:f>VLOOKUP(H22,'04_药力曲线'!$A$5:$C$12,3,FALSE)</x:f>
        <x:v>1</x:v>
      </x:c>
      <x:c r="M22" s="92" t="n">
        <x:f>K22*L22</x:f>
        <x:v>0.8</x:v>
      </x:c>
      <x:c r="N22" s="80" t="str">
        <x:v>归经、开路占位材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30000114440918" hidden="0" customWidth="1"/>
    <x:col min="2" max="2" width="8.5" hidden="0" customWidth="1"/>
    <x:col min="3" max="3" width="10.630000114440918" hidden="0" customWidth="1"/>
    <x:col min="4" max="4" width="11.880000114440918" hidden="0" customWidth="1"/>
    <x:col min="5" max="5" width="11.880000114440918" hidden="0" customWidth="1"/>
    <x:col min="6" max="6" width="11.880000114440918" hidden="0" customWidth="1"/>
    <x:col min="7" max="7" width="11.880000114440918" hidden="0" customWidth="1"/>
    <x:col min="8" max="8" width="13.130000114440918" hidden="0" customWidth="1"/>
    <x:col min="9" max="9" width="10.630000114440918" hidden="0" customWidth="1"/>
    <x:col min="10" max="10" width="14.380000114440918" hidden="0" customWidth="1"/>
    <x:col min="11" max="11" width="10.25" hidden="0" customWidth="1"/>
    <x:col min="12" max="12" width="14.380000114440918" hidden="0" customWidth="1"/>
    <x:col min="13" max="13" width="11.25" hidden="0" customWidth="1"/>
    <x:col min="14" max="14" width="2.5" hidden="0" customWidth="1"/>
    <x:col min="15" max="15" width="13.75" hidden="0" customWidth="1"/>
    <x:col min="16" max="16" width="11.25" hidden="0" customWidth="1"/>
  </x:cols>
  <x:sheetData>
    <x:row r="1" ht="34" customHeight="1">
      <x:c r="A1" s="105" t="str">
        <x:v>第16轮｜八境药力曲线与越境约束</x:v>
      </x:c>
      <x:c r="B1" s="105" t="str">
        <x:v>第16轮｜八境药力曲线与越境约束</x:v>
      </x:c>
      <x:c r="C1" s="105" t="str">
        <x:v>第16轮｜八境药力曲线与越境约束</x:v>
      </x:c>
      <x:c r="D1" s="105" t="str">
        <x:v>第16轮｜八境药力曲线与越境约束</x:v>
      </x:c>
      <x:c r="E1" s="105" t="str">
        <x:v>第16轮｜八境药力曲线与越境约束</x:v>
      </x:c>
      <x:c r="F1" s="105" t="str">
        <x:v>第16轮｜八境药力曲线与越境约束</x:v>
      </x:c>
      <x:c r="G1" s="105" t="str">
        <x:v>第16轮｜八境药力曲线与越境约束</x:v>
      </x:c>
      <x:c r="H1" s="105" t="str">
        <x:v>第16轮｜八境药力曲线与越境约束</x:v>
      </x:c>
      <x:c r="I1" s="105" t="str">
        <x:v>第16轮｜八境药力曲线与越境约束</x:v>
      </x:c>
      <x:c r="J1" s="105" t="str">
        <x:v>第16轮｜八境药力曲线与越境约束</x:v>
      </x:c>
      <x:c r="K1" s="105" t="str">
        <x:v>第16轮｜八境药力曲线与越境约束</x:v>
      </x:c>
      <x:c r="L1" s="105" t="str">
        <x:v>第16轮｜八境药力曲线与越境约束</x:v>
      </x:c>
      <x:c r="M1" s="105" t="str">
        <x:v>第16轮｜八境药力曲线与越境约束</x:v>
      </x:c>
      <x:c r="N1" s="105" t="str">
        <x:v>第16轮｜八境药力曲线与越境约束</x:v>
      </x:c>
      <x:c r="O1" s="105" t="str">
        <x:v>第16轮｜八境药力曲线与越境约束</x:v>
      </x:c>
      <x:c r="P1" s="105" t="str">
        <x:v>第16轮｜八境药力曲线与越境约束</x:v>
      </x:c>
    </x:row>
    <x:row r="2" ht="34" customHeight="1">
      <x:c r="A2" s="77" t="str">
        <x:v>结构原则：境界药力按倍率增长，同境标准方总权重固定，总投料数量受限。由此自然得到‘低一境材料可用数量硬堆，高两境绝对堆不到’。倍率与数量是校准参数，不在本轮冻结具体数值。</x:v>
      </x:c>
      <x:c r="B2" s="77" t="str">
        <x:v>结构原则：境界药力按倍率增长，同境标准方总权重固定，总投料数量受限。由此自然得到‘低一境材料可用数量硬堆，高两境绝对堆不到’。倍率与数量是校准参数，不在本轮冻结具体数值。</x:v>
      </x:c>
      <x:c r="C2" s="77" t="str">
        <x:v>结构原则：境界药力按倍率增长，同境标准方总权重固定，总投料数量受限。由此自然得到‘低一境材料可用数量硬堆，高两境绝对堆不到’。倍率与数量是校准参数，不在本轮冻结具体数值。</x:v>
      </x:c>
      <x:c r="D2" s="77" t="str">
        <x:v>结构原则：境界药力按倍率增长，同境标准方总权重固定，总投料数量受限。由此自然得到‘低一境材料可用数量硬堆，高两境绝对堆不到’。倍率与数量是校准参数，不在本轮冻结具体数值。</x:v>
      </x:c>
      <x:c r="E2" s="77" t="str">
        <x:v>结构原则：境界药力按倍率增长，同境标准方总权重固定，总投料数量受限。由此自然得到‘低一境材料可用数量硬堆，高两境绝对堆不到’。倍率与数量是校准参数，不在本轮冻结具体数值。</x:v>
      </x:c>
      <x:c r="F2" s="77" t="str">
        <x:v>结构原则：境界药力按倍率增长，同境标准方总权重固定，总投料数量受限。由此自然得到‘低一境材料可用数量硬堆，高两境绝对堆不到’。倍率与数量是校准参数，不在本轮冻结具体数值。</x:v>
      </x:c>
      <x:c r="G2" s="77" t="str">
        <x:v>结构原则：境界药力按倍率增长，同境标准方总权重固定，总投料数量受限。由此自然得到‘低一境材料可用数量硬堆，高两境绝对堆不到’。倍率与数量是校准参数，不在本轮冻结具体数值。</x:v>
      </x:c>
      <x:c r="H2" s="77" t="str">
        <x:v>结构原则：境界药力按倍率增长，同境标准方总权重固定，总投料数量受限。由此自然得到‘低一境材料可用数量硬堆，高两境绝对堆不到’。倍率与数量是校准参数，不在本轮冻结具体数值。</x:v>
      </x:c>
      <x:c r="I2" s="77" t="str">
        <x:v>结构原则：境界药力按倍率增长，同境标准方总权重固定，总投料数量受限。由此自然得到‘低一境材料可用数量硬堆，高两境绝对堆不到’。倍率与数量是校准参数，不在本轮冻结具体数值。</x:v>
      </x:c>
      <x:c r="J2" s="77" t="str">
        <x:v>结构原则：境界药力按倍率增长，同境标准方总权重固定，总投料数量受限。由此自然得到‘低一境材料可用数量硬堆，高两境绝对堆不到’。倍率与数量是校准参数，不在本轮冻结具体数值。</x:v>
      </x:c>
      <x:c r="K2" s="77" t="str">
        <x:v>结构原则：境界药力按倍率增长，同境标准方总权重固定，总投料数量受限。由此自然得到‘低一境材料可用数量硬堆，高两境绝对堆不到’。倍率与数量是校准参数，不在本轮冻结具体数值。</x:v>
      </x:c>
      <x:c r="L2" s="77" t="str">
        <x:v>结构原则：境界药力按倍率增长，同境标准方总权重固定，总投料数量受限。由此自然得到‘低一境材料可用数量硬堆，高两境绝对堆不到’。倍率与数量是校准参数，不在本轮冻结具体数值。</x:v>
      </x:c>
      <x:c r="M2" s="77" t="str">
        <x:v>结构原则：境界药力按倍率增长，同境标准方总权重固定，总投料数量受限。由此自然得到‘低一境材料可用数量硬堆，高两境绝对堆不到’。倍率与数量是校准参数，不在本轮冻结具体数值。</x:v>
      </x:c>
      <x:c r="N2" s="77" t="str">
        <x:v>结构原则：境界药力按倍率增长，同境标准方总权重固定，总投料数量受限。由此自然得到‘低一境材料可用数量硬堆，高两境绝对堆不到’。倍率与数量是校准参数，不在本轮冻结具体数值。</x:v>
      </x:c>
      <x:c r="O2" s="77" t="str">
        <x:v>结构原则：境界药力按倍率增长，同境标准方总权重固定，总投料数量受限。由此自然得到‘低一境材料可用数量硬堆，高两境绝对堆不到’。倍率与数量是校准参数，不在本轮冻结具体数值。</x:v>
      </x:c>
      <x:c r="P2" s="77" t="str">
        <x:v>结构原则：境界药力按倍率增长，同境标准方总权重固定，总投料数量受限。由此自然得到‘低一境材料可用数量硬堆，高两境绝对堆不到’。倍率与数量是校准参数，不在本轮冻结具体数值。</x:v>
      </x:c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  <x:c r="O3" s="78"/>
      <x:c r="P3" s="78"/>
    </x:row>
    <x:row r="4" ht="30" customHeight="1">
      <x:c r="A4" s="79" t="str">
        <x:v>境界ID</x:v>
      </x:c>
      <x:c r="B4" s="79" t="str">
        <x:v>境界</x:v>
      </x:c>
      <x:c r="C4" s="79" t="str">
        <x:v>基准药力P</x:v>
      </x:c>
      <x:c r="D4" s="79" t="str">
        <x:v>示例君门槛3P</x:v>
      </x:c>
      <x:c r="E4" s="79" t="str">
        <x:v>示例臣门槛2P</x:v>
      </x:c>
      <x:c r="F4" s="79" t="str">
        <x:v>示例佐门槛2P</x:v>
      </x:c>
      <x:c r="G4" s="79" t="str">
        <x:v>示例使门槛1P</x:v>
      </x:c>
      <x:c r="H4" s="79" t="str">
        <x:v>总药力门槛8P</x:v>
      </x:c>
      <x:c r="I4" s="79" t="str">
        <x:v>总数量上限</x:v>
      </x:c>
      <x:c r="J4" s="79" t="str">
        <x:v>低一境最大总药力</x:v>
      </x:c>
      <x:c r="K4" s="79" t="str">
        <x:v>低一境可达</x:v>
      </x:c>
      <x:c r="L4" s="79" t="str">
        <x:v>低两境最大总药力</x:v>
      </x:c>
      <x:c r="M4" s="79" t="str">
        <x:v>低两境不可达</x:v>
      </x:c>
      <x:c r="N4" s="78"/>
      <x:c r="O4" s="79" t="str">
        <x:v>品质</x:v>
      </x:c>
      <x:c r="P4" s="79" t="str">
        <x:v>药力系数</x:v>
      </x:c>
    </x:row>
    <x:row r="5" ht="30" customHeight="1">
      <x:c r="A5" s="83" t="n">
        <x:v>1</x:v>
      </x:c>
      <x:c r="B5" s="83" t="str">
        <x:v>炼气</x:v>
      </x:c>
      <x:c r="C5" s="92" t="n">
        <x:f>$P$13^(A5-1)</x:f>
        <x:v>1</x:v>
      </x:c>
      <x:c r="D5" s="92" t="n">
        <x:f>C5*3</x:f>
        <x:v>3</x:v>
      </x:c>
      <x:c r="E5" s="92" t="n">
        <x:f>C5*2</x:f>
        <x:v>2</x:v>
      </x:c>
      <x:c r="F5" s="92" t="n">
        <x:f>C5*2</x:f>
        <x:v>2</x:v>
      </x:c>
      <x:c r="G5" s="92" t="n">
        <x:f>C5</x:f>
        <x:v>1</x:v>
      </x:c>
      <x:c r="H5" s="92" t="n">
        <x:f>SUM(D5:G5)</x:f>
        <x:v>8</x:v>
      </x:c>
      <x:c r="I5" s="92" t="n">
        <x:f>$P$15</x:f>
        <x:v>24</x:v>
      </x:c>
      <x:c r="J5" s="92" t="n">
        <x:f>IF(A5=1,0,$P$15*($P$13^(A5-2))*$P$16)</x:f>
        <x:v>0</x:v>
      </x:c>
      <x:c r="K5" s="93" t="str">
        <x:f>IF(A5=1,"—",IF(J5&gt;=H5,"是","否"))</x:f>
        <x:v>—</x:v>
      </x:c>
      <x:c r="L5" s="83" t="n">
        <x:f>IF(A5&lt;=2,0,$P$15*($P$13^(A5-3))*$P$16)</x:f>
        <x:v>0</x:v>
      </x:c>
      <x:c r="M5" s="93" t="str">
        <x:f>IF(A5&lt;=2,"—",IF(L5&lt;H5,"是","否"))</x:f>
        <x:v>—</x:v>
      </x:c>
      <x:c r="N5" s="78"/>
      <x:c r="O5" s="80" t="str">
        <x:v>凡</x:v>
      </x:c>
      <x:c r="P5" s="94" t="n">
        <x:v>0.8</x:v>
      </x:c>
    </x:row>
    <x:row r="6" ht="30" customHeight="1">
      <x:c r="A6" s="83" t="n">
        <x:v>2</x:v>
      </x:c>
      <x:c r="B6" s="83" t="str">
        <x:v>筑基</x:v>
      </x:c>
      <x:c r="C6" s="92" t="n">
        <x:f>$P$13^(A6-1)</x:f>
        <x:v>3</x:v>
      </x:c>
      <x:c r="D6" s="92" t="n">
        <x:f>C6*3</x:f>
        <x:v>9</x:v>
      </x:c>
      <x:c r="E6" s="92" t="n">
        <x:f>C6*2</x:f>
        <x:v>6</x:v>
      </x:c>
      <x:c r="F6" s="92" t="n">
        <x:f>C6*2</x:f>
        <x:v>6</x:v>
      </x:c>
      <x:c r="G6" s="92" t="n">
        <x:f>C6</x:f>
        <x:v>3</x:v>
      </x:c>
      <x:c r="H6" s="92" t="n">
        <x:f>SUM(D6:G6)</x:f>
        <x:v>24</x:v>
      </x:c>
      <x:c r="I6" s="92" t="n">
        <x:f>$P$15</x:f>
        <x:v>24</x:v>
      </x:c>
      <x:c r="J6" s="92" t="n">
        <x:f>IF(A6=1,0,$P$15*($P$13^(A6-2))*$P$16)</x:f>
        <x:v>43.2</x:v>
      </x:c>
      <x:c r="K6" s="93" t="str">
        <x:f>IF(A6=1,"—",IF(J6&gt;=H6,"是","否"))</x:f>
        <x:v>是</x:v>
      </x:c>
      <x:c r="L6" s="83" t="n">
        <x:f>IF(A6&lt;=2,0,$P$15*($P$13^(A6-3))*$P$16)</x:f>
        <x:v>0</x:v>
      </x:c>
      <x:c r="M6" s="93" t="str">
        <x:f>IF(A6&lt;=2,"—",IF(L6&lt;H6,"是","否"))</x:f>
        <x:v>—</x:v>
      </x:c>
      <x:c r="N6" s="78"/>
      <x:c r="O6" s="80" t="str">
        <x:v>灵</x:v>
      </x:c>
      <x:c r="P6" s="94" t="n">
        <x:v>1</x:v>
      </x:c>
    </x:row>
    <x:row r="7" ht="30" customHeight="1">
      <x:c r="A7" s="83" t="n">
        <x:v>3</x:v>
      </x:c>
      <x:c r="B7" s="83" t="str">
        <x:v>金丹</x:v>
      </x:c>
      <x:c r="C7" s="92" t="n">
        <x:f>$P$13^(A7-1)</x:f>
        <x:v>9</x:v>
      </x:c>
      <x:c r="D7" s="92" t="n">
        <x:f>C7*3</x:f>
        <x:v>27</x:v>
      </x:c>
      <x:c r="E7" s="92" t="n">
        <x:f>C7*2</x:f>
        <x:v>18</x:v>
      </x:c>
      <x:c r="F7" s="92" t="n">
        <x:f>C7*2</x:f>
        <x:v>18</x:v>
      </x:c>
      <x:c r="G7" s="92" t="n">
        <x:f>C7</x:f>
        <x:v>9</x:v>
      </x:c>
      <x:c r="H7" s="92" t="n">
        <x:f>SUM(D7:G7)</x:f>
        <x:v>72</x:v>
      </x:c>
      <x:c r="I7" s="92" t="n">
        <x:f>$P$15</x:f>
        <x:v>24</x:v>
      </x:c>
      <x:c r="J7" s="92" t="n">
        <x:f>IF(A7=1,0,$P$15*($P$13^(A7-2))*$P$16)</x:f>
        <x:v>129.6</x:v>
      </x:c>
      <x:c r="K7" s="93" t="str">
        <x:f>IF(A7=1,"—",IF(J7&gt;=H7,"是","否"))</x:f>
        <x:v>是</x:v>
      </x:c>
      <x:c r="L7" s="83" t="n">
        <x:f>IF(A7&lt;=2,0,$P$15*($P$13^(A7-3))*$P$16)</x:f>
        <x:v>43.2</x:v>
      </x:c>
      <x:c r="M7" s="93" t="str">
        <x:f>IF(A7&lt;=2,"—",IF(L7&lt;H7,"是","否"))</x:f>
        <x:v>是</x:v>
      </x:c>
      <x:c r="N7" s="78"/>
      <x:c r="O7" s="80" t="str">
        <x:v>玄</x:v>
      </x:c>
      <x:c r="P7" s="94" t="n">
        <x:v>1.15</x:v>
      </x:c>
    </x:row>
    <x:row r="8" ht="30" customHeight="1">
      <x:c r="A8" s="83" t="n">
        <x:v>4</x:v>
      </x:c>
      <x:c r="B8" s="83" t="str">
        <x:v>元婴</x:v>
      </x:c>
      <x:c r="C8" s="92" t="n">
        <x:f>$P$13^(A8-1)</x:f>
        <x:v>27</x:v>
      </x:c>
      <x:c r="D8" s="92" t="n">
        <x:f>C8*3</x:f>
        <x:v>81</x:v>
      </x:c>
      <x:c r="E8" s="92" t="n">
        <x:f>C8*2</x:f>
        <x:v>54</x:v>
      </x:c>
      <x:c r="F8" s="92" t="n">
        <x:f>C8*2</x:f>
        <x:v>54</x:v>
      </x:c>
      <x:c r="G8" s="92" t="n">
        <x:f>C8</x:f>
        <x:v>27</x:v>
      </x:c>
      <x:c r="H8" s="92" t="n">
        <x:f>SUM(D8:G8)</x:f>
        <x:v>216</x:v>
      </x:c>
      <x:c r="I8" s="92" t="n">
        <x:f>$P$15</x:f>
        <x:v>24</x:v>
      </x:c>
      <x:c r="J8" s="92" t="n">
        <x:f>IF(A8=1,0,$P$15*($P$13^(A8-2))*$P$16)</x:f>
        <x:v>388.8</x:v>
      </x:c>
      <x:c r="K8" s="93" t="str">
        <x:f>IF(A8=1,"—",IF(J8&gt;=H8,"是","否"))</x:f>
        <x:v>是</x:v>
      </x:c>
      <x:c r="L8" s="83" t="n">
        <x:f>IF(A8&lt;=2,0,$P$15*($P$13^(A8-3))*$P$16)</x:f>
        <x:v>129.6</x:v>
      </x:c>
      <x:c r="M8" s="93" t="str">
        <x:f>IF(A8&lt;=2,"—",IF(L8&lt;H8,"是","否"))</x:f>
        <x:v>是</x:v>
      </x:c>
      <x:c r="N8" s="78"/>
      <x:c r="O8" s="80" t="str">
        <x:v>仙</x:v>
      </x:c>
      <x:c r="P8" s="94" t="n">
        <x:v>1.3</x:v>
      </x:c>
    </x:row>
    <x:row r="9" ht="30" customHeight="1">
      <x:c r="A9" s="83" t="n">
        <x:v>5</x:v>
      </x:c>
      <x:c r="B9" s="83" t="str">
        <x:v>化神</x:v>
      </x:c>
      <x:c r="C9" s="92" t="n">
        <x:f>$P$13^(A9-1)</x:f>
        <x:v>81</x:v>
      </x:c>
      <x:c r="D9" s="92" t="n">
        <x:f>C9*3</x:f>
        <x:v>243</x:v>
      </x:c>
      <x:c r="E9" s="92" t="n">
        <x:f>C9*2</x:f>
        <x:v>162</x:v>
      </x:c>
      <x:c r="F9" s="92" t="n">
        <x:f>C9*2</x:f>
        <x:v>162</x:v>
      </x:c>
      <x:c r="G9" s="92" t="n">
        <x:f>C9</x:f>
        <x:v>81</x:v>
      </x:c>
      <x:c r="H9" s="92" t="n">
        <x:f>SUM(D9:G9)</x:f>
        <x:v>648</x:v>
      </x:c>
      <x:c r="I9" s="92" t="n">
        <x:f>$P$15</x:f>
        <x:v>24</x:v>
      </x:c>
      <x:c r="J9" s="92" t="n">
        <x:f>IF(A9=1,0,$P$15*($P$13^(A9-2))*$P$16)</x:f>
        <x:v>1166.4</x:v>
      </x:c>
      <x:c r="K9" s="93" t="str">
        <x:f>IF(A9=1,"—",IF(J9&gt;=H9,"是","否"))</x:f>
        <x:v>是</x:v>
      </x:c>
      <x:c r="L9" s="83" t="n">
        <x:f>IF(A9&lt;=2,0,$P$15*($P$13^(A9-3))*$P$16)</x:f>
        <x:v>388.8</x:v>
      </x:c>
      <x:c r="M9" s="93" t="str">
        <x:f>IF(A9&lt;=2,"—",IF(L9&lt;H9,"是","否"))</x:f>
        <x:v>是</x:v>
      </x:c>
      <x:c r="N9" s="78"/>
      <x:c r="O9" s="80" t="str">
        <x:v>神</x:v>
      </x:c>
      <x:c r="P9" s="94" t="n">
        <x:v>1.5</x:v>
      </x:c>
    </x:row>
    <x:row r="10" ht="30" customHeight="1">
      <x:c r="A10" s="83" t="n">
        <x:v>6</x:v>
      </x:c>
      <x:c r="B10" s="83" t="str">
        <x:v>炼虚</x:v>
      </x:c>
      <x:c r="C10" s="92" t="n">
        <x:f>$P$13^(A10-1)</x:f>
        <x:v>243</x:v>
      </x:c>
      <x:c r="D10" s="92" t="n">
        <x:f>C10*3</x:f>
        <x:v>729</x:v>
      </x:c>
      <x:c r="E10" s="92" t="n">
        <x:f>C10*2</x:f>
        <x:v>486</x:v>
      </x:c>
      <x:c r="F10" s="92" t="n">
        <x:f>C10*2</x:f>
        <x:v>486</x:v>
      </x:c>
      <x:c r="G10" s="92" t="n">
        <x:f>C10</x:f>
        <x:v>243</x:v>
      </x:c>
      <x:c r="H10" s="92" t="n">
        <x:f>SUM(D10:G10)</x:f>
        <x:v>1944</x:v>
      </x:c>
      <x:c r="I10" s="92" t="n">
        <x:f>$P$15</x:f>
        <x:v>24</x:v>
      </x:c>
      <x:c r="J10" s="92" t="n">
        <x:f>IF(A10=1,0,$P$15*($P$13^(A10-2))*$P$16)</x:f>
        <x:v>3499.2000000000003</x:v>
      </x:c>
      <x:c r="K10" s="93" t="str">
        <x:f>IF(A10=1,"—",IF(J10&gt;=H10,"是","否"))</x:f>
        <x:v>是</x:v>
      </x:c>
      <x:c r="L10" s="83" t="n">
        <x:f>IF(A10&lt;=2,0,$P$15*($P$13^(A10-3))*$P$16)</x:f>
        <x:v>1166.4</x:v>
      </x:c>
      <x:c r="M10" s="93" t="str">
        <x:f>IF(A10&lt;=2,"—",IF(L10&lt;H10,"是","否"))</x:f>
        <x:v>是</x:v>
      </x:c>
      <x:c r="N10" s="78"/>
      <x:c r="O10" s="80" t="str">
        <x:v>道</x:v>
      </x:c>
      <x:c r="P10" s="94" t="n">
        <x:v>1.8</x:v>
      </x:c>
    </x:row>
    <x:row r="11" ht="30" customHeight="1">
      <x:c r="A11" s="83" t="n">
        <x:v>7</x:v>
      </x:c>
      <x:c r="B11" s="83" t="str">
        <x:v>合体</x:v>
      </x:c>
      <x:c r="C11" s="92" t="n">
        <x:f>$P$13^(A11-1)</x:f>
        <x:v>729</x:v>
      </x:c>
      <x:c r="D11" s="92" t="n">
        <x:f>C11*3</x:f>
        <x:v>2187</x:v>
      </x:c>
      <x:c r="E11" s="92" t="n">
        <x:f>C11*2</x:f>
        <x:v>1458</x:v>
      </x:c>
      <x:c r="F11" s="92" t="n">
        <x:f>C11*2</x:f>
        <x:v>1458</x:v>
      </x:c>
      <x:c r="G11" s="92" t="n">
        <x:f>C11</x:f>
        <x:v>729</x:v>
      </x:c>
      <x:c r="H11" s="92" t="n">
        <x:f>SUM(D11:G11)</x:f>
        <x:v>5832</x:v>
      </x:c>
      <x:c r="I11" s="92" t="n">
        <x:f>$P$15</x:f>
        <x:v>24</x:v>
      </x:c>
      <x:c r="J11" s="92" t="n">
        <x:f>IF(A11=1,0,$P$15*($P$13^(A11-2))*$P$16)</x:f>
        <x:v>10497.6</x:v>
      </x:c>
      <x:c r="K11" s="93" t="str">
        <x:f>IF(A11=1,"—",IF(J11&gt;=H11,"是","否"))</x:f>
        <x:v>是</x:v>
      </x:c>
      <x:c r="L11" s="83" t="n">
        <x:f>IF(A11&lt;=2,0,$P$15*($P$13^(A11-3))*$P$16)</x:f>
        <x:v>3499.2000000000003</x:v>
      </x:c>
      <x:c r="M11" s="93" t="str">
        <x:f>IF(A11&lt;=2,"—",IF(L11&lt;H11,"是","否"))</x:f>
        <x:v>是</x:v>
      </x:c>
      <x:c r="N11" s="78"/>
      <x:c r="O11" s="78"/>
      <x:c r="P11" s="78"/>
    </x:row>
    <x:row r="12" ht="24" customHeight="1">
      <x:c r="A12" s="83" t="n">
        <x:v>8</x:v>
      </x:c>
      <x:c r="B12" s="83" t="str">
        <x:v>大乘</x:v>
      </x:c>
      <x:c r="C12" s="92" t="n">
        <x:f>$P$13^(A12-1)</x:f>
        <x:v>2187</x:v>
      </x:c>
      <x:c r="D12" s="92" t="n">
        <x:f>C12*3</x:f>
        <x:v>6561</x:v>
      </x:c>
      <x:c r="E12" s="92" t="n">
        <x:f>C12*2</x:f>
        <x:v>4374</x:v>
      </x:c>
      <x:c r="F12" s="92" t="n">
        <x:f>C12*2</x:f>
        <x:v>4374</x:v>
      </x:c>
      <x:c r="G12" s="92" t="n">
        <x:f>C12</x:f>
        <x:v>2187</x:v>
      </x:c>
      <x:c r="H12" s="92" t="n">
        <x:f>SUM(D12:G12)</x:f>
        <x:v>17496</x:v>
      </x:c>
      <x:c r="I12" s="92" t="n">
        <x:f>$P$15</x:f>
        <x:v>24</x:v>
      </x:c>
      <x:c r="J12" s="92" t="n">
        <x:f>IF(A12=1,0,$P$15*($P$13^(A12-2))*$P$16)</x:f>
        <x:v>31492.8</x:v>
      </x:c>
      <x:c r="K12" s="93" t="str">
        <x:f>IF(A12=1,"—",IF(J12&gt;=H12,"是","否"))</x:f>
        <x:v>是</x:v>
      </x:c>
      <x:c r="L12" s="83" t="n">
        <x:f>IF(A12&lt;=2,0,$P$15*($P$13^(A12-3))*$P$16)</x:f>
        <x:v>10497.6</x:v>
      </x:c>
      <x:c r="M12" s="93" t="str">
        <x:f>IF(A12&lt;=2,"—",IF(L12&lt;H12,"是","否"))</x:f>
        <x:v>是</x:v>
      </x:c>
      <x:c r="N12" s="78"/>
      <x:c r="O12" s="82" t="str">
        <x:v>校准参数</x:v>
      </x:c>
      <x:c r="P12" s="82" t="str">
        <x:v>校准参数</x:v>
      </x:c>
    </x:row>
    <x:row r="13">
      <x:c r="A13" s="78"/>
      <x:c r="B13" s="78"/>
      <x:c r="C13" s="78"/>
      <x:c r="D13" s="78"/>
      <x:c r="E13" s="78"/>
      <x:c r="F13" s="78"/>
      <x:c r="G13" s="78"/>
      <x:c r="H13" s="78"/>
      <x:c r="I13" s="78"/>
      <x:c r="J13" s="78"/>
      <x:c r="K13" s="78"/>
      <x:c r="L13" s="78"/>
      <x:c r="M13" s="78"/>
      <x:c r="N13" s="78"/>
      <x:c r="O13" s="80" t="str">
        <x:v>境界药力倍率</x:v>
      </x:c>
      <x:c r="P13" s="94" t="n">
        <x:v>3</x:v>
      </x:c>
    </x:row>
    <x:row r="14">
      <x:c r="A14" s="95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B14" s="96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C14" s="96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D14" s="96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E14" s="96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F14" s="96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G14" s="96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H14" s="96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I14" s="96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J14" s="96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K14" s="96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L14" s="96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M14" s="97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N14" s="78"/>
      <x:c r="O14" s="80" t="str">
        <x:v>同境总权重</x:v>
      </x:c>
      <x:c r="P14" s="94" t="n">
        <x:v>8</x:v>
      </x:c>
    </x:row>
    <x:row r="15">
      <x:c r="A15" s="98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B15" s="99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C15" s="99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D15" s="99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E15" s="99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F15" s="99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G15" s="99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H15" s="99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I15" s="99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J15" s="99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K15" s="99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L15" s="99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M15" s="100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N15" s="78"/>
      <x:c r="O15" s="80" t="str">
        <x:v>总材料数量上限</x:v>
      </x:c>
      <x:c r="P15" s="94" t="n">
        <x:v>24</x:v>
      </x:c>
    </x:row>
    <x:row r="16">
      <x:c r="A16" s="101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B16" s="102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C16" s="102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D16" s="102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E16" s="102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F16" s="102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G16" s="102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H16" s="102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I16" s="102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J16" s="102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K16" s="102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L16" s="102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M16" s="103" t="str">
        <x:v>越境设计不等式：总数量上限×低境材料最大单份药力 ≥ 高一境总门槛；同时必须 &lt; 高两境总门槛。只要这两条始终成立，就不需要额外写死‘低阶材料禁炼高阶丹’。本表用最大品质系数做最严压力测试。</x:v>
      </x:c>
      <x:c r="N16" s="78"/>
      <x:c r="O16" s="80" t="str">
        <x:v>品质最大系数</x:v>
      </x:c>
      <x:c r="P16" s="94" t="n">
        <x:f>MAX(P5:P10)</x:f>
        <x:v>1.8</x:v>
      </x:c>
    </x:row>
  </x:sheetData>
  <x:mergeCells>
    <x:mergeCell ref="A1:P1"/>
    <x:mergeCell ref="A2:P2"/>
    <x:mergeCell ref="O12:P12"/>
    <x:mergeCell ref="A14:M1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5.630000114440918" hidden="0" customWidth="1"/>
    <x:col min="3" max="3" width="21.8799991607666" hidden="0" customWidth="1"/>
    <x:col min="4" max="4" width="27.5" hidden="0" customWidth="1"/>
    <x:col min="5" max="5" width="18.75" hidden="0" customWidth="1"/>
    <x:col min="6" max="6" width="32.5" hidden="0" customWidth="1"/>
  </x:cols>
  <x:sheetData>
    <x:row r="1" ht="34" customHeight="1">
      <x:c r="A1" s="105" t="str">
        <x:v>第16轮｜游戏配置字段与运行判定</x:v>
      </x:c>
      <x:c r="B1" s="105" t="str">
        <x:v>第16轮｜游戏配置字段与运行判定</x:v>
      </x:c>
      <x:c r="C1" s="105" t="str">
        <x:v>第16轮｜游戏配置字段与运行判定</x:v>
      </x:c>
      <x:c r="D1" s="105" t="str">
        <x:v>第16轮｜游戏配置字段与运行判定</x:v>
      </x:c>
      <x:c r="E1" s="105" t="str">
        <x:v>第16轮｜游戏配置字段与运行判定</x:v>
      </x:c>
      <x:c r="F1" s="105" t="str">
        <x:v>第16轮｜游戏配置字段与运行判定</x:v>
      </x:c>
    </x:row>
    <x:row r="2" ht="34" customHeight="1">
      <x:c r="A2" s="77" t="str">
        <x:v>落地原则：丹方配置不出现材料ID；材料表不写死君臣佐使。运行时只把投入材料的属性与数值汇总后，去匹配丹方模板。</x:v>
      </x:c>
      <x:c r="B2" s="77" t="str">
        <x:v>落地原则：丹方配置不出现材料ID；材料表不写死君臣佐使。运行时只把投入材料的属性与数值汇总后，去匹配丹方模板。</x:v>
      </x:c>
      <x:c r="C2" s="77" t="str">
        <x:v>落地原则：丹方配置不出现材料ID；材料表不写死君臣佐使。运行时只把投入材料的属性与数值汇总后，去匹配丹方模板。</x:v>
      </x:c>
      <x:c r="D2" s="77" t="str">
        <x:v>落地原则：丹方配置不出现材料ID；材料表不写死君臣佐使。运行时只把投入材料的属性与数值汇总后，去匹配丹方模板。</x:v>
      </x:c>
      <x:c r="E2" s="77" t="str">
        <x:v>落地原则：丹方配置不出现材料ID；材料表不写死君臣佐使。运行时只把投入材料的属性与数值汇总后，去匹配丹方模板。</x:v>
      </x:c>
      <x:c r="F2" s="77" t="str">
        <x:v>落地原则：丹方配置不出现材料ID；材料表不写死君臣佐使。运行时只把投入材料的属性与数值汇总后，去匹配丹方模板。</x:v>
      </x:c>
    </x:row>
    <x:row r="3">
      <x:c r="A3" s="78"/>
      <x:c r="B3" s="78"/>
      <x:c r="C3" s="78"/>
      <x:c r="D3" s="78"/>
      <x:c r="E3" s="78"/>
      <x:c r="F3" s="78"/>
    </x:row>
    <x:row r="4" ht="24" customHeight="1">
      <x:c r="A4" s="82" t="str">
        <x:v>一、灵材配置表</x:v>
      </x:c>
      <x:c r="B4" s="82" t="str">
        <x:v>一、灵材配置表</x:v>
      </x:c>
      <x:c r="C4" s="82" t="str">
        <x:v>一、灵材配置表</x:v>
      </x:c>
      <x:c r="D4" s="82" t="str">
        <x:v>一、灵材配置表</x:v>
      </x:c>
      <x:c r="E4" s="82" t="str">
        <x:v>一、灵材配置表</x:v>
      </x:c>
      <x:c r="F4" s="82" t="str">
        <x:v>一、灵材配置表</x:v>
      </x:c>
    </x:row>
    <x:row r="5" ht="30" customHeight="1">
      <x:c r="A5" s="79" t="str">
        <x:v>字段</x:v>
      </x:c>
      <x:c r="B5" s="79" t="str">
        <x:v>类型</x:v>
      </x:c>
      <x:c r="C5" s="79" t="str">
        <x:v>示例</x:v>
      </x:c>
      <x:c r="D5" s="79" t="str">
        <x:v>用途</x:v>
      </x:c>
      <x:c r="E5" s="79" t="str">
        <x:v>是否玩家可见</x:v>
      </x:c>
      <x:c r="F5" s="79" t="str">
        <x:v>规则</x:v>
      </x:c>
    </x:row>
    <x:row r="6">
      <x:c r="A6" s="80" t="str">
        <x:v>material_id</x:v>
      </x:c>
      <x:c r="B6" s="80" t="str">
        <x:v>ID</x:v>
      </x:c>
      <x:c r="C6" s="80" t="str">
        <x:v>L001</x:v>
      </x:c>
      <x:c r="D6" s="80" t="str">
        <x:v>材料主键</x:v>
      </x:c>
      <x:c r="E6" s="80" t="str">
        <x:v>否</x:v>
      </x:c>
      <x:c r="F6" s="80" t="str">
        <x:v>不进入丹方匹配条件</x:v>
      </x:c>
    </x:row>
    <x:row r="7">
      <x:c r="A7" s="80" t="str">
        <x:v>name</x:v>
      </x:c>
      <x:c r="B7" s="80" t="str">
        <x:v>文本</x:v>
      </x:c>
      <x:c r="C7" s="80" t="str">
        <x:v>承元草（占位）</x:v>
      </x:c>
      <x:c r="D7" s="80" t="str">
        <x:v>显示名</x:v>
      </x:c>
      <x:c r="E7" s="80" t="str">
        <x:v>是</x:v>
      </x:c>
      <x:c r="F7" s="80" t="str">
        <x:v>本轮全部可后改</x:v>
      </x:c>
    </x:row>
    <x:row r="8">
      <x:c r="A8" s="80" t="str">
        <x:v>main_element</x:v>
      </x:c>
      <x:c r="B8" s="80" t="str">
        <x:v>枚举</x:v>
      </x:c>
      <x:c r="C8" s="80" t="str">
        <x:v>土</x:v>
      </x:c>
      <x:c r="D8" s="80" t="str">
        <x:v>主行</x:v>
      </x:c>
      <x:c r="E8" s="80" t="str">
        <x:v>是</x:v>
      </x:c>
      <x:c r="F8" s="80" t="str">
        <x:v>金木水火土，首期唯一</x:v>
      </x:c>
    </x:row>
    <x:row r="9">
      <x:c r="A9" s="80" t="str">
        <x:v>nature</x:v>
      </x:c>
      <x:c r="B9" s="80" t="str">
        <x:v>枚举</x:v>
      </x:c>
      <x:c r="C9" s="80" t="str">
        <x:v>平</x:v>
      </x:c>
      <x:c r="D9" s="80" t="str">
        <x:v>四性五档</x:v>
      </x:c>
      <x:c r="E9" s="80" t="str">
        <x:v>是</x:v>
      </x:c>
      <x:c r="F9" s="80" t="str">
        <x:v>寒凉平温热</x:v>
      </x:c>
    </x:row>
    <x:row r="10">
      <x:c r="A10" s="80" t="str">
        <x:v>nature_value</x:v>
      </x:c>
      <x:c r="B10" s="80" t="str">
        <x:v>整数</x:v>
      </x:c>
      <x:c r="C10" s="80" t="str">
        <x:v>0</x:v>
      </x:c>
      <x:c r="D10" s="80" t="str">
        <x:v>寒热计算</x:v>
      </x:c>
      <x:c r="E10" s="80" t="str">
        <x:v>可图标化</x:v>
      </x:c>
      <x:c r="F10" s="80" t="str">
        <x:v>−2至+2</x:v>
      </x:c>
    </x:row>
    <x:row r="11">
      <x:c r="A11" s="80" t="str">
        <x:v>flavor</x:v>
      </x:c>
      <x:c r="B11" s="80" t="str">
        <x:v>枚举</x:v>
      </x:c>
      <x:c r="C11" s="80" t="str">
        <x:v>甘</x:v>
      </x:c>
      <x:c r="D11" s="80" t="str">
        <x:v>归经方向</x:v>
      </x:c>
      <x:c r="E11" s="80" t="str">
        <x:v>是</x:v>
      </x:c>
      <x:c r="F11" s="80" t="str">
        <x:v>酸苦甘辛咸，首期唯一</x:v>
      </x:c>
    </x:row>
    <x:row r="12">
      <x:c r="A12" s="80" t="str">
        <x:v>realm_tier</x:v>
      </x:c>
      <x:c r="B12" s="80" t="str">
        <x:v>整数</x:v>
      </x:c>
      <x:c r="C12" s="80" t="str">
        <x:v>1</x:v>
      </x:c>
      <x:c r="D12" s="80" t="str">
        <x:v>基础药力档</x:v>
      </x:c>
      <x:c r="E12" s="80" t="str">
        <x:v>是</x:v>
      </x:c>
      <x:c r="F12" s="80" t="str">
        <x:v>1至8</x:v>
      </x:c>
    </x:row>
    <x:row r="13">
      <x:c r="A13" s="80" t="str">
        <x:v>quality</x:v>
      </x:c>
      <x:c r="B13" s="80" t="str">
        <x:v>枚举</x:v>
      </x:c>
      <x:c r="C13" s="80" t="str">
        <x:v>灵</x:v>
      </x:c>
      <x:c r="D13" s="80" t="str">
        <x:v>药力系数与纯度</x:v>
      </x:c>
      <x:c r="E13" s="80" t="str">
        <x:v>是</x:v>
      </x:c>
      <x:c r="F13" s="80" t="str">
        <x:v>凡灵玄仙神；道品另受来源约束</x:v>
      </x:c>
    </x:row>
    <x:row r="14">
      <x:c r="A14" s="80" t="str">
        <x:v>unit_power</x:v>
      </x:c>
      <x:c r="B14" s="80" t="str">
        <x:v>数值</x:v>
      </x:c>
      <x:c r="C14" s="80" t="str">
        <x:v>1.00</x:v>
      </x:c>
      <x:c r="D14" s="80" t="str">
        <x:v>单份药力</x:v>
      </x:c>
      <x:c r="E14" s="80" t="str">
        <x:v>是</x:v>
      </x:c>
      <x:c r="F14" s="80" t="str">
        <x:v>境界基准药力×品质系数</x:v>
      </x:c>
    </x:row>
    <x:row r="15">
      <x:c r="A15" s="78"/>
      <x:c r="B15" s="78"/>
      <x:c r="C15" s="78"/>
      <x:c r="D15" s="78"/>
      <x:c r="E15" s="78"/>
      <x:c r="F15" s="78"/>
    </x:row>
    <x:row r="16" ht="24" customHeight="1">
      <x:c r="A16" s="82" t="str">
        <x:v>二、丹方模板表</x:v>
      </x:c>
      <x:c r="B16" s="82" t="str">
        <x:v>二、丹方模板表</x:v>
      </x:c>
      <x:c r="C16" s="82" t="str">
        <x:v>二、丹方模板表</x:v>
      </x:c>
      <x:c r="D16" s="82" t="str">
        <x:v>二、丹方模板表</x:v>
      </x:c>
      <x:c r="E16" s="82" t="str">
        <x:v>二、丹方模板表</x:v>
      </x:c>
      <x:c r="F16" s="82" t="str">
        <x:v>二、丹方模板表</x:v>
      </x:c>
    </x:row>
    <x:row r="17" ht="30" customHeight="1">
      <x:c r="A17" s="79" t="str">
        <x:v>字段</x:v>
      </x:c>
      <x:c r="B17" s="79" t="str">
        <x:v>类型</x:v>
      </x:c>
      <x:c r="C17" s="79" t="str">
        <x:v>示例</x:v>
      </x:c>
      <x:c r="D17" s="79" t="str">
        <x:v>用途</x:v>
      </x:c>
      <x:c r="E17" s="79" t="str">
        <x:v>是否绑定材料ID</x:v>
      </x:c>
      <x:c r="F17" s="79" t="str">
        <x:v>规则</x:v>
      </x:c>
    </x:row>
    <x:row r="18">
      <x:c r="A18" s="80" t="str">
        <x:v>formula_id</x:v>
      </x:c>
      <x:c r="B18" s="80" t="str">
        <x:v>ID</x:v>
      </x:c>
      <x:c r="C18" s="80" t="str">
        <x:v>F01</x:v>
      </x:c>
      <x:c r="D18" s="80" t="str">
        <x:v>丹方主键</x:v>
      </x:c>
      <x:c r="E18" s="80" t="str">
        <x:v>否</x:v>
      </x:c>
      <x:c r="F18" s="80" t="str">
        <x:v>一方对应一个固定成品</x:v>
      </x:c>
    </x:row>
    <x:row r="19">
      <x:c r="A19" s="80" t="str">
        <x:v>family</x:v>
      </x:c>
      <x:c r="B19" s="80" t="str">
        <x:v>枚举</x:v>
      </x:c>
      <x:c r="C19" s="80" t="str">
        <x:v>养</x:v>
      </x:c>
      <x:c r="D19" s="80" t="str">
        <x:v>四族筛选</x:v>
      </x:c>
      <x:c r="E19" s="80" t="str">
        <x:v>否</x:v>
      </x:c>
      <x:c r="F19" s="80" t="str">
        <x:v>养清改发</x:v>
      </x:c>
    </x:row>
    <x:row r="20">
      <x:c r="A20" s="80" t="str">
        <x:v>category</x:v>
      </x:c>
      <x:c r="B20" s="80" t="str">
        <x:v>枚举</x:v>
      </x:c>
      <x:c r="C20" s="80" t="str">
        <x:v>修为精进</x:v>
      </x:c>
      <x:c r="D20" s="80" t="str">
        <x:v>九类主用途</x:v>
      </x:c>
      <x:c r="E20" s="80" t="str">
        <x:v>否</x:v>
      </x:c>
      <x:c r="F20" s="80" t="str">
        <x:v>唯一主类</x:v>
      </x:c>
    </x:row>
    <x:row r="21">
      <x:c r="A21" s="80" t="str">
        <x:v>jun_element/flavor</x:v>
      </x:c>
      <x:c r="B21" s="80" t="str">
        <x:v>枚举</x:v>
      </x:c>
      <x:c r="C21" s="80" t="str">
        <x:v>土/甘</x:v>
      </x:c>
      <x:c r="D21" s="80" t="str">
        <x:v>君位方向</x:v>
      </x:c>
      <x:c r="E21" s="80" t="str">
        <x:v>否</x:v>
      </x:c>
      <x:c r="F21" s="80" t="str">
        <x:v>条件固定，材料可换</x:v>
      </x:c>
    </x:row>
    <x:row r="22">
      <x:c r="A22" s="80" t="str">
        <x:v>jun_power_weight</x:v>
      </x:c>
      <x:c r="B22" s="80" t="str">
        <x:v>数值</x:v>
      </x:c>
      <x:c r="C22" s="80" t="str">
        <x:v>3</x:v>
      </x:c>
      <x:c r="D22" s="80" t="str">
        <x:v>君位药力门槛</x:v>
      </x:c>
      <x:c r="E22" s="80" t="str">
        <x:v>否</x:v>
      </x:c>
      <x:c r="F22" s="80" t="str">
        <x:v>权重×境界基准药力</x:v>
      </x:c>
    </x:row>
    <x:row r="23">
      <x:c r="A23" s="80" t="str">
        <x:v>chen_element/flavor</x:v>
      </x:c>
      <x:c r="B23" s="80" t="str">
        <x:v>枚举</x:v>
      </x:c>
      <x:c r="C23" s="80" t="str">
        <x:v>木/酸</x:v>
      </x:c>
      <x:c r="D23" s="80" t="str">
        <x:v>臣位方向</x:v>
      </x:c>
      <x:c r="E23" s="80" t="str">
        <x:v>否</x:v>
      </x:c>
      <x:c r="F23" s="80" t="str">
        <x:v>条件固定，材料可换</x:v>
      </x:c>
    </x:row>
    <x:row r="24">
      <x:c r="A24" s="80" t="str">
        <x:v>chen_power_weight</x:v>
      </x:c>
      <x:c r="B24" s="80" t="str">
        <x:v>数值</x:v>
      </x:c>
      <x:c r="C24" s="80" t="str">
        <x:v>2</x:v>
      </x:c>
      <x:c r="D24" s="80" t="str">
        <x:v>臣位药力门槛</x:v>
      </x:c>
      <x:c r="E24" s="80" t="str">
        <x:v>否</x:v>
      </x:c>
      <x:c r="F24" s="80" t="str">
        <x:v>不可由君位溢出补足</x:v>
      </x:c>
    </x:row>
    <x:row r="25">
      <x:c r="A25" s="80" t="str">
        <x:v>zuo_element/flavor</x:v>
      </x:c>
      <x:c r="B25" s="80" t="str">
        <x:v>枚举</x:v>
      </x:c>
      <x:c r="C25" s="80" t="str">
        <x:v>金/苦</x:v>
      </x:c>
      <x:c r="D25" s="80" t="str">
        <x:v>佐位方向</x:v>
      </x:c>
      <x:c r="E25" s="80" t="str">
        <x:v>否</x:v>
      </x:c>
      <x:c r="F25" s="80" t="str">
        <x:v>控制、吸残、纠偏</x:v>
      </x:c>
    </x:row>
    <x:row r="26">
      <x:c r="A26" s="80" t="str">
        <x:v>zuo_power_weight</x:v>
      </x:c>
      <x:c r="B26" s="80" t="str">
        <x:v>数值</x:v>
      </x:c>
      <x:c r="C26" s="80" t="str">
        <x:v>2</x:v>
      </x:c>
      <x:c r="D26" s="80" t="str">
        <x:v>佐位药力门槛</x:v>
      </x:c>
      <x:c r="E26" s="80" t="str">
        <x:v>否</x:v>
      </x:c>
      <x:c r="F26" s="80" t="str">
        <x:v>独立验算</x:v>
      </x:c>
    </x:row>
    <x:row r="27">
      <x:c r="A27" s="80" t="str">
        <x:v>shi_element/flavor</x:v>
      </x:c>
      <x:c r="B27" s="80" t="str">
        <x:v>枚举</x:v>
      </x:c>
      <x:c r="C27" s="80" t="str">
        <x:v>任一/甘</x:v>
      </x:c>
      <x:c r="D27" s="80" t="str">
        <x:v>使位归经</x:v>
      </x:c>
      <x:c r="E27" s="80" t="str">
        <x:v>否</x:v>
      </x:c>
      <x:c r="F27" s="80" t="str">
        <x:v>同时参与寒热配平</x:v>
      </x:c>
    </x:row>
    <x:row r="28">
      <x:c r="A28" s="80" t="str">
        <x:v>shi_power_weight</x:v>
      </x:c>
      <x:c r="B28" s="80" t="str">
        <x:v>数值</x:v>
      </x:c>
      <x:c r="C28" s="80" t="str">
        <x:v>1</x:v>
      </x:c>
      <x:c r="D28" s="80" t="str">
        <x:v>使位药力门槛</x:v>
      </x:c>
      <x:c r="E28" s="80" t="str">
        <x:v>否</x:v>
      </x:c>
      <x:c r="F28" s="80" t="str">
        <x:v>独立验算</x:v>
      </x:c>
    </x:row>
    <x:row r="29">
      <x:c r="A29" s="80" t="str">
        <x:v>target_nature</x:v>
      </x:c>
      <x:c r="B29" s="80" t="str">
        <x:v>整数</x:v>
      </x:c>
      <x:c r="C29" s="80" t="str">
        <x:v>0</x:v>
      </x:c>
      <x:c r="D29" s="80" t="str">
        <x:v>目标寒热</x:v>
      </x:c>
      <x:c r="E29" s="80" t="str">
        <x:v>否</x:v>
      </x:c>
      <x:c r="F29" s="80" t="str">
        <x:v>允许特殊丹偏寒偏热</x:v>
      </x:c>
    </x:row>
    <x:row r="30">
      <x:c r="A30" s="80" t="str">
        <x:v>max_total_qty</x:v>
      </x:c>
      <x:c r="B30" s="80" t="str">
        <x:v>整数</x:v>
      </x:c>
      <x:c r="C30" s="80" t="str">
        <x:v>24</x:v>
      </x:c>
      <x:c r="D30" s="80" t="str">
        <x:v>总投料上限</x:v>
      </x:c>
      <x:c r="E30" s="80" t="str">
        <x:v>否</x:v>
      </x:c>
      <x:c r="F30" s="80" t="str">
        <x:v>阻止无限堆低级材料</x:v>
      </x:c>
    </x:row>
    <x:row r="31">
      <x:c r="A31" s="78"/>
      <x:c r="B31" s="78"/>
      <x:c r="C31" s="78"/>
      <x:c r="D31" s="78"/>
      <x:c r="E31" s="78"/>
      <x:c r="F31" s="78"/>
    </x:row>
    <x:row r="32" ht="24" customHeight="1">
      <x:c r="A32" s="82" t="str">
        <x:v>三、运行顺序</x:v>
      </x:c>
      <x:c r="B32" s="82" t="str">
        <x:v>三、运行顺序</x:v>
      </x:c>
      <x:c r="C32" s="82" t="str">
        <x:v>三、运行顺序</x:v>
      </x:c>
      <x:c r="D32" s="82" t="str">
        <x:v>三、运行顺序</x:v>
      </x:c>
      <x:c r="E32" s="82" t="str">
        <x:v>三、运行顺序</x:v>
      </x:c>
      <x:c r="F32" s="82" t="str">
        <x:v>三、运行顺序</x:v>
      </x:c>
    </x:row>
    <x:row r="33" ht="30" customHeight="1">
      <x:c r="A33" s="79" t="str">
        <x:v>步骤</x:v>
      </x:c>
      <x:c r="B33" s="79" t="str">
        <x:v>输入</x:v>
      </x:c>
      <x:c r="C33" s="79" t="str">
        <x:v>计算</x:v>
      </x:c>
      <x:c r="D33" s="79" t="str">
        <x:v>通过</x:v>
      </x:c>
      <x:c r="E33" s="79" t="str">
        <x:v>失败</x:v>
      </x:c>
      <x:c r="F33" s="79" t="str">
        <x:v>备注</x:v>
      </x:c>
    </x:row>
    <x:row r="34">
      <x:c r="A34" s="80" t="n">
        <x:v>1</x:v>
      </x:c>
      <x:c r="B34" s="80" t="str">
        <x:v>选定丹方或自动试配</x:v>
      </x:c>
      <x:c r="C34" s="80" t="str">
        <x:v>读取四职务条件</x:v>
      </x:c>
      <x:c r="D34" s="80" t="str">
        <x:v>进入填槽</x:v>
      </x:c>
      <x:c r="E34" s="80" t="str">
        <x:v>无匹配方</x:v>
      </x:c>
      <x:c r="F34" s="80" t="str">
        <x:v>易学模式优先选方后配</x:v>
      </x:c>
    </x:row>
    <x:row r="35">
      <x:c r="A35" s="80" t="n">
        <x:v>2</x:v>
      </x:c>
      <x:c r="B35" s="80" t="str">
        <x:v>君臣佐使材料与数量</x:v>
      </x:c>
      <x:c r="C35" s="80" t="str">
        <x:v>逐槽匹配主行、五味</x:v>
      </x:c>
      <x:c r="D35" s="80" t="str">
        <x:v>方向全部正确</x:v>
      </x:c>
      <x:c r="E35" s="80" t="str">
        <x:v>药不对症</x:v>
      </x:c>
      <x:c r="F35" s="80" t="str">
        <x:v>使位可允许主行任一</x:v>
      </x:c>
    </x:row>
    <x:row r="36">
      <x:c r="A36" s="80" t="n">
        <x:v>3</x:v>
      </x:c>
      <x:c r="B36" s="80" t="str">
        <x:v>四性值与数量</x:v>
      </x:c>
      <x:c r="C36" s="80" t="str">
        <x:v>Σ四性值×数量</x:v>
      </x:c>
      <x:c r="D36" s="80" t="str">
        <x:v>命中目标±容差</x:v>
      </x:c>
      <x:c r="E36" s="80" t="str">
        <x:v>偏寒或偏热</x:v>
      </x:c>
      <x:c r="F36" s="80" t="str">
        <x:v>使药完成最后配平</x:v>
      </x:c>
    </x:row>
    <x:row r="37">
      <x:c r="A37" s="80" t="n">
        <x:v>4</x:v>
      </x:c>
      <x:c r="B37" s="80" t="str">
        <x:v>单份药力与数量</x:v>
      </x:c>
      <x:c r="C37" s="80" t="str">
        <x:v>分职务Σ药力×数量</x:v>
      </x:c>
      <x:c r="D37" s="80" t="str">
        <x:v>四槽分别达标</x:v>
      </x:c>
      <x:c r="E37" s="80" t="str">
        <x:v>缺君/臣/佐/使</x:v>
      </x:c>
      <x:c r="F37" s="80" t="str">
        <x:v>药力不跨槽转移</x:v>
      </x:c>
    </x:row>
    <x:row r="38">
      <x:c r="A38" s="80" t="n">
        <x:v>5</x:v>
      </x:c>
      <x:c r="B38" s="80" t="str">
        <x:v>所有材料数量</x:v>
      </x:c>
      <x:c r="C38" s="80" t="str">
        <x:v>Σ数量</x:v>
      </x:c>
      <x:c r="D38" s="80" t="str">
        <x:v>不超过总量上限</x:v>
      </x:c>
      <x:c r="E38" s="80" t="str">
        <x:v>炉容超限</x:v>
      </x:c>
      <x:c r="F38" s="80" t="str">
        <x:v>形成越境上限</x:v>
      </x:c>
    </x:row>
    <x:row r="39">
      <x:c r="A39" s="80" t="n">
        <x:v>6</x:v>
      </x:c>
      <x:c r="B39" s="80" t="str">
        <x:v>全部判定结果</x:v>
      </x:c>
      <x:c r="C39" s="80" t="str">
        <x:v>查formula_id对应output</x:v>
      </x:c>
      <x:c r="D39" s="80" t="str">
        <x:v>产出固定丹药</x:v>
      </x:c>
      <x:c r="E39" s="80" t="str">
        <x:v>废丹或失败反馈</x:v>
      </x:c>
      <x:c r="F39" s="80" t="str">
        <x:v>同条件必得同结果</x:v>
      </x:c>
    </x:row>
  </x:sheetData>
  <x:mergeCells>
    <x:mergeCell ref="A1:F1"/>
    <x:mergeCell ref="A2:F2"/>
    <x:mergeCell ref="A4:F4"/>
    <x:mergeCell ref="A16:F16"/>
    <x:mergeCell ref="A32:F3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30000114440918" hidden="0" customWidth="1"/>
    <x:col min="2" max="2" width="9.380000114440918" hidden="0" customWidth="1"/>
    <x:col min="3" max="3" width="9.380000114440918" hidden="0" customWidth="1"/>
    <x:col min="4" max="4" width="9.380000114440918" hidden="0" customWidth="1"/>
    <x:col min="5" max="5" width="9.380000114440918" hidden="0" customWidth="1"/>
    <x:col min="6" max="6" width="9.380000114440918" hidden="0" customWidth="1"/>
    <x:col min="7" max="7" width="8.130000114440918" hidden="0" customWidth="1"/>
    <x:col min="8" max="8" width="8.75" hidden="0" customWidth="1"/>
    <x:col min="9" max="9" width="10.630000114440918" hidden="0" customWidth="1"/>
    <x:col min="10" max="10" width="6.880000114440918" hidden="0" customWidth="1"/>
    <x:col min="11" max="11" width="10.630000114440918" hidden="0" customWidth="1"/>
    <x:col min="12" max="12" width="10.630000114440918" hidden="0" customWidth="1"/>
    <x:col min="13" max="13" width="12.5" hidden="0" customWidth="1"/>
    <x:col min="14" max="14" width="10" hidden="0" customWidth="1"/>
    <x:col min="15" max="15" width="10" hidden="0" customWidth="1"/>
  </x:cols>
  <x:sheetData>
    <x:row r="1" ht="34" customHeight="1">
      <x:c r="A1" s="105" t="str">
        <x:v>第16轮｜聚元丹实际验算（属性配方，不绑定材料ID）</x:v>
      </x:c>
      <x:c r="B1" s="105" t="str">
        <x:v>第16轮｜聚元丹实际验算（属性配方，不绑定材料ID）</x:v>
      </x:c>
      <x:c r="C1" s="105" t="str">
        <x:v>第16轮｜聚元丹实际验算（属性配方，不绑定材料ID）</x:v>
      </x:c>
      <x:c r="D1" s="105" t="str">
        <x:v>第16轮｜聚元丹实际验算（属性配方，不绑定材料ID）</x:v>
      </x:c>
      <x:c r="E1" s="105" t="str">
        <x:v>第16轮｜聚元丹实际验算（属性配方，不绑定材料ID）</x:v>
      </x:c>
      <x:c r="F1" s="105" t="str">
        <x:v>第16轮｜聚元丹实际验算（属性配方，不绑定材料ID）</x:v>
      </x:c>
      <x:c r="G1" s="105" t="str">
        <x:v>第16轮｜聚元丹实际验算（属性配方，不绑定材料ID）</x:v>
      </x:c>
      <x:c r="H1" s="105" t="str">
        <x:v>第16轮｜聚元丹实际验算（属性配方，不绑定材料ID）</x:v>
      </x:c>
      <x:c r="I1" s="105" t="str">
        <x:v>第16轮｜聚元丹实际验算（属性配方，不绑定材料ID）</x:v>
      </x:c>
      <x:c r="J1" s="105" t="str">
        <x:v>第16轮｜聚元丹实际验算（属性配方，不绑定材料ID）</x:v>
      </x:c>
      <x:c r="K1" s="105" t="str">
        <x:v>第16轮｜聚元丹实际验算（属性配方，不绑定材料ID）</x:v>
      </x:c>
      <x:c r="L1" s="105" t="str">
        <x:v>第16轮｜聚元丹实际验算（属性配方，不绑定材料ID）</x:v>
      </x:c>
      <x:c r="M1" s="105" t="str">
        <x:v>第16轮｜聚元丹实际验算（属性配方，不绑定材料ID）</x:v>
      </x:c>
      <x:c r="N1" s="105" t="str">
        <x:v>第16轮｜聚元丹实际验算（属性配方，不绑定材料ID）</x:v>
      </x:c>
      <x:c r="O1" s="105" t="str">
        <x:v>第16轮｜聚元丹实际验算（属性配方，不绑定材料ID）</x:v>
      </x:c>
    </x:row>
    <x:row r="2" ht="34" customHeight="1">
      <x:c r="A2" s="77" t="str">
        <x:v>本例只为证明结构可算：使用炼气灵品占位灵材，君3份、臣2份、佐2份、使1份；总量8，寒热0，四槽药力分别达标，产出F01聚元丹。</x:v>
      </x:c>
      <x:c r="B2" s="77" t="str">
        <x:v>本例只为证明结构可算：使用炼气灵品占位灵材，君3份、臣2份、佐2份、使1份；总量8，寒热0，四槽药力分别达标，产出F01聚元丹。</x:v>
      </x:c>
      <x:c r="C2" s="77" t="str">
        <x:v>本例只为证明结构可算：使用炼气灵品占位灵材，君3份、臣2份、佐2份、使1份；总量8，寒热0，四槽药力分别达标，产出F01聚元丹。</x:v>
      </x:c>
      <x:c r="D2" s="77" t="str">
        <x:v>本例只为证明结构可算：使用炼气灵品占位灵材，君3份、臣2份、佐2份、使1份；总量8，寒热0，四槽药力分别达标，产出F01聚元丹。</x:v>
      </x:c>
      <x:c r="E2" s="77" t="str">
        <x:v>本例只为证明结构可算：使用炼气灵品占位灵材，君3份、臣2份、佐2份、使1份；总量8，寒热0，四槽药力分别达标，产出F01聚元丹。</x:v>
      </x:c>
      <x:c r="F2" s="77" t="str">
        <x:v>本例只为证明结构可算：使用炼气灵品占位灵材，君3份、臣2份、佐2份、使1份；总量8，寒热0，四槽药力分别达标，产出F01聚元丹。</x:v>
      </x:c>
      <x:c r="G2" s="77" t="str">
        <x:v>本例只为证明结构可算：使用炼气灵品占位灵材，君3份、臣2份、佐2份、使1份；总量8，寒热0，四槽药力分别达标，产出F01聚元丹。</x:v>
      </x:c>
      <x:c r="H2" s="77" t="str">
        <x:v>本例只为证明结构可算：使用炼气灵品占位灵材，君3份、臣2份、佐2份、使1份；总量8，寒热0，四槽药力分别达标，产出F01聚元丹。</x:v>
      </x:c>
      <x:c r="I2" s="77" t="str">
        <x:v>本例只为证明结构可算：使用炼气灵品占位灵材，君3份、臣2份、佐2份、使1份；总量8，寒热0，四槽药力分别达标，产出F01聚元丹。</x:v>
      </x:c>
      <x:c r="J2" s="77" t="str">
        <x:v>本例只为证明结构可算：使用炼气灵品占位灵材，君3份、臣2份、佐2份、使1份；总量8，寒热0，四槽药力分别达标，产出F01聚元丹。</x:v>
      </x:c>
      <x:c r="K2" s="77" t="str">
        <x:v>本例只为证明结构可算：使用炼气灵品占位灵材，君3份、臣2份、佐2份、使1份；总量8，寒热0，四槽药力分别达标，产出F01聚元丹。</x:v>
      </x:c>
      <x:c r="L2" s="77" t="str">
        <x:v>本例只为证明结构可算：使用炼气灵品占位灵材，君3份、臣2份、佐2份、使1份；总量8，寒热0，四槽药力分别达标，产出F01聚元丹。</x:v>
      </x:c>
      <x:c r="M2" s="77" t="str">
        <x:v>本例只为证明结构可算：使用炼气灵品占位灵材，君3份、臣2份、佐2份、使1份；总量8，寒热0，四槽药力分别达标，产出F01聚元丹。</x:v>
      </x:c>
      <x:c r="N2" s="77" t="str">
        <x:v>本例只为证明结构可算：使用炼气灵品占位灵材，君3份、臣2份、佐2份、使1份；总量8，寒热0，四槽药力分别达标，产出F01聚元丹。</x:v>
      </x:c>
      <x:c r="O2" s="77" t="str">
        <x:v>本例只为证明结构可算：使用炼气灵品占位灵材，君3份、臣2份、佐2份、使1份；总量8，寒热0，四槽药力分别达标，产出F01聚元丹。</x:v>
      </x:c>
    </x:row>
    <x:row r="3" ht="28" customHeight="1">
      <x:c r="A3" s="104" t="str">
        <x:v>丹方ID</x:v>
      </x:c>
      <x:c r="B3" s="104" t="str">
        <x:v>F01</x:v>
      </x:c>
      <x:c r="C3" s="104" t="str">
        <x:v>目标境界ID</x:v>
      </x:c>
      <x:c r="D3" s="104" t="n">
        <x:v>1</x:v>
      </x:c>
      <x:c r="E3" s="104" t="str">
        <x:v>境界基准药力</x:v>
      </x:c>
      <x:c r="F3" s="104" t="n">
        <x:f>VLOOKUP(D3,'04_药力曲线'!$A$5:$C$12,3,FALSE)</x:f>
        <x:v>1</x:v>
      </x:c>
      <x:c r="G3" s="78"/>
      <x:c r="H3" s="78"/>
      <x:c r="I3" s="78"/>
      <x:c r="J3" s="78"/>
      <x:c r="K3" s="78"/>
      <x:c r="L3" s="78"/>
      <x:c r="M3" s="78"/>
      <x:c r="N3" s="78"/>
      <x:c r="O3" s="78"/>
    </x:row>
    <x:row r="4" ht="28" customHeight="1">
      <x:c r="A4" s="104" t="str">
        <x:v>目标寒热</x:v>
      </x:c>
      <x:c r="B4" s="104" t="n">
        <x:f>'02_九类属性丹方'!S5</x:f>
        <x:v>0</x:v>
      </x:c>
      <x:c r="C4" s="104" t="str">
        <x:v>允许偏差</x:v>
      </x:c>
      <x:c r="D4" s="104" t="n">
        <x:f>'02_九类属性丹方'!T5</x:f>
        <x:v>0</x:v>
      </x:c>
      <x:c r="E4" s="104" t="str">
        <x:v>总数量上限</x:v>
      </x:c>
      <x:c r="F4" s="104" t="n">
        <x:f>'02_九类属性丹方'!U5</x:f>
        <x:v>24</x:v>
      </x:c>
      <x:c r="G4" s="78"/>
      <x:c r="H4" s="78"/>
      <x:c r="I4" s="78"/>
      <x:c r="J4" s="78"/>
      <x:c r="K4" s="78"/>
      <x:c r="L4" s="78"/>
      <x:c r="M4" s="78"/>
      <x:c r="N4" s="78"/>
      <x:c r="O4" s="78"/>
    </x:row>
    <x:row r="5" ht="28" customHeight="1">
      <x:c r="A5" s="104" t="str">
        <x:v>成品</x:v>
      </x:c>
      <x:c r="B5" s="104" t="str">
        <x:v>聚元丹</x:v>
      </x:c>
      <x:c r="C5" s="104" t="str">
        <x:v>九类</x:v>
      </x:c>
      <x:c r="D5" s="104" t="str">
        <x:v>修为精进</x:v>
      </x:c>
      <x:c r="E5" s="104" t="str">
        <x:v>署名</x:v>
      </x:c>
      <x:c r="F5" s="104" t="str">
        <x:v>小G</x:v>
      </x:c>
      <x:c r="G5" s="78"/>
      <x:c r="H5" s="78"/>
      <x:c r="I5" s="78"/>
      <x:c r="J5" s="78"/>
      <x:c r="K5" s="78"/>
      <x:c r="L5" s="78"/>
      <x:c r="M5" s="78"/>
      <x:c r="N5" s="78"/>
      <x:c r="O5" s="78"/>
    </x:row>
    <x:row r="6">
      <x:c r="A6" s="78"/>
      <x:c r="B6" s="78"/>
      <x:c r="C6" s="78"/>
      <x:c r="D6" s="78"/>
      <x:c r="E6" s="78"/>
      <x:c r="F6" s="78"/>
      <x:c r="G6" s="78"/>
      <x:c r="H6" s="78"/>
      <x:c r="I6" s="78"/>
      <x:c r="J6" s="78"/>
      <x:c r="K6" s="78"/>
      <x:c r="L6" s="78"/>
      <x:c r="M6" s="78"/>
      <x:c r="N6" s="78"/>
      <x:c r="O6" s="78"/>
    </x:row>
    <x:row r="7" ht="30" customHeight="1">
      <x:c r="A7" s="79" t="str">
        <x:v>职务</x:v>
      </x:c>
      <x:c r="B7" s="79" t="str">
        <x:v>材料ID</x:v>
      </x:c>
      <x:c r="C7" s="79" t="str">
        <x:v>要求主行</x:v>
      </x:c>
      <x:c r="D7" s="79" t="str">
        <x:v>要求五味</x:v>
      </x:c>
      <x:c r="E7" s="79" t="str">
        <x:v>实际主行</x:v>
      </x:c>
      <x:c r="F7" s="79" t="str">
        <x:v>实际五味</x:v>
      </x:c>
      <x:c r="G7" s="79" t="str">
        <x:v>四性</x:v>
      </x:c>
      <x:c r="H7" s="79" t="str">
        <x:v>寒热值</x:v>
      </x:c>
      <x:c r="I7" s="79" t="str">
        <x:v>单份药力</x:v>
      </x:c>
      <x:c r="J7" s="79" t="str">
        <x:v>数量</x:v>
      </x:c>
      <x:c r="K7" s="79" t="str">
        <x:v>药力小计</x:v>
      </x:c>
      <x:c r="L7" s="79" t="str">
        <x:v>寒热小计</x:v>
      </x:c>
      <x:c r="M7" s="79" t="str">
        <x:v>角色药力门槛</x:v>
      </x:c>
      <x:c r="N7" s="79" t="str">
        <x:v>属性判定</x:v>
      </x:c>
      <x:c r="O7" s="79" t="str">
        <x:v>药力判定</x:v>
      </x:c>
    </x:row>
    <x:row r="8" ht="30" customHeight="1">
      <x:c r="A8" s="83" t="str">
        <x:v>君</x:v>
      </x:c>
      <x:c r="B8" s="83" t="str">
        <x:v>L001</x:v>
      </x:c>
      <x:c r="C8" s="83" t="str">
        <x:f>'02_九类属性丹方'!G5</x:f>
        <x:v>土</x:v>
      </x:c>
      <x:c r="D8" s="83" t="str">
        <x:f>'02_九类属性丹方'!H5</x:f>
        <x:v>甘</x:v>
      </x:c>
      <x:c r="E8" s="83" t="str">
        <x:f>VLOOKUP(B8,'03_灵材属性表'!$A$5:$M$22,4,FALSE)</x:f>
        <x:v>土</x:v>
      </x:c>
      <x:c r="F8" s="83" t="str">
        <x:f>VLOOKUP(B8,'03_灵材属性表'!$A$5:$M$22,7,FALSE)</x:f>
        <x:v>甘</x:v>
      </x:c>
      <x:c r="G8" s="83" t="str">
        <x:f>VLOOKUP(B8,'03_灵材属性表'!$A$5:$M$22,5,FALSE)</x:f>
        <x:v>平</x:v>
      </x:c>
      <x:c r="H8" s="83" t="n">
        <x:f>VLOOKUP(B8,'03_灵材属性表'!$A$5:$M$22,6,FALSE)</x:f>
        <x:v>0</x:v>
      </x:c>
      <x:c r="I8" s="92" t="n">
        <x:f>VLOOKUP(B8,'03_灵材属性表'!$A$5:$M$22,13,FALSE)</x:f>
        <x:v>1</x:v>
      </x:c>
      <x:c r="J8" s="92" t="n">
        <x:v>3</x:v>
      </x:c>
      <x:c r="K8" s="92" t="n">
        <x:f>I8*J8</x:f>
        <x:v>3</x:v>
      </x:c>
      <x:c r="L8" s="92" t="n">
        <x:f>H8*J8</x:f>
        <x:v>0</x:v>
      </x:c>
      <x:c r="M8" s="92" t="n">
        <x:f>'02_九类属性丹方'!I5*$F$3</x:f>
        <x:v>3</x:v>
      </x:c>
      <x:c r="N8" s="83" t="str">
        <x:f>IF(AND(OR(C8="任一",C8=E8),D8=F8),"通过","不匹配")</x:f>
        <x:v>通过</x:v>
      </x:c>
      <x:c r="O8" s="83" t="str">
        <x:f>IF(K8&gt;=M8,"通过","不足")</x:f>
        <x:v>通过</x:v>
      </x:c>
    </x:row>
    <x:row r="9" ht="30" customHeight="1">
      <x:c r="A9" s="83" t="str">
        <x:v>臣</x:v>
      </x:c>
      <x:c r="B9" s="83" t="str">
        <x:v>L004</x:v>
      </x:c>
      <x:c r="C9" s="83" t="str">
        <x:f>'02_九类属性丹方'!J5</x:f>
        <x:v>木</x:v>
      </x:c>
      <x:c r="D9" s="83" t="str">
        <x:f>'02_九类属性丹方'!K5</x:f>
        <x:v>酸</x:v>
      </x:c>
      <x:c r="E9" s="83" t="str">
        <x:f>VLOOKUP(B9,'03_灵材属性表'!$A$5:$M$22,4,FALSE)</x:f>
        <x:v>木</x:v>
      </x:c>
      <x:c r="F9" s="83" t="str">
        <x:f>VLOOKUP(B9,'03_灵材属性表'!$A$5:$M$22,7,FALSE)</x:f>
        <x:v>酸</x:v>
      </x:c>
      <x:c r="G9" s="83" t="str">
        <x:f>VLOOKUP(B9,'03_灵材属性表'!$A$5:$M$22,5,FALSE)</x:f>
        <x:v>温</x:v>
      </x:c>
      <x:c r="H9" s="83" t="n">
        <x:f>VLOOKUP(B9,'03_灵材属性表'!$A$5:$M$22,6,FALSE)</x:f>
        <x:v>1</x:v>
      </x:c>
      <x:c r="I9" s="92" t="n">
        <x:f>VLOOKUP(B9,'03_灵材属性表'!$A$5:$M$22,13,FALSE)</x:f>
        <x:v>1</x:v>
      </x:c>
      <x:c r="J9" s="92" t="n">
        <x:v>2</x:v>
      </x:c>
      <x:c r="K9" s="92" t="n">
        <x:f>I9*J9</x:f>
        <x:v>2</x:v>
      </x:c>
      <x:c r="L9" s="92" t="n">
        <x:f>H9*J9</x:f>
        <x:v>2</x:v>
      </x:c>
      <x:c r="M9" s="92" t="n">
        <x:f>'02_九类属性丹方'!L5*$F$3</x:f>
        <x:v>2</x:v>
      </x:c>
      <x:c r="N9" s="83" t="str">
        <x:f>IF(AND(OR(C9="任一",C9=E9),D9=F9),"通过","不匹配")</x:f>
        <x:v>通过</x:v>
      </x:c>
      <x:c r="O9" s="83" t="str">
        <x:f>IF(K9&gt;=M9,"通过","不足")</x:f>
        <x:v>通过</x:v>
      </x:c>
    </x:row>
    <x:row r="10" ht="30" customHeight="1">
      <x:c r="A10" s="83" t="str">
        <x:v>佐</x:v>
      </x:c>
      <x:c r="B10" s="83" t="str">
        <x:v>L005</x:v>
      </x:c>
      <x:c r="C10" s="83" t="str">
        <x:f>'02_九类属性丹方'!M5</x:f>
        <x:v>金</x:v>
      </x:c>
      <x:c r="D10" s="83" t="str">
        <x:f>'02_九类属性丹方'!N5</x:f>
        <x:v>苦</x:v>
      </x:c>
      <x:c r="E10" s="83" t="str">
        <x:f>VLOOKUP(B10,'03_灵材属性表'!$A$5:$M$22,4,FALSE)</x:f>
        <x:v>金</x:v>
      </x:c>
      <x:c r="F10" s="83" t="str">
        <x:f>VLOOKUP(B10,'03_灵材属性表'!$A$5:$M$22,7,FALSE)</x:f>
        <x:v>苦</x:v>
      </x:c>
      <x:c r="G10" s="83" t="str">
        <x:f>VLOOKUP(B10,'03_灵材属性表'!$A$5:$M$22,5,FALSE)</x:f>
        <x:v>凉</x:v>
      </x:c>
      <x:c r="H10" s="83" t="n">
        <x:f>VLOOKUP(B10,'03_灵材属性表'!$A$5:$M$22,6,FALSE)</x:f>
        <x:v>-1</x:v>
      </x:c>
      <x:c r="I10" s="92" t="n">
        <x:f>VLOOKUP(B10,'03_灵材属性表'!$A$5:$M$22,13,FALSE)</x:f>
        <x:v>1</x:v>
      </x:c>
      <x:c r="J10" s="92" t="n">
        <x:v>2</x:v>
      </x:c>
      <x:c r="K10" s="92" t="n">
        <x:f>I10*J10</x:f>
        <x:v>2</x:v>
      </x:c>
      <x:c r="L10" s="92" t="n">
        <x:f>H10*J10</x:f>
        <x:v>-2</x:v>
      </x:c>
      <x:c r="M10" s="92" t="n">
        <x:f>'02_九类属性丹方'!O5*$F$3</x:f>
        <x:v>2</x:v>
      </x:c>
      <x:c r="N10" s="83" t="str">
        <x:f>IF(AND(OR(C10="任一",C10=E10),D10=F10),"通过","不匹配")</x:f>
        <x:v>通过</x:v>
      </x:c>
      <x:c r="O10" s="83" t="str">
        <x:f>IF(K10&gt;=M10,"通过","不足")</x:f>
        <x:v>通过</x:v>
      </x:c>
    </x:row>
    <x:row r="11" ht="30" customHeight="1">
      <x:c r="A11" s="83" t="str">
        <x:v>使</x:v>
      </x:c>
      <x:c r="B11" s="83" t="str">
        <x:v>L007</x:v>
      </x:c>
      <x:c r="C11" s="83" t="str">
        <x:f>'02_九类属性丹方'!P5</x:f>
        <x:v>任一</x:v>
      </x:c>
      <x:c r="D11" s="83" t="str">
        <x:f>'02_九类属性丹方'!Q5</x:f>
        <x:v>甘</x:v>
      </x:c>
      <x:c r="E11" s="83" t="str">
        <x:f>VLOOKUP(B11,'03_灵材属性表'!$A$5:$M$22,4,FALSE)</x:f>
        <x:v>土</x:v>
      </x:c>
      <x:c r="F11" s="83" t="str">
        <x:f>VLOOKUP(B11,'03_灵材属性表'!$A$5:$M$22,7,FALSE)</x:f>
        <x:v>甘</x:v>
      </x:c>
      <x:c r="G11" s="83" t="str">
        <x:f>VLOOKUP(B11,'03_灵材属性表'!$A$5:$M$22,5,FALSE)</x:f>
        <x:v>平</x:v>
      </x:c>
      <x:c r="H11" s="83" t="n">
        <x:f>VLOOKUP(B11,'03_灵材属性表'!$A$5:$M$22,6,FALSE)</x:f>
        <x:v>0</x:v>
      </x:c>
      <x:c r="I11" s="92" t="n">
        <x:f>VLOOKUP(B11,'03_灵材属性表'!$A$5:$M$22,13,FALSE)</x:f>
        <x:v>1</x:v>
      </x:c>
      <x:c r="J11" s="92" t="n">
        <x:v>1</x:v>
      </x:c>
      <x:c r="K11" s="92" t="n">
        <x:f>I11*J11</x:f>
        <x:v>1</x:v>
      </x:c>
      <x:c r="L11" s="92" t="n">
        <x:f>H11*J11</x:f>
        <x:v>0</x:v>
      </x:c>
      <x:c r="M11" s="92" t="n">
        <x:f>'02_九类属性丹方'!R5*$F$3</x:f>
        <x:v>1</x:v>
      </x:c>
      <x:c r="N11" s="83" t="str">
        <x:f>IF(AND(OR(C11="任一",C11=E11),D11=F11),"通过","不匹配")</x:f>
        <x:v>通过</x:v>
      </x:c>
      <x:c r="O11" s="83" t="str">
        <x:f>IF(K11&gt;=M11,"通过","不足")</x:f>
        <x:v>通过</x:v>
      </x:c>
    </x:row>
    <x:row r="12">
      <x:c r="A12" s="78"/>
      <x:c r="B12" s="78"/>
      <x:c r="C12" s="78"/>
      <x:c r="D12" s="78"/>
      <x:c r="E12" s="78"/>
      <x:c r="F12" s="78"/>
      <x:c r="G12" s="78"/>
      <x:c r="H12" s="78"/>
      <x:c r="I12" s="78"/>
      <x:c r="J12" s="78"/>
      <x:c r="K12" s="78"/>
      <x:c r="L12" s="78"/>
      <x:c r="M12" s="78"/>
      <x:c r="N12" s="78"/>
      <x:c r="O12" s="78"/>
    </x:row>
    <x:row r="13" ht="30" customHeight="1">
      <x:c r="A13" s="79" t="str">
        <x:v>汇总项</x:v>
      </x:c>
      <x:c r="B13" s="79" t="str">
        <x:v>实际值</x:v>
      </x:c>
      <x:c r="C13" s="79" t="str">
        <x:v>目标/上限</x:v>
      </x:c>
      <x:c r="D13" s="79" t="str">
        <x:v>判定</x:v>
      </x:c>
      <x:c r="E13" s="79" t="str">
        <x:v>说明</x:v>
      </x:c>
      <x:c r="F13" s="78"/>
      <x:c r="G13" s="78"/>
      <x:c r="H13" s="78"/>
      <x:c r="I13" s="78"/>
      <x:c r="J13" s="78"/>
      <x:c r="K13" s="78"/>
      <x:c r="L13" s="78"/>
      <x:c r="M13" s="78"/>
      <x:c r="N13" s="78"/>
      <x:c r="O13" s="78"/>
    </x:row>
    <x:row r="14" ht="34" customHeight="1">
      <x:c r="A14" s="83" t="str">
        <x:v>总数量</x:v>
      </x:c>
      <x:c r="B14" s="83" t="n">
        <x:f>SUM(J8:J11)</x:f>
        <x:v>8</x:v>
      </x:c>
      <x:c r="C14" s="83" t="n">
        <x:f>$F$4</x:f>
        <x:v>24</x:v>
      </x:c>
      <x:c r="D14" s="93" t="str">
        <x:f>IF(B14&lt;=C14,"通过","超量")</x:f>
        <x:v>通过</x:v>
      </x:c>
      <x:c r="E14" s="80" t="str">
        <x:v>数量上限防止低阶材料无限堆叠</x:v>
      </x:c>
      <x:c r="F14" s="78"/>
      <x:c r="G14" s="78"/>
      <x:c r="H14" s="78"/>
      <x:c r="I14" s="78"/>
      <x:c r="J14" s="78"/>
      <x:c r="K14" s="78"/>
      <x:c r="L14" s="78"/>
      <x:c r="M14" s="78"/>
      <x:c r="N14" s="78"/>
      <x:c r="O14" s="78"/>
    </x:row>
    <x:row r="15" ht="34" customHeight="1">
      <x:c r="A15" s="83" t="str">
        <x:v>总寒热</x:v>
      </x:c>
      <x:c r="B15" s="83" t="n">
        <x:f>SUM(L8:L11)</x:f>
        <x:v>0</x:v>
      </x:c>
      <x:c r="C15" s="83" t="n">
        <x:f>$B$4</x:f>
        <x:v>0</x:v>
      </x:c>
      <x:c r="D15" s="93" t="str">
        <x:f>IF(ABS(B15-C15)&lt;=$D$4,"通过","失衡")</x:f>
        <x:v>通过</x:v>
      </x:c>
      <x:c r="E15" s="80" t="str">
        <x:v>平衡丹目标为0；偏性丹命中其目标值</x:v>
      </x:c>
      <x:c r="F15" s="78"/>
      <x:c r="G15" s="78"/>
      <x:c r="H15" s="78"/>
      <x:c r="I15" s="78"/>
      <x:c r="J15" s="78"/>
      <x:c r="K15" s="78"/>
      <x:c r="L15" s="78"/>
      <x:c r="M15" s="78"/>
      <x:c r="N15" s="78"/>
      <x:c r="O15" s="78"/>
    </x:row>
    <x:row r="16" ht="34" customHeight="1">
      <x:c r="A16" s="83" t="str">
        <x:v>最终成丹</x:v>
      </x:c>
      <x:c r="B16" s="83" t="str">
        <x:f>IF(AND(COUNTIF(N8:N11,"通过")=4,COUNTIF(O8:O11,"通过")=4,D14="通过",D15="通过"),"可成丹：F01聚元丹","不可成丹")</x:f>
        <x:v>可成丹：F01聚元丹</x:v>
      </x:c>
      <x:c r="C16" s="83" t="str">
        <x:v>F01</x:v>
      </x:c>
      <x:c r="D16" s="93" t="str">
        <x:f>IF(B16="可成丹：F01聚元丹","通过","失败")</x:f>
        <x:v>通过</x:v>
      </x:c>
      <x:c r="E16" s="80" t="str">
        <x:v>方向＋寒热＋药力＋数量全部通过</x:v>
      </x:c>
      <x:c r="F16" s="78"/>
      <x:c r="G16" s="78"/>
      <x:c r="H16" s="78"/>
      <x:c r="I16" s="78"/>
      <x:c r="J16" s="78"/>
      <x:c r="K16" s="78"/>
      <x:c r="L16" s="78"/>
      <x:c r="M16" s="78"/>
      <x:c r="N16" s="78"/>
      <x:c r="O16" s="78"/>
    </x:row>
  </x:sheetData>
  <x:mergeCells>
    <x:mergeCell ref="A1:O1"/>
    <x:mergeCell ref="A2:O2"/>
  </x:mergeCells>
  <x:pageMargins left="0.7" right="0.7" top="0.75" bottom="0.75" header="0.3" footer="0.3"/>
</x:worksheet>
</file>