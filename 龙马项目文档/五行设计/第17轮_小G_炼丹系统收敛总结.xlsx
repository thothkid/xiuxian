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6b28f0e06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第17轮发言" sheetId="1" r:id="R0956e9254fb14e4b"/>
    <x:sheet xmlns:r="http://schemas.openxmlformats.org/officeDocument/2006/relationships" name="01_第16轮会师" sheetId="2" r:id="R64d443ca000848aa"/>
    <x:sheet xmlns:r="http://schemas.openxmlformats.org/officeDocument/2006/relationships" name="02_丹方数量核算" sheetId="3" r:id="R1762f7a5d6d44280"/>
    <x:sheet xmlns:r="http://schemas.openxmlformats.org/officeDocument/2006/relationships" name="03_九类结构与多解" sheetId="4" r:id="R9cf34976acd548b4"/>
    <x:sheet xmlns:r="http://schemas.openxmlformats.org/officeDocument/2006/relationships" name="04_多解与经济循环" sheetId="5" r:id="R299c3952daee418a"/>
    <x:sheet xmlns:r="http://schemas.openxmlformats.org/officeDocument/2006/relationships" name="05_品质成功技能分工" sheetId="6" r:id="Rddde713c4126485e"/>
    <x:sheet xmlns:r="http://schemas.openxmlformats.org/officeDocument/2006/relationships" name="06_槽位与药引" sheetId="7" r:id="Re26fc10bfaa244d8"/>
    <x:sheet xmlns:r="http://schemas.openxmlformats.org/officeDocument/2006/relationships" name="07_灵植规模与字段" sheetId="8" r:id="R3896973838154c14"/>
    <x:sheet xmlns:r="http://schemas.openxmlformats.org/officeDocument/2006/relationships" name="08_待裁清单" sheetId="9" r:id="Rdb334b74a48641f0"/>
    <x:sheet xmlns:r="http://schemas.openxmlformats.org/officeDocument/2006/relationships" name="09_第18轮入口" sheetId="10" r:id="Refc2bf23bdd647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20"/>
      <x:color rgb="FFFFFFFF"/>
      <x:name val="Microsoft YaHei"/>
    </x:font>
    <x:font>
      <x:sz val="10"/>
      <x:color rgb="FFFFFFFF"/>
      <x:name val="Microsoft YaHei"/>
    </x:font>
    <x:font>
      <x:b/>
      <x:sz val="12"/>
      <x:color rgb="FF17212B"/>
      <x:name val="Microsoft YaHei"/>
    </x:font>
    <x:font>
      <x:sz val="10"/>
      <x:color rgb="FF17212B"/>
      <x:name val="Microsoft YaHei"/>
    </x:font>
    <x:font>
      <x:b/>
      <x:sz val="10"/>
      <x:color rgb="FFFFFFFF"/>
      <x:name val="Microsoft YaHei"/>
    </x:font>
    <x:font>
      <x:sz val="10"/>
      <x:color rgb="FFA94B4B"/>
      <x:name val="Microsoft YaHei"/>
    </x:font>
    <x:font>
      <x:b/>
      <x:sz val="10"/>
      <x:color rgb="FF17212B"/>
      <x:name val="Microsoft YaHei"/>
    </x:font>
    <x:font>
      <x:b/>
      <x:sz val="10"/>
      <x:color rgb="FF2D5B4B"/>
      <x:name val="Microsoft YaHei"/>
    </x:font>
    <x:font>
      <x:b/>
      <x:sz val="10"/>
      <x:color rgb="FF7B5815"/>
      <x:name val="Microsoft YaHei"/>
    </x:font>
    <x:font>
      <x:sz val="10"/>
      <x:color rgb="FF2D5B4B"/>
      <x:name val="Microsoft YaHei"/>
    </x:font>
  </x:fonts>
  <x:fills count="16">
    <x:fill>
      <x:patternFill patternType="none"/>
    </x:fill>
    <x:fill>
      <x:patternFill patternType="gray125"/>
    </x:fill>
    <x:fill>
      <x:patternFill patternType="solid">
        <x:fgColor rgb="FF203647"/>
      </x:patternFill>
    </x:fill>
    <x:fill>
      <x:patternFill patternType="solid">
        <x:fgColor rgb="FF2F6B63"/>
      </x:patternFill>
    </x:fill>
    <x:fill>
      <x:patternFill patternType="solid">
        <x:fgColor rgb="FFF7EED8"/>
      </x:patternFill>
    </x:fill>
    <x:fill>
      <x:patternFill patternType="solid">
        <x:fgColor rgb="FFDDEDE6"/>
      </x:patternFill>
    </x:fill>
    <x:fill>
      <x:patternFill patternType="solid">
        <x:fgColor rgb="FFFFFFFF"/>
      </x:patternFill>
    </x:fill>
    <x:fill>
      <x:patternFill patternType="solid">
        <x:fgColor rgb="FFF8E4E1"/>
      </x:patternFill>
    </x:fill>
    <x:fill>
      <x:patternFill patternType="solid">
        <x:fgColor rgb="FFEEF1F3"/>
      </x:patternFill>
    </x:fill>
    <x:fill>
      <x:patternFill patternType="solid">
        <x:fgColor rgb="FFE7F0F7"/>
      </x:patternFill>
    </x:fill>
    <x:fill>
      <x:patternFill patternType="solid">
        <x:fgColor rgb="FF203647"/>
      </x:patternFill>
    </x:fill>
    <x:fill>
      <x:patternFill patternType="solid">
        <x:fgColor rgb="FF2F6B63"/>
      </x:patternFill>
    </x:fill>
    <x:fill>
      <x:patternFill patternType="solid">
        <x:fgColor rgb="FFF7EED8"/>
      </x:patternFill>
    </x:fill>
    <x:fill>
      <x:patternFill patternType="solid">
        <x:fgColor rgb="FFFFFFFF"/>
      </x:patternFill>
    </x:fill>
    <x:fill>
      <x:patternFill patternType="solid">
        <x:fgColor rgb="FFDDEDE6"/>
      </x:patternFill>
    </x:fill>
    <x:fill>
      <x:patternFill patternType="solid">
        <x:fgColor rgb="FFEEF1F3"/>
      </x:patternFill>
    </x:fill>
  </x:fills>
  <x:borders count="5">
    <x:border/>
    <x:border>
      <x:left style="thin">
        <x:color rgb="FFCBD2D7"/>
      </x:left>
      <x:top style="thin">
        <x:color rgb="FFCBD2D7"/>
      </x:top>
      <x:bottom style="thin">
        <x:color rgb="FFCBD2D7"/>
      </x:bottom>
    </x:border>
    <x:border>
      <x:top style="thin">
        <x:color rgb="FFCBD2D7"/>
      </x:top>
      <x:bottom style="thin">
        <x:color rgb="FFCBD2D7"/>
      </x:bottom>
    </x:border>
    <x:border>
      <x:right style="thin">
        <x:color rgb="FFCBD2D7"/>
      </x:right>
      <x:top style="thin">
        <x:color rgb="FFCBD2D7"/>
      </x:top>
      <x:bottom style="thin">
        <x:color rgb="FFCBD2D7"/>
      </x:bottom>
    </x:border>
    <x:border>
      <x:left style="thin">
        <x:color rgb="FFCBD2D7"/>
      </x:left>
      <x:right style="thin">
        <x:color rgb="FFCBD2D7"/>
      </x:right>
      <x:top style="thin">
        <x:color rgb="FFCBD2D7"/>
      </x:top>
      <x:bottom style="thin">
        <x:color rgb="FFCBD2D7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4" xfId="0" applyNumberFormat="1" applyFont="1" applyFill="1" applyBorder="1"/>
    <x:xf numFmtId="0" fontId="5" fillId="2" borderId="4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4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4" xfId="0" applyNumberFormat="1" applyFont="1" applyFill="1" applyBorder="1"/>
    <x:xf numFmtId="0" fontId="4" fillId="8" borderId="4" xfId="0" applyNumberFormat="1" applyFont="1" applyFill="1" applyBorder="1" applyAlignment="1">
      <x:alignment wrapText="1"/>
    </x:xf>
    <x:xf numFmtId="0" fontId="4" fillId="8" borderId="4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2" xfId="0" applyNumberFormat="1" applyFont="1" applyFill="1" applyBorder="1"/>
    <x:xf numFmtId="0" fontId="7" fillId="4" borderId="3" xfId="0" applyNumberFormat="1" applyFont="1" applyFill="1" applyBorder="1"/>
    <x:xf numFmtId="0" fontId="7" fillId="2" borderId="4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7" fillId="4" borderId="2" xfId="0" applyNumberFormat="1" applyFont="1" applyFill="1" applyBorder="1" applyAlignment="1">
      <x:alignment vertical="center"/>
    </x:xf>
    <x:xf numFmtId="0" fontId="7" fillId="4" borderId="3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8" fillId="5" borderId="4" xfId="0" applyNumberFormat="1" applyFont="1" applyFill="1" applyBorder="1" applyAlignment="1">
      <x:alignment vertical="center" wrapText="1"/>
    </x:xf>
    <x:xf numFmtId="0" fontId="9" fillId="4" borderId="4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4" xfId="0" applyNumberFormat="1" applyFont="1" applyFill="1" applyBorder="1"/>
    <x:xf numFmtId="0" fontId="4" fillId="9" borderId="4" xfId="0" applyNumberFormat="1" applyFont="1" applyFill="1" applyBorder="1" applyAlignment="1">
      <x:alignment wrapText="1"/>
    </x:xf>
    <x:xf numFmtId="0" fontId="4" fillId="9" borderId="4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1" xfId="0" applyNumberFormat="1" applyFont="1" applyFill="1" applyBorder="1"/>
    <x:xf numFmtId="0" fontId="3" fillId="12" borderId="2" xfId="0" applyNumberFormat="1" applyFont="1" applyFill="1" applyBorder="1"/>
    <x:xf numFmtId="0" fontId="3" fillId="12" borderId="3" xfId="0" applyNumberFormat="1" applyFont="1" applyFill="1" applyBorder="1"/>
    <x:xf numFmtId="0" fontId="5" fillId="10" borderId="0" xfId="0" applyNumberFormat="1" applyFont="1" applyFill="1" applyBorder="1"/>
    <x:xf numFmtId="0" fontId="5" fillId="10" borderId="4" xfId="0" applyNumberFormat="1" applyFont="1" applyFill="1" applyBorder="1"/>
    <x:xf numFmtId="0" fontId="5" fillId="10" borderId="4" xfId="0" applyNumberFormat="1" applyFont="1" applyFill="1" applyBorder="1" applyAlignment="1">
      <x:alignment wrapText="1"/>
    </x:xf>
    <x:xf numFmtId="0" fontId="5" fillId="10" borderId="4" xfId="0" applyNumberFormat="1" applyFont="1" applyFill="1" applyBorder="1" applyAlignment="1">
      <x:alignment horizontal="center" wrapText="1"/>
    </x:xf>
    <x:xf numFmtId="0" fontId="5" fillId="10" borderId="4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4" xfId="0" applyNumberFormat="1" applyFont="1" applyFill="1" applyBorder="1"/>
    <x:xf numFmtId="0" fontId="4" fillId="13" borderId="4" xfId="0" applyNumberFormat="1" applyFont="1" applyFill="1" applyBorder="1" applyAlignment="1">
      <x:alignment wrapText="1"/>
    </x:xf>
    <x:xf numFmtId="0" fontId="4" fillId="13" borderId="4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4" xfId="0" applyNumberFormat="1" applyFont="1" applyFill="1" applyBorder="1"/>
    <x:xf numFmtId="0" fontId="10" fillId="14" borderId="4" xfId="0" applyNumberFormat="1" applyFont="1" applyFill="1" applyBorder="1" applyAlignment="1">
      <x:alignment wrapText="1"/>
    </x:xf>
    <x:xf numFmtId="0" fontId="10" fillId="14" borderId="4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4" xfId="0" applyNumberFormat="1" applyFont="1" applyFill="1" applyBorder="1"/>
    <x:xf numFmtId="0" fontId="4" fillId="15" borderId="4" xfId="0" applyNumberFormat="1" applyFont="1" applyFill="1" applyBorder="1" applyAlignment="1">
      <x:alignment wrapText="1"/>
    </x:xf>
    <x:xf numFmtId="0" fontId="4" fillId="15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0">
    <x:dxf>
      <x:font>
        <x:b/>
        <x:color rgb="FF2D5B4B"/>
      </x:font>
      <x:fill>
        <x:patternFill>
          <x:bgColor rgb="FFDDEDE6"/>
        </x:patternFill>
      </x:fill>
    </x:dxf>
    <x:dxf>
      <x:font>
        <x:b/>
        <x:color rgb="FF203647"/>
      </x:font>
      <x:fill>
        <x:patternFill>
          <x:bgColor rgb="FFE7F0F7"/>
        </x:patternFill>
      </x:fill>
    </x:dxf>
    <x:dxf>
      <x:font>
        <x:b/>
        <x:color rgb="FF7B5815"/>
      </x:font>
      <x:fill>
        <x:patternFill>
          <x:bgColor rgb="FFF7EED8"/>
        </x:patternFill>
      </x:fill>
    </x:dxf>
    <x:dxf>
      <x:font>
        <x:b/>
        <x:color rgb="FFA94B4B"/>
      </x:font>
      <x:fill>
        <x:patternFill>
          <x:bgColor rgb="FFF8E4E1"/>
        </x:patternFill>
      </x:fill>
    </x:dxf>
    <x:dxf>
      <x:font>
        <x:b/>
        <x:color rgb="FF2D5B4B"/>
      </x:font>
      <x:fill>
        <x:patternFill>
          <x:bgColor rgb="FFDDEDE6"/>
        </x:patternFill>
      </x:fill>
    </x:dxf>
    <x:dxf>
      <x:font>
        <x:b/>
        <x:color rgb="FF203647"/>
      </x:font>
      <x:fill>
        <x:patternFill>
          <x:bgColor rgb="FFE7F0F7"/>
        </x:patternFill>
      </x:fill>
    </x:dxf>
    <x:dxf>
      <x:font>
        <x:b/>
        <x:color rgb="FF7B5815"/>
      </x:font>
      <x:fill>
        <x:patternFill>
          <x:bgColor rgb="FFF7EED8"/>
        </x:patternFill>
      </x:fill>
    </x:dxf>
    <x:dxf>
      <x:font>
        <x:b/>
        <x:color rgb="FFA94B4B"/>
      </x:font>
      <x:fill>
        <x:patternFill>
          <x:bgColor rgb="FFF8E4E1"/>
        </x:patternFill>
      </x:fill>
    </x:dxf>
    <x:dxf>
      <x:font>
        <x:b/>
        <x:color rgb="FF2D5B4B"/>
      </x:font>
      <x:fill>
        <x:patternFill>
          <x:bgColor rgb="FFDDEDE6"/>
        </x:patternFill>
      </x:fill>
    </x:dxf>
    <x:dxf>
      <x:font>
        <x:b/>
        <x:color rgb="FF203647"/>
      </x:font>
      <x:fill>
        <x:patternFill>
          <x:bgColor rgb="FFE7F0F7"/>
        </x:patternFill>
      </x:fill>
    </x:dxf>
    <x:dxf>
      <x:font>
        <x:b/>
        <x:color rgb="FF7B5815"/>
      </x:font>
      <x:fill>
        <x:patternFill>
          <x:bgColor rgb="FFF7EED8"/>
        </x:patternFill>
      </x:fill>
    </x:dxf>
    <x:dxf>
      <x:font>
        <x:b/>
        <x:color rgb="FFA94B4B"/>
      </x:font>
      <x:fill>
        <x:patternFill>
          <x:bgColor rgb="FFF8E4E1"/>
        </x:patternFill>
      </x:fill>
    </x:dxf>
    <x:dxf>
      <x:font>
        <x:b/>
        <x:color rgb="FF2D5B4B"/>
      </x:font>
      <x:fill>
        <x:patternFill>
          <x:bgColor rgb="FFDDEDE6"/>
        </x:patternFill>
      </x:fill>
    </x:dxf>
    <x:dxf>
      <x:font>
        <x:b/>
        <x:color rgb="FF203647"/>
      </x:font>
      <x:fill>
        <x:patternFill>
          <x:bgColor rgb="FFE7F0F7"/>
        </x:patternFill>
      </x:fill>
    </x:dxf>
    <x:dxf>
      <x:font>
        <x:b/>
        <x:color rgb="FF7B5815"/>
      </x:font>
      <x:fill>
        <x:patternFill>
          <x:bgColor rgb="FFF7EED8"/>
        </x:patternFill>
      </x:fill>
    </x:dxf>
    <x:dxf>
      <x:font>
        <x:b/>
        <x:color rgb="FFA94B4B"/>
      </x:font>
      <x:fill>
        <x:patternFill>
          <x:bgColor rgb="FFF8E4E1"/>
        </x:patternFill>
      </x:fill>
    </x:dxf>
    <x:dxf>
      <x:font>
        <x:b/>
        <x:color rgb="FF2D5B4B"/>
      </x:font>
      <x:fill>
        <x:patternFill>
          <x:bgColor rgb="FFDDEDE6"/>
        </x:patternFill>
      </x:fill>
    </x:dxf>
    <x:dxf>
      <x:font>
        <x:b/>
        <x:color rgb="FF203647"/>
      </x:font>
      <x:fill>
        <x:patternFill>
          <x:bgColor rgb="FFE7F0F7"/>
        </x:patternFill>
      </x:fill>
    </x:dxf>
    <x:dxf>
      <x:font>
        <x:b/>
        <x:color rgb="FF7B5815"/>
      </x:font>
      <x:fill>
        <x:patternFill>
          <x:bgColor rgb="FFF7EED8"/>
        </x:patternFill>
      </x:fill>
    </x:dxf>
    <x:dxf>
      <x:font>
        <x:b/>
        <x:color rgb="FFA94B4B"/>
      </x:font>
      <x:fill>
        <x:patternFill>
          <x:bgColor rgb="FFF8E4E1"/>
        </x:patternFill>
      </x:fill>
    </x:dxf>
    <x:dxf>
      <x:font>
        <x:b/>
        <x:color rgb="FF2D5B4B"/>
      </x:font>
      <x:fill>
        <x:patternFill>
          <x:bgColor rgb="FFDDEDE6"/>
        </x:patternFill>
      </x:fill>
    </x:dxf>
    <x:dxf>
      <x:font>
        <x:b/>
        <x:color rgb="FF203647"/>
      </x:font>
      <x:fill>
        <x:patternFill>
          <x:bgColor rgb="FFE7F0F7"/>
        </x:patternFill>
      </x:fill>
    </x:dxf>
    <x:dxf>
      <x:font>
        <x:b/>
        <x:color rgb="FF7B5815"/>
      </x:font>
      <x:fill>
        <x:patternFill>
          <x:bgColor rgb="FFF7EED8"/>
        </x:patternFill>
      </x:fill>
    </x:dxf>
    <x:dxf>
      <x:font>
        <x:b/>
        <x:color rgb="FFA94B4B"/>
      </x:font>
      <x:fill>
        <x:patternFill>
          <x:bgColor rgb="FFF8E4E1"/>
        </x:patternFill>
      </x:fill>
    </x:dxf>
    <x:dxf>
      <x:font>
        <x:b/>
        <x:color rgb="FF2D5B4B"/>
      </x:font>
      <x:fill>
        <x:patternFill>
          <x:bgColor rgb="FFDDEDE6"/>
        </x:patternFill>
      </x:fill>
    </x:dxf>
    <x:dxf>
      <x:font>
        <x:b/>
        <x:color rgb="FF203647"/>
      </x:font>
      <x:fill>
        <x:patternFill>
          <x:bgColor rgb="FFE7F0F7"/>
        </x:patternFill>
      </x:fill>
    </x:dxf>
    <x:dxf>
      <x:font>
        <x:b/>
        <x:color rgb="FF7B5815"/>
      </x:font>
      <x:fill>
        <x:patternFill>
          <x:bgColor rgb="FFF7EED8"/>
        </x:patternFill>
      </x:fill>
    </x:dxf>
    <x:dxf>
      <x:font>
        <x:b/>
        <x:color rgb="FFA94B4B"/>
      </x:font>
      <x:fill>
        <x:patternFill>
          <x:bgColor rgb="FFF8E4E1"/>
        </x:patternFill>
      </x:fill>
    </x:dxf>
    <x:dxf>
      <x:font>
        <x:b/>
        <x:color rgb="FF2D5B4B"/>
      </x:font>
      <x:fill>
        <x:patternFill>
          <x:bgColor rgb="FFDDEDE6"/>
        </x:patternFill>
      </x:fill>
    </x:dxf>
    <x:dxf>
      <x:font>
        <x:b/>
        <x:color rgb="FF203647"/>
      </x:font>
      <x:fill>
        <x:patternFill>
          <x:bgColor rgb="FFE7F0F7"/>
        </x:patternFill>
      </x:fill>
    </x:dxf>
    <x:dxf>
      <x:font>
        <x:b/>
        <x:color rgb="FF7B5815"/>
      </x:font>
      <x:fill>
        <x:patternFill>
          <x:bgColor rgb="FFF7EED8"/>
        </x:patternFill>
      </x:fill>
    </x:dxf>
    <x:dxf>
      <x:font>
        <x:b/>
        <x:color rgb="FFA94B4B"/>
      </x:font>
      <x:fill>
        <x:patternFill>
          <x:bgColor rgb="FFF8E4E1"/>
        </x:patternFill>
      </x:fill>
    </x:dxf>
    <x:dxf>
      <x:font>
        <x:b/>
        <x:color rgb="FF2D5B4B"/>
      </x:font>
      <x:fill>
        <x:patternFill>
          <x:bgColor rgb="FFDDEDE6"/>
        </x:patternFill>
      </x:fill>
    </x:dxf>
    <x:dxf>
      <x:font>
        <x:b/>
        <x:color rgb="FF203647"/>
      </x:font>
      <x:fill>
        <x:patternFill>
          <x:bgColor rgb="FFE7F0F7"/>
        </x:patternFill>
      </x:fill>
    </x:dxf>
    <x:dxf>
      <x:font>
        <x:b/>
        <x:color rgb="FF7B5815"/>
      </x:font>
      <x:fill>
        <x:patternFill>
          <x:bgColor rgb="FFF7EED8"/>
        </x:patternFill>
      </x:fill>
    </x:dxf>
    <x:dxf>
      <x:font>
        <x:b/>
        <x:color rgb="FFA94B4B"/>
      </x:font>
      <x:fill>
        <x:patternFill>
          <x:bgColor rgb="FFF8E4E1"/>
        </x:patternFill>
      </x:fill>
    </x:dxf>
    <x:dxf>
      <x:font>
        <x:b/>
        <x:color rgb="FF2D5B4B"/>
      </x:font>
      <x:fill>
        <x:patternFill>
          <x:bgColor rgb="FFDDEDE6"/>
        </x:patternFill>
      </x:fill>
    </x:dxf>
    <x:dxf>
      <x:font>
        <x:b/>
        <x:color rgb="FF203647"/>
      </x:font>
      <x:fill>
        <x:patternFill>
          <x:bgColor rgb="FFE7F0F7"/>
        </x:patternFill>
      </x:fill>
    </x:dxf>
    <x:dxf>
      <x:font>
        <x:b/>
        <x:color rgb="FF7B5815"/>
      </x:font>
      <x:fill>
        <x:patternFill>
          <x:bgColor rgb="FFF7EED8"/>
        </x:patternFill>
      </x:fill>
    </x:dxf>
    <x:dxf>
      <x:font>
        <x:b/>
        <x:color rgb="FFA94B4B"/>
      </x:font>
      <x:fill>
        <x:patternFill>
          <x:bgColor rgb="FFF8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05d5dce3ab49d4" /><Relationship Type="http://schemas.openxmlformats.org/officeDocument/2006/relationships/theme" Target="/xl/theme/theme1.xml" Id="R55fe71dd1a354a4b" /><Relationship Type="http://schemas.openxmlformats.org/officeDocument/2006/relationships/sharedStrings" Target="/xl/sharedStrings.xml" Id="R01fdac59688f4dde" /><Relationship Type="http://schemas.openxmlformats.org/officeDocument/2006/relationships/worksheet" Target="/xl/worksheets/sheet1.xml" Id="R0956e9254fb14e4b" /><Relationship Type="http://schemas.openxmlformats.org/officeDocument/2006/relationships/worksheet" Target="/xl/worksheets/sheet2.xml" Id="R64d443ca000848aa" /><Relationship Type="http://schemas.openxmlformats.org/officeDocument/2006/relationships/worksheet" Target="/xl/worksheets/sheet3.xml" Id="R1762f7a5d6d44280" /><Relationship Type="http://schemas.openxmlformats.org/officeDocument/2006/relationships/worksheet" Target="/xl/worksheets/sheet4.xml" Id="R9cf34976acd548b4" /><Relationship Type="http://schemas.openxmlformats.org/officeDocument/2006/relationships/worksheet" Target="/xl/worksheets/sheet5.xml" Id="R299c3952daee418a" /><Relationship Type="http://schemas.openxmlformats.org/officeDocument/2006/relationships/worksheet" Target="/xl/worksheets/sheet6.xml" Id="Rddde713c4126485e" /><Relationship Type="http://schemas.openxmlformats.org/officeDocument/2006/relationships/worksheet" Target="/xl/worksheets/sheet7.xml" Id="Re26fc10bfaa244d8" /><Relationship Type="http://schemas.openxmlformats.org/officeDocument/2006/relationships/worksheet" Target="/xl/worksheets/sheet8.xml" Id="R3896973838154c14" /><Relationship Type="http://schemas.openxmlformats.org/officeDocument/2006/relationships/worksheet" Target="/xl/worksheets/sheet9.xml" Id="Rdb334b74a48641f0" /><Relationship Type="http://schemas.openxmlformats.org/officeDocument/2006/relationships/worksheet" Target="/xl/worksheets/sheet10.xml" Id="Refc2bf23bdd647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25" hidden="0" customWidth="1"/>
    <x:col min="5" max="5" width="18" hidden="0" customWidth="1"/>
    <x:col min="6" max="6" width="12" hidden="0" customWidth="1"/>
    <x:col min="7" max="7" width="12" hidden="0" customWidth="1"/>
    <x:col min="8" max="8" width="30" hidden="0" customWidth="1"/>
  </x:cols>
  <x:sheetData>
    <x:row r="1" ht="15" hidden="0" customHeight="1">
      <x:c r="A1" s="55" t="str">
        <x:v>第17轮发言｜炼丹系统收敛总纲</x:v>
      </x:c>
      <x:c r="B1" s="55" t="str">
        <x:v>第17轮发言｜炼丹系统收敛总纲</x:v>
      </x:c>
      <x:c r="C1" s="55" t="str">
        <x:v>第17轮发言｜炼丹系统收敛总纲</x:v>
      </x:c>
      <x:c r="D1" s="55" t="str">
        <x:v>第17轮发言｜炼丹系统收敛总纲</x:v>
      </x:c>
      <x:c r="E1" s="55" t="str">
        <x:v>第17轮发言｜炼丹系统收敛总纲</x:v>
      </x:c>
      <x:c r="F1" s="55" t="str">
        <x:v>第17轮发言｜炼丹系统收敛总纲</x:v>
      </x:c>
      <x:c r="G1" s="55" t="str">
        <x:v>第17轮发言｜炼丹系统收敛总纲</x:v>
      </x:c>
      <x:c r="H1" s="55" t="str">
        <x:v>第17轮发言｜炼丹系统收敛总纲</x:v>
      </x:c>
    </x:row>
    <x:row r="2" ht="15" hidden="0" customHeight="1">
      <x:c r="A2" s="56" t="str">
        <x:v>小G｜综合第16轮小C、小G、小龙全部发言，并纳入其后关于丹方数量、3—6种解法、经济、丹炉、技能与灵植品质的讨论</x:v>
      </x:c>
      <x:c r="B2" s="56" t="str">
        <x:v>小G｜综合第16轮小C、小G、小龙全部发言，并纳入其后关于丹方数量、3—6种解法、经济、丹炉、技能与灵植品质的讨论</x:v>
      </x:c>
      <x:c r="C2" s="56" t="str">
        <x:v>小G｜综合第16轮小C、小G、小龙全部发言，并纳入其后关于丹方数量、3—6种解法、经济、丹炉、技能与灵植品质的讨论</x:v>
      </x:c>
      <x:c r="D2" s="56" t="str">
        <x:v>小G｜综合第16轮小C、小G、小龙全部发言，并纳入其后关于丹方数量、3—6种解法、经济、丹炉、技能与灵植品质的讨论</x:v>
      </x:c>
      <x:c r="E2" s="56" t="str">
        <x:v>小G｜综合第16轮小C、小G、小龙全部发言，并纳入其后关于丹方数量、3—6种解法、经济、丹炉、技能与灵植品质的讨论</x:v>
      </x:c>
      <x:c r="F2" s="56" t="str">
        <x:v>小G｜综合第16轮小C、小G、小龙全部发言，并纳入其后关于丹方数量、3—6种解法、经济、丹炉、技能与灵植品质的讨论</x:v>
      </x:c>
      <x:c r="G2" s="56" t="str">
        <x:v>小G｜综合第16轮小C、小G、小龙全部发言，并纳入其后关于丹方数量、3—6种解法、经济、丹炉、技能与灵植品质的讨论</x:v>
      </x:c>
      <x:c r="H2" s="56" t="str">
        <x:v>小G｜综合第16轮小C、小G、小龙全部发言，并纳入其后关于丹方数量、3—6种解法、经济、丹炉、技能与灵植品质的讨论</x:v>
      </x:c>
    </x:row>
    <x:row r="3" ht="15" hidden="0" customHeight="1">
      <x:c r="A3" s="57"/>
      <x:c r="B3" s="57"/>
      <x:c r="C3" s="57"/>
      <x:c r="D3" s="57"/>
      <x:c r="E3" s="57"/>
      <x:c r="F3" s="57"/>
      <x:c r="G3" s="57"/>
      <x:c r="H3" s="57"/>
    </x:row>
    <x:row r="4" ht="15" hidden="0" customHeight="1">
      <x:c r="A4" s="58" t="str">
        <x:v>本轮一句话结论</x:v>
      </x:c>
      <x:c r="B4" s="59" t="str">
        <x:v>本轮一句话结论</x:v>
      </x:c>
      <x:c r="C4" s="59" t="str">
        <x:v>本轮一句话结论</x:v>
      </x:c>
      <x:c r="D4" s="59" t="str">
        <x:v>本轮一句话结论</x:v>
      </x:c>
      <x:c r="E4" s="59" t="str">
        <x:v>本轮一句话结论</x:v>
      </x:c>
      <x:c r="F4" s="59" t="str">
        <x:v>本轮一句话结论</x:v>
      </x:c>
      <x:c r="G4" s="59" t="str">
        <x:v>本轮一句话结论</x:v>
      </x:c>
      <x:c r="H4" s="60" t="str">
        <x:v>本轮一句话结论</x:v>
      </x:c>
    </x:row>
    <x:row r="5">
      <x:c r="A5" s="18" t="str">
        <x:v>第16轮已经把“炼丹是什么”说清：丹方不是材料ID清单，而是一组可求解的属性约束。第17轮进一步把它落成可生产的游戏结构：丹方模板固定属性与门槛，策划为每条模板认证3—6套代表性解法，玩家实际可用更多符合条件的灵植组合；成功率与成品品质分开结算。</x:v>
      </x:c>
      <x:c r="B5" s="18" t="str">
        <x:v>第16轮已经把“炼丹是什么”说清：丹方不是材料ID清单，而是一组可求解的属性约束。第17轮进一步把它落成可生产的游戏结构：丹方模板固定属性与门槛，策划为每条模板认证3—6套代表性解法，玩家实际可用更多符合条件的灵植组合；成功率与成品品质分开结算。</x:v>
      </x:c>
      <x:c r="C5" s="18" t="str">
        <x:v>第16轮已经把“炼丹是什么”说清：丹方不是材料ID清单，而是一组可求解的属性约束。第17轮进一步把它落成可生产的游戏结构：丹方模板固定属性与门槛，策划为每条模板认证3—6套代表性解法，玩家实际可用更多符合条件的灵植组合；成功率与成品品质分开结算。</x:v>
      </x:c>
      <x:c r="D5" s="18" t="str">
        <x:v>第16轮已经把“炼丹是什么”说清：丹方不是材料ID清单，而是一组可求解的属性约束。第17轮进一步把它落成可生产的游戏结构：丹方模板固定属性与门槛，策划为每条模板认证3—6套代表性解法，玩家实际可用更多符合条件的灵植组合；成功率与成品品质分开结算。</x:v>
      </x:c>
      <x:c r="E5" s="18" t="str">
        <x:v>第16轮已经把“炼丹是什么”说清：丹方不是材料ID清单，而是一组可求解的属性约束。第17轮进一步把它落成可生产的游戏结构：丹方模板固定属性与门槛，策划为每条模板认证3—6套代表性解法，玩家实际可用更多符合条件的灵植组合；成功率与成品品质分开结算。</x:v>
      </x:c>
      <x:c r="F5" s="18" t="str">
        <x:v>第16轮已经把“炼丹是什么”说清：丹方不是材料ID清单，而是一组可求解的属性约束。第17轮进一步把它落成可生产的游戏结构：丹方模板固定属性与门槛，策划为每条模板认证3—6套代表性解法，玩家实际可用更多符合条件的灵植组合；成功率与成品品质分开结算。</x:v>
      </x:c>
      <x:c r="G5" s="18" t="str">
        <x:v>第16轮已经把“炼丹是什么”说清：丹方不是材料ID清单，而是一组可求解的属性约束。第17轮进一步把它落成可生产的游戏结构：丹方模板固定属性与门槛，策划为每条模板认证3—6套代表性解法，玩家实际可用更多符合条件的灵植组合；成功率与成品品质分开结算。</x:v>
      </x:c>
      <x:c r="H5" s="18" t="str">
        <x:v>第16轮已经把“炼丹是什么”说清：丹方不是材料ID清单，而是一组可求解的属性约束。第17轮进一步把它落成可生产的游戏结构：丹方模板固定属性与门槛，策划为每条模板认证3—6套代表性解法，玩家实际可用更多符合条件的灵植组合；成功率与成品品质分开结算。</x:v>
      </x:c>
    </x:row>
    <x:row r="6">
      <x:c r="A6" s="18" t="str">
        <x:v>第16轮已经把“炼丹是什么”说清：丹方不是材料ID清单，而是一组可求解的属性约束。第17轮进一步把它落成可生产的游戏结构：丹方模板固定属性与门槛，策划为每条模板认证3—6套代表性解法，玩家实际可用更多符合条件的灵植组合；成功率与成品品质分开结算。</x:v>
      </x:c>
      <x:c r="B6" s="18" t="str">
        <x:v>第16轮已经把“炼丹是什么”说清：丹方不是材料ID清单，而是一组可求解的属性约束。第17轮进一步把它落成可生产的游戏结构：丹方模板固定属性与门槛，策划为每条模板认证3—6套代表性解法，玩家实际可用更多符合条件的灵植组合；成功率与成品品质分开结算。</x:v>
      </x:c>
      <x:c r="C6" s="18" t="str">
        <x:v>第16轮已经把“炼丹是什么”说清：丹方不是材料ID清单，而是一组可求解的属性约束。第17轮进一步把它落成可生产的游戏结构：丹方模板固定属性与门槛，策划为每条模板认证3—6套代表性解法，玩家实际可用更多符合条件的灵植组合；成功率与成品品质分开结算。</x:v>
      </x:c>
      <x:c r="D6" s="18" t="str">
        <x:v>第16轮已经把“炼丹是什么”说清：丹方不是材料ID清单，而是一组可求解的属性约束。第17轮进一步把它落成可生产的游戏结构：丹方模板固定属性与门槛，策划为每条模板认证3—6套代表性解法，玩家实际可用更多符合条件的灵植组合；成功率与成品品质分开结算。</x:v>
      </x:c>
      <x:c r="E6" s="18" t="str">
        <x:v>第16轮已经把“炼丹是什么”说清：丹方不是材料ID清单，而是一组可求解的属性约束。第17轮进一步把它落成可生产的游戏结构：丹方模板固定属性与门槛，策划为每条模板认证3—6套代表性解法，玩家实际可用更多符合条件的灵植组合；成功率与成品品质分开结算。</x:v>
      </x:c>
      <x:c r="F6" s="18" t="str">
        <x:v>第16轮已经把“炼丹是什么”说清：丹方不是材料ID清单，而是一组可求解的属性约束。第17轮进一步把它落成可生产的游戏结构：丹方模板固定属性与门槛，策划为每条模板认证3—6套代表性解法，玩家实际可用更多符合条件的灵植组合；成功率与成品品质分开结算。</x:v>
      </x:c>
      <x:c r="G6" s="18" t="str">
        <x:v>第16轮已经把“炼丹是什么”说清：丹方不是材料ID清单，而是一组可求解的属性约束。第17轮进一步把它落成可生产的游戏结构：丹方模板固定属性与门槛，策划为每条模板认证3—6套代表性解法，玩家实际可用更多符合条件的灵植组合；成功率与成品品质分开结算。</x:v>
      </x:c>
      <x:c r="H6" s="18" t="str">
        <x:v>第16轮已经把“炼丹是什么”说清：丹方不是材料ID清单，而是一组可求解的属性约束。第17轮进一步把它落成可生产的游戏结构：丹方模板固定属性与门槛，策划为每条模板认证3—6套代表性解法，玩家实际可用更多符合条件的灵植组合；成功率与成品品质分开结算。</x:v>
      </x:c>
    </x:row>
    <x:row r="7" ht="15" hidden="0" customHeight="1">
      <x:c r="A7" s="57"/>
      <x:c r="B7" s="57"/>
      <x:c r="C7" s="57"/>
      <x:c r="D7" s="57"/>
      <x:c r="E7" s="57"/>
      <x:c r="F7" s="57"/>
      <x:c r="G7" s="57"/>
      <x:c r="H7" s="57"/>
    </x:row>
    <x:row r="8" ht="15" hidden="0" customHeight="1">
      <x:c r="A8" s="58" t="str">
        <x:v>一、已达成的系统共识</x:v>
      </x:c>
      <x:c r="B8" s="59" t="str">
        <x:v>一、已达成的系统共识</x:v>
      </x:c>
      <x:c r="C8" s="59" t="str">
        <x:v>一、已达成的系统共识</x:v>
      </x:c>
      <x:c r="D8" s="59" t="str">
        <x:v>一、已达成的系统共识</x:v>
      </x:c>
      <x:c r="E8" s="59" t="str">
        <x:v>一、已达成的系统共识</x:v>
      </x:c>
      <x:c r="F8" s="59" t="str">
        <x:v>一、已达成的系统共识</x:v>
      </x:c>
      <x:c r="G8" s="59" t="str">
        <x:v>一、已达成的系统共识</x:v>
      </x:c>
      <x:c r="H8" s="60" t="str">
        <x:v>一、已达成的系统共识</x:v>
      </x:c>
    </x:row>
    <x:row r="9" ht="15" hidden="0" customHeight="1">
      <x:c r="A9" s="49" t="str">
        <x:v>序号</x:v>
      </x:c>
      <x:c r="B9" s="49" t="str">
        <x:v>共识</x:v>
      </x:c>
      <x:c r="C9" s="49" t="str">
        <x:v>统一表述</x:v>
      </x:c>
      <x:c r="D9" s="49" t="str">
        <x:v>设计收益</x:v>
      </x:c>
      <x:c r="E9" s="49" t="str">
        <x:v>落表位置</x:v>
      </x:c>
      <x:c r="F9" s="49" t="str">
        <x:v>是否需数值</x:v>
      </x:c>
      <x:c r="G9" s="49" t="str">
        <x:v>状态</x:v>
      </x:c>
      <x:c r="H9" s="49" t="str">
        <x:v>备注</x:v>
      </x:c>
    </x:row>
    <x:row r="10" ht="24" hidden="0" customHeight="1">
      <x:c r="A10" s="61" t="n">
        <x:v>1</x:v>
      </x:c>
      <x:c r="B10" s="28" t="str">
        <x:v>丹方只绑定独特君材ID</x:v>
      </x:c>
      <x:c r="C10" s="28" t="str">
        <x:v>原则上一方一君；臣、佐、使不绑材料ID，只分别按臣行、方性、使味与总药力求解。</x:v>
      </x:c>
      <x:c r="D10" s="28" t="str">
        <x:v>既有内容锚点，又保留辅材替代空间</x:v>
      </x:c>
      <x:c r="E10" s="28" t="str">
        <x:v>丹方表/四材表</x:v>
      </x:c>
      <x:c r="F10" s="61" t="str">
        <x:v>否</x:v>
      </x:c>
      <x:c r="G10" s="61" t="str">
        <x:v>已共识</x:v>
      </x:c>
      <x:c r="H10" s="28" t="str">
        <x:v>君药不可替换；3—6套解法固定君药，只替换臣佐使、品质与数量。</x:v>
      </x:c>
    </x:row>
    <x:row r="11" ht="24" hidden="0" customHeight="1">
      <x:c r="A11" s="61" t="n">
        <x:v>2</x:v>
      </x:c>
      <x:c r="B11" s="28" t="str">
        <x:v>四材一职一主轴</x:v>
      </x:c>
      <x:c r="C11" s="28" t="str">
        <x:v>君材=丹核＋性＋力；臣材=五行＋性＋力；佐材=性＋力；使材=五味＋性＋力。境界与品质仍是成长字段。</x:v>
      </x:c>
      <x:c r="D11" s="28" t="str">
        <x:v>没有存在但不读取的废属性</x:v>
      </x:c>
      <x:c r="E11" s="28" t="str">
        <x:v>灵植种表/实例表</x:v>
      </x:c>
      <x:c r="F11" s="61" t="str">
        <x:v>部分</x:v>
      </x:c>
      <x:c r="G11" s="61" t="str">
        <x:v>已共识</x:v>
      </x:c>
      <x:c r="H11" s="28" t="str">
        <x:v>君无行味；臣无味；佐无行味；使无行。四材皆有五性。</x:v>
      </x:c>
    </x:row>
    <x:row r="12" ht="36" hidden="0" customHeight="1">
      <x:c r="A12" s="61" t="n">
        <x:v>3</x:v>
      </x:c>
      <x:c r="B12" s="28" t="str">
        <x:v>五项合方</x:v>
      </x:c>
      <x:c r="C12" s="28" t="str">
        <x:v>君药ID正确、臣行相合、全炉方性合度、使味归位、总药力足量，五项全部满足方可开炉。</x:v>
      </x:c>
      <x:c r="D12" s="28" t="str">
        <x:v>玩家能直接定位缺哪一种材料</x:v>
      </x:c>
      <x:c r="E12" s="28" t="str">
        <x:v>炼丹判定</x:v>
      </x:c>
      <x:c r="F12" s="61" t="str">
        <x:v>是</x:v>
      </x:c>
      <x:c r="G12" s="61" t="str">
        <x:v>已共识</x:v>
      </x:c>
      <x:c r="H12" s="28" t="str">
        <x:v>总药力由所有材料按单份有效药力×数量累加；五性按全炉不同材料种类各计一次，由佐材主力配平。</x:v>
      </x:c>
    </x:row>
    <x:row r="13" ht="24" hidden="0" customHeight="1">
      <x:c r="A13" s="61" t="n">
        <x:v>4</x:v>
      </x:c>
      <x:c r="B13" s="28" t="str">
        <x:v>同类跨境界复用语法</x:v>
      </x:c>
      <x:c r="C13" s="28" t="str">
        <x:v>同类丹沿用君定丹、臣定行、佐和性、使定味的语法；各境界原则上使用独特君药并提高总药力门槛。</x:v>
      </x:c>
      <x:c r="D13" s="28" t="str">
        <x:v>大幅降低学习成本</x:v>
      </x:c>
      <x:c r="E13" s="28" t="str">
        <x:v>药力曲线</x:v>
      </x:c>
      <x:c r="F13" s="61" t="str">
        <x:v>是</x:v>
      </x:c>
      <x:c r="G13" s="61" t="str">
        <x:v>已共识</x:v>
      </x:c>
      <x:c r="H13" s="28" t="str">
        <x:v>品质不是新丹方；但跨境界君材原则上不同。</x:v>
      </x:c>
    </x:row>
    <x:row r="14" ht="24" hidden="0" customHeight="1">
      <x:c r="A14" s="61" t="n">
        <x:v>5</x:v>
      </x:c>
      <x:c r="B14" s="28" t="str">
        <x:v>最多越一大境界</x:v>
      </x:c>
      <x:c r="C14" s="28" t="str">
        <x:v>低境灵植可通过高品质与堆量炼制高一境丹；受槽位、单槽堆叠和总投料上限约束，无法越两境。</x:v>
      </x:c>
      <x:c r="D14" s="28" t="str">
        <x:v>形成成长追求而不击穿层级</x:v>
      </x:c>
      <x:c r="E14" s="28" t="str">
        <x:v>药力/容量</x:v>
      </x:c>
      <x:c r="F14" s="61" t="str">
        <x:v>是</x:v>
      </x:c>
      <x:c r="G14" s="61" t="str">
        <x:v>已共识</x:v>
      </x:c>
      <x:c r="H14" s="28" t="str">
        <x:v>具体倍率仍需纸推。</x:v>
      </x:c>
    </x:row>
    <x:row r="15" ht="24" hidden="0" customHeight="1">
      <x:c r="A15" s="61" t="n">
        <x:v>6</x:v>
      </x:c>
      <x:c r="B15" s="28" t="str">
        <x:v>没有第五个药引位</x:v>
      </x:c>
      <x:c r="C15" s="28" t="str">
        <x:v>药引功能并入使位，界面可写“使（药引）”；佐负责制衡与纠偏，使负责归经、定向和收束。</x:v>
      </x:c>
      <x:c r="D15" s="28" t="str">
        <x:v>减少概念负担</x:v>
      </x:c>
      <x:c r="E15" s="28" t="str">
        <x:v>槽位/UI</x:v>
      </x:c>
      <x:c r="F15" s="61" t="str">
        <x:v>否</x:v>
      </x:c>
      <x:c r="G15" s="61" t="str">
        <x:v>已共识</x:v>
      </x:c>
      <x:c r="H15" s="28" t="str">
        <x:v>使仍参与寒热总和，不能脱离配平。</x:v>
      </x:c>
    </x:row>
    <x:row r="16" ht="24" hidden="0" customHeight="1">
      <x:c r="A16" s="61" t="n">
        <x:v>7</x:v>
      </x:c>
      <x:c r="B16" s="28" t="str">
        <x:v>成功与品质分离</x:v>
      </x:c>
      <x:c r="C16" s="28" t="str">
        <x:v>属性/药力满足后才进入成功检定；成功后再由材料品质、丹炉品质、炼丹技能与随机共同决定成品品质。</x:v>
      </x:c>
      <x:c r="D16" s="28" t="str">
        <x:v>职责清楚，便于调数值</x:v>
      </x:c>
      <x:c r="E16" s="28" t="str">
        <x:v>炼丹流程</x:v>
      </x:c>
      <x:c r="F16" s="61" t="str">
        <x:v>是</x:v>
      </x:c>
      <x:c r="G16" s="61" t="str">
        <x:v>已共识</x:v>
      </x:c>
      <x:c r="H16" s="28" t="str">
        <x:v>丹炉境界主要管资格与成功率。</x:v>
      </x:c>
    </x:row>
    <x:row r="17" ht="24" hidden="0" customHeight="1">
      <x:c r="A17" s="61" t="n">
        <x:v>8</x:v>
      </x:c>
      <x:c r="B17" s="28" t="str">
        <x:v>辅材替代必须可经营</x:v>
      </x:c>
      <x:c r="C17" s="28" t="str">
        <x:v>同一丹方固定君药，允许臣佐使存在廉价、稳妥、高质等不同组合；售价按丹种×境界×品质相对固定。</x:v>
      </x:c>
      <x:c r="D17" s="28" t="str">
        <x:v>支持炼丹卖药玩法</x:v>
      </x:c>
      <x:c r="E17" s="28" t="str">
        <x:v>经济/认证解法</x:v>
      </x:c>
      <x:c r="F17" s="61" t="str">
        <x:v>是</x:v>
      </x:c>
      <x:c r="G17" s="61" t="str">
        <x:v>已共识</x:v>
      </x:c>
      <x:c r="H17" s="28" t="str">
        <x:v>利润来自辅材选价、品质、数量、产地和成功率优化。</x:v>
      </x:c>
    </x:row>
    <x:row r="18" ht="15" hidden="0" customHeight="1">
      <x:c r="A18" s="57"/>
      <x:c r="B18" s="57"/>
      <x:c r="C18" s="57"/>
      <x:c r="D18" s="57"/>
      <x:c r="E18" s="57"/>
      <x:c r="F18" s="62"/>
      <x:c r="G18" s="62"/>
      <x:c r="H18" s="57"/>
    </x:row>
    <x:row r="19" ht="15" hidden="0" customHeight="1">
      <x:c r="A19" s="57"/>
      <x:c r="B19" s="57"/>
      <x:c r="C19" s="57"/>
      <x:c r="D19" s="57"/>
      <x:c r="E19" s="57"/>
      <x:c r="F19" s="62"/>
      <x:c r="G19" s="62"/>
      <x:c r="H19" s="57"/>
    </x:row>
    <x:row r="20" ht="15" hidden="0" customHeight="1">
      <x:c r="A20" s="58" t="str">
        <x:v>二、用户后续讨论带来的收口</x:v>
      </x:c>
      <x:c r="B20" s="59" t="str">
        <x:v>二、用户后续讨论带来的收口</x:v>
      </x:c>
      <x:c r="C20" s="59" t="str">
        <x:v>二、用户后续讨论带来的收口</x:v>
      </x:c>
      <x:c r="D20" s="59" t="str">
        <x:v>二、用户后续讨论带来的收口</x:v>
      </x:c>
      <x:c r="E20" s="59" t="str">
        <x:v>二、用户后续讨论带来的收口</x:v>
      </x:c>
      <x:c r="F20" s="63" t="str">
        <x:v>二、用户后续讨论带来的收口</x:v>
      </x:c>
      <x:c r="G20" s="63" t="str">
        <x:v>二、用户后续讨论带来的收口</x:v>
      </x:c>
      <x:c r="H20" s="60" t="str">
        <x:v>二、用户后续讨论带来的收口</x:v>
      </x:c>
    </x:row>
    <x:row r="21" ht="15" hidden="0" customHeight="1">
      <x:c r="A21" s="49" t="str">
        <x:v>议题</x:v>
      </x:c>
      <x:c r="B21" s="49" t="str">
        <x:v>第17轮合并口径</x:v>
      </x:c>
      <x:c r="C21" s="49" t="str">
        <x:v>系统位置</x:v>
      </x:c>
      <x:c r="D21" s="49" t="str">
        <x:v>设计后果</x:v>
      </x:c>
      <x:c r="E21" s="49" t="str">
        <x:v>当前建议</x:v>
      </x:c>
      <x:c r="F21" s="49" t="str">
        <x:v>需不需要裁决</x:v>
      </x:c>
      <x:c r="G21" s="49" t="str">
        <x:v>状态</x:v>
      </x:c>
      <x:c r="H21" s="49" t="str">
        <x:v>说明</x:v>
      </x:c>
    </x:row>
    <x:row r="22" ht="24" hidden="0" customHeight="1">
      <x:c r="A22" s="28" t="str">
        <x:v>丹方层级</x:v>
      </x:c>
      <x:c r="B22" s="28" t="str">
        <x:v>三层配置</x:v>
      </x:c>
      <x:c r="C22" s="28" t="str">
        <x:v>丹方模板绑定独特君材ID；认证解法固定君材并列出3—6套臣佐使组合；玩家实际投料可用更多合法辅材组合。</x:v>
      </x:c>
      <x:c r="D22" s="28" t="str">
        <x:v>固定丹核，同时保留辅材自由组合</x:v>
      </x:c>
      <x:c r="E22" s="28" t="str">
        <x:v>冻结</x:v>
      </x:c>
      <x:c r="F22" s="61" t="str">
        <x:v>否</x:v>
      </x:c>
      <x:c r="G22" s="61" t="str">
        <x:v>建议冻结</x:v>
      </x:c>
      <x:c r="H22" s="28" t="str">
        <x:v>3—6指认证解法，不限制所有合法臣佐使组合。</x:v>
      </x:c>
    </x:row>
    <x:row r="23" ht="60" hidden="0" customHeight="1">
      <x:c r="A23" s="28" t="str">
        <x:v>九类数量</x:v>
      </x:c>
      <x:c r="B23" s="28" t="str">
        <x:v>修为1、回灵2、破境2、疗伤2、修为清毒1、永久强化2、洗灵根全局1、灵根清毒全局1、战斗暂按4、延寿1</x:v>
      </x:c>
      <x:c r="C23" s="28" t="str">
        <x:v>内容规模</x:v>
      </x:c>
      <x:c r="D23" s="28" t="str">
        <x:v>当前口径共121条丹方模板</x:v>
      </x:c>
      <x:c r="E23" s="28" t="str">
        <x:v>按此口径继续核量</x:v>
      </x:c>
      <x:c r="F23" s="61" t="str">
        <x:v>否</x:v>
      </x:c>
      <x:c r="G23" s="61" t="str">
        <x:v>已共识</x:v>
      </x:c>
      <x:c r="H23" s="28" t="str">
        <x:v>修为清毒随八境；洗灵根及灵根清毒均为全局丹方。永久强化与延寿不再设置专门清毒丹。</x:v>
      </x:c>
    </x:row>
    <x:row r="24" ht="24" hidden="0" customHeight="1">
      <x:c r="A24" s="28" t="str">
        <x:v>主药数量</x:v>
      </x:c>
      <x:c r="B24" s="28" t="str">
        <x:v>一方一君</x:v>
      </x:c>
      <x:c r="C24" s="28" t="str">
        <x:v>每张丹方固定1味独特君药；君材有丹核、五性、药力与境界，不设五行、五味。</x:v>
      </x:c>
      <x:c r="D24" s="28" t="str">
        <x:v>约121味君材成为丹方内容锚点</x:v>
      </x:c>
      <x:c r="E24" s="28" t="str">
        <x:v>冻结</x:v>
      </x:c>
      <x:c r="F24" s="61" t="str">
        <x:v>否</x:v>
      </x:c>
      <x:c r="G24" s="61" t="str">
        <x:v>建议冻结</x:v>
      </x:c>
      <x:c r="H24" s="28" t="str">
        <x:v>同一行味体系可有多颗丹，靠不同君核区分具体丹名。</x:v>
      </x:c>
    </x:row>
    <x:row r="25" ht="36" hidden="0" customHeight="1">
      <x:c r="A25" s="28" t="str">
        <x:v>槽位</x:v>
      </x:c>
      <x:c r="B25" s="28" t="str">
        <x:v>固定四职槽</x:v>
      </x:c>
      <x:c r="C25" s="28" t="str">
        <x:v>建议君1、臣2、佐2、使1；君以丹核定丹，臣以五行定法，使以五味定归；四材五性全部入炉，佐专司调和，四材共同提供总药力。</x:v>
      </x:c>
      <x:c r="D25" s="28" t="str">
        <x:v>最少4种、最多6种材料</x:v>
      </x:c>
      <x:c r="E25" s="28" t="str">
        <x:v>先冻结结构</x:v>
      </x:c>
      <x:c r="F25" s="61" t="str">
        <x:v>是</x:v>
      </x:c>
      <x:c r="G25" s="61" t="str">
        <x:v>待裁</x:v>
      </x:c>
      <x:c r="H25" s="28" t="str">
        <x:v>一炉最少4种、最多6种材料；药引就是使材。</x:v>
      </x:c>
    </x:row>
    <x:row r="26" ht="24" hidden="0" customHeight="1">
      <x:c r="A26" s="28" t="str">
        <x:v>灵植术</x:v>
      </x:c>
      <x:c r="B26" s="28" t="str">
        <x:v>灵植术</x:v>
      </x:c>
      <x:c r="C26" s="28" t="str">
        <x:v>先识别材品，再显示该材品主职字段；四材均显示五性，同时决定采收时保留多少药力、品质与产量。</x:v>
      </x:c>
      <x:c r="D26" s="28" t="str">
        <x:v>减少技能分裂</x:v>
      </x:c>
      <x:c r="E26" s="28" t="str">
        <x:v>冻结概念</x:v>
      </x:c>
      <x:c r="F26" s="61" t="str">
        <x:v>否</x:v>
      </x:c>
      <x:c r="G26" s="61" t="str">
        <x:v>建议冻结</x:v>
      </x:c>
      <x:c r="H26" s="28" t="str">
        <x:v>灵植术不能让臣材长出味、让使材长出行，或把普通材料变成君材。</x:v>
      </x:c>
    </x:row>
    <x:row r="27" ht="60" hidden="0" customHeight="1">
      <x:c r="A27" s="28" t="str">
        <x:v>灵植品质</x:v>
      </x:c>
      <x:c r="B27" s="28" t="str">
        <x:v>主要影响有效药力；同时影响纯净度/丹毒和成品品质概率，但不改变五行、寒热、五味与境界。</x:v>
      </x:c>
      <x:c r="C27" s="28" t="str">
        <x:v>物品实例</x:v>
      </x:c>
      <x:c r="D27" s="28" t="str">
        <x:v>品质有多维价值</x:v>
      </x:c>
      <x:c r="E27" s="28" t="str">
        <x:v>冻结概念</x:v>
      </x:c>
      <x:c r="F27" s="61" t="str">
        <x:v>数值待定</x:v>
      </x:c>
      <x:c r="G27" s="61" t="str">
        <x:v>建议冻结</x:v>
      </x:c>
      <x:c r="H27" s="28" t="str">
        <x:v>种表写基础值，采集实例写实得值。</x:v>
      </x:c>
    </x:row>
    <x:row r="28" ht="48" hidden="0" customHeight="1">
      <x:c r="A28" s="28" t="str">
        <x:v>成品品质</x:v>
      </x:c>
      <x:c r="B28" s="28" t="str">
        <x:v>材料给潜力与软上限，丹炉品质给基础分布，炼丹技能向高品位移，最后随机落档。</x:v>
      </x:c>
      <x:c r="C28" s="28" t="str">
        <x:v>结算</x:v>
      </x:c>
      <x:c r="D28" s="28" t="str">
        <x:v>不存在单一决定项</x:v>
      </x:c>
      <x:c r="E28" s="28" t="str">
        <x:v>冻结职责</x:v>
      </x:c>
      <x:c r="F28" s="61" t="str">
        <x:v>数值待定</x:v>
      </x:c>
      <x:c r="G28" s="61" t="str">
        <x:v>建议冻结</x:v>
      </x:c>
      <x:c r="H28" s="28" t="str">
        <x:v>技能不能突破材料/丹炉形成的硬上限。</x:v>
      </x:c>
    </x:row>
    <x:row r="29" ht="60" hidden="0" customHeight="1">
      <x:c r="A29" s="28" t="str">
        <x:v>经济</x:v>
      </x:c>
      <x:c r="B29" s="28" t="str">
        <x:v>售价不随本炉具体成本浮动；廉价解法可创造利润，但受供给、时间、燃料、失败率与商人需求制约。</x:v>
      </x:c>
      <x:c r="C29" s="28" t="str">
        <x:v>经济</x:v>
      </x:c>
      <x:c r="D29" s="28" t="str">
        <x:v>保留找方与经营乐趣</x:v>
      </x:c>
      <x:c r="E29" s="28" t="str">
        <x:v>冻结原则</x:v>
      </x:c>
      <x:c r="F29" s="61" t="str">
        <x:v>参数待定</x:v>
      </x:c>
      <x:c r="G29" s="61" t="str">
        <x:v>建议冻结</x:v>
      </x:c>
      <x:c r="H29" s="28" t="str">
        <x:v>不建议用动态售价直接抹掉玩家发现的套利。</x:v>
      </x:c>
    </x:row>
    <x:row r="30" ht="15" hidden="0" customHeight="1">
      <x:c r="A30" s="57"/>
      <x:c r="B30" s="57"/>
      <x:c r="C30" s="57"/>
      <x:c r="D30" s="57"/>
      <x:c r="E30" s="57"/>
      <x:c r="F30" s="57"/>
      <x:c r="G30" s="57"/>
      <x:c r="H30" s="57"/>
    </x:row>
    <x:row r="31" ht="15" hidden="0" customHeight="1">
      <x:c r="A31" s="57"/>
      <x:c r="B31" s="57"/>
      <x:c r="C31" s="57"/>
      <x:c r="D31" s="57"/>
      <x:c r="E31" s="57"/>
      <x:c r="F31" s="57"/>
      <x:c r="G31" s="57"/>
      <x:c r="H31" s="57"/>
    </x:row>
    <x:row r="32" ht="15" hidden="0" customHeight="1">
      <x:c r="A32" s="58" t="str">
        <x:v>三、第17轮主张：先冻结结构，再做数值纸推</x:v>
      </x:c>
      <x:c r="B32" s="59" t="str">
        <x:v>三、第17轮主张：先冻结结构，再做数值纸推</x:v>
      </x:c>
      <x:c r="C32" s="59" t="str">
        <x:v>三、第17轮主张：先冻结结构，再做数值纸推</x:v>
      </x:c>
      <x:c r="D32" s="59" t="str">
        <x:v>三、第17轮主张：先冻结结构，再做数值纸推</x:v>
      </x:c>
      <x:c r="E32" s="59" t="str">
        <x:v>三、第17轮主张：先冻结结构，再做数值纸推</x:v>
      </x:c>
      <x:c r="F32" s="59" t="str">
        <x:v>三、第17轮主张：先冻结结构，再做数值纸推</x:v>
      </x:c>
      <x:c r="G32" s="59" t="str">
        <x:v>三、第17轮主张：先冻结结构，再做数值纸推</x:v>
      </x:c>
      <x:c r="H32" s="60" t="str">
        <x:v>三、第17轮主张：先冻结结构，再做数值纸推</x:v>
      </x:c>
    </x:row>
    <x:row r="33">
      <x:c r="A33" s="32" t="str">
        <x:v>本轮正式冻结“一职一主轴、四材皆有性”：君核＋性＋力、臣行＋性＋力、佐性＋力、使味＋性＋力。丹方绑定独特君材ID，辅材按属性自由替换；总药力统一累加，全炉五性按不同物种各计一次，由佐材主力调和。下一轮直接做一个境界的完整垂直切片。</x:v>
      </x:c>
      <x:c r="B33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  <x:c r="C33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  <x:c r="D33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  <x:c r="E33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  <x:c r="F33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  <x:c r="G33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  <x:c r="H33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</x:row>
    <x:row r="34">
      <x:c r="A34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  <x:c r="B34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  <x:c r="C34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  <x:c r="D34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  <x:c r="E34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  <x:c r="F34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  <x:c r="G34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  <x:c r="H34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</x:row>
    <x:row r="35">
      <x:c r="A35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  <x:c r="B35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  <x:c r="C35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  <x:c r="D35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  <x:c r="E35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  <x:c r="F35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  <x:c r="G35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  <x:c r="H35" s="32" t="str">
        <x:v>建议本轮冻结：三层配置、三道硬门、无独立药引、每方单君、成功/品质分离、灵植种表与实例表分离。暂不冻结：五行×五味的唯一矩阵、战斗丹最终数量、清毒丹按境界还是全局、具体药力倍率、槽位堆量上限、丹炉品质概率表。结构冻结后即可批量生成丹方模板与灵植候选池。</x:v>
      </x:c>
    </x:row>
    <x:row r="36" ht="15" hidden="0" customHeight="1">
      <x:c r="A36" s="57"/>
      <x:c r="B36" s="57"/>
      <x:c r="C36" s="57"/>
      <x:c r="D36" s="57"/>
      <x:c r="E36" s="57"/>
      <x:c r="F36" s="57"/>
      <x:c r="G36" s="57"/>
      <x:c r="H36" s="57"/>
    </x:row>
    <x:row r="37" ht="15" hidden="0" customHeight="1">
      <x:c r="A37" s="58" t="str">
        <x:v>四、最关键的规模提醒</x:v>
      </x:c>
      <x:c r="B37" s="59" t="str">
        <x:v>四、最关键的规模提醒</x:v>
      </x:c>
      <x:c r="C37" s="59" t="str">
        <x:v>四、最关键的规模提醒</x:v>
      </x:c>
      <x:c r="D37" s="59" t="str">
        <x:v>四、最关键的规模提醒</x:v>
      </x:c>
      <x:c r="E37" s="59" t="str">
        <x:v>四、最关键的规模提醒</x:v>
      </x:c>
      <x:c r="F37" s="59" t="str">
        <x:v>四、最关键的规模提醒</x:v>
      </x:c>
      <x:c r="G37" s="59" t="str">
        <x:v>四、最关键的规模提醒</x:v>
      </x:c>
      <x:c r="H37" s="60" t="str">
        <x:v>四、最关键的规模提醒</x:v>
      </x:c>
    </x:row>
    <x:row r="38">
      <x:c r="A38" s="50" t="str">
        <x:v>按当前口径，121张丹方原则上对应约121味独特君材；每方3—6套认证解法固定君药，只变化臣佐使、品质与数量，共需验算363—726套辅材组合。旧的每境23—30种灵植估算已经作废，必须按四材池重新核算。</x:v>
      </x:c>
      <x:c r="B38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  <x:c r="C38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  <x:c r="D38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  <x:c r="E38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  <x:c r="F38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  <x:c r="G38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  <x:c r="H38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</x:row>
    <x:row r="39">
      <x:c r="A39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  <x:c r="B39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  <x:c r="C39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  <x:c r="D39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  <x:c r="E39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  <x:c r="F39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  <x:c r="G39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  <x:c r="H39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</x:row>
    <x:row r="40">
      <x:c r="A40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  <x:c r="B40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  <x:c r="C40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  <x:c r="D40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  <x:c r="E40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  <x:c r="F40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  <x:c r="G40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  <x:c r="H40" s="50" t="str">
        <x:v>按建议口径，137条丹方模板 × 每条3—6套认证解法 = 411—822条“官方可验证配法”。这不是要手工创造822张新丹方，而是要用统一求解器批量验证并从可行组合中挑出低价、常规、高质等代表方案。灵植设计必须反过来服务这些解法覆盖率。</x:v>
      </x:c>
    </x:row>
    <x:row r="41" ht="15" hidden="0" customHeight="1">
      <x:c r="A41" s="57"/>
      <x:c r="B41" s="57"/>
      <x:c r="C41" s="57"/>
      <x:c r="D41" s="57"/>
      <x:c r="E41" s="57"/>
      <x:c r="F41" s="57"/>
      <x:c r="G41" s="57"/>
      <x:c r="H41" s="57"/>
    </x:row>
    <x:row r="42">
      <x:c r="A42" s="42" t="str">
        <x:v>署名：小G　｜　轮次：第17轮　｜　性质：第16轮会师总结＋用户后续讨论收敛　｜　约束：本文不擅自替代尚待裁决的数值与映射</x:v>
      </x:c>
      <x:c r="B42" s="42" t="str">
        <x:v>署名：小G　｜　轮次：第17轮　｜　性质：第16轮会师总结＋用户后续讨论收敛　｜　约束：本文不擅自替代尚待裁决的数值与映射</x:v>
      </x:c>
      <x:c r="C42" s="42" t="str">
        <x:v>署名：小G　｜　轮次：第17轮　｜　性质：第16轮会师总结＋用户后续讨论收敛　｜　约束：本文不擅自替代尚待裁决的数值与映射</x:v>
      </x:c>
      <x:c r="D42" s="42" t="str">
        <x:v>署名：小G　｜　轮次：第17轮　｜　性质：第16轮会师总结＋用户后续讨论收敛　｜　约束：本文不擅自替代尚待裁决的数值与映射</x:v>
      </x:c>
      <x:c r="E42" s="42" t="str">
        <x:v>署名：小G　｜　轮次：第17轮　｜　性质：第16轮会师总结＋用户后续讨论收敛　｜　约束：本文不擅自替代尚待裁决的数值与映射</x:v>
      </x:c>
      <x:c r="F42" s="42" t="str">
        <x:v>署名：小G　｜　轮次：第17轮　｜　性质：第16轮会师总结＋用户后续讨论收敛　｜　约束：本文不擅自替代尚待裁决的数值与映射</x:v>
      </x:c>
      <x:c r="G42" s="42" t="str">
        <x:v>署名：小G　｜　轮次：第17轮　｜　性质：第16轮会师总结＋用户后续讨论收敛　｜　约束：本文不擅自替代尚待裁决的数值与映射</x:v>
      </x:c>
      <x:c r="H42" s="42" t="str">
        <x:v>署名：小G　｜　轮次：第17轮　｜　性质：第16轮会师总结＋用户后续讨论收敛　｜　约束：本文不擅自替代尚待裁决的数值与映射</x:v>
      </x:c>
    </x:row>
    <x:row r="43">
      <x:c r="A43" s="42" t="str">
        <x:v>署名：小G　｜　轮次：第17轮　｜　性质：第16轮会师总结＋用户后续讨论收敛　｜　约束：本文不擅自替代尚待裁决的数值与映射</x:v>
      </x:c>
      <x:c r="B43" s="42" t="str">
        <x:v>署名：小G　｜　轮次：第17轮　｜　性质：第16轮会师总结＋用户后续讨论收敛　｜　约束：本文不擅自替代尚待裁决的数值与映射</x:v>
      </x:c>
      <x:c r="C43" s="42" t="str">
        <x:v>署名：小G　｜　轮次：第17轮　｜　性质：第16轮会师总结＋用户后续讨论收敛　｜　约束：本文不擅自替代尚待裁决的数值与映射</x:v>
      </x:c>
      <x:c r="D43" s="42" t="str">
        <x:v>署名：小G　｜　轮次：第17轮　｜　性质：第16轮会师总结＋用户后续讨论收敛　｜　约束：本文不擅自替代尚待裁决的数值与映射</x:v>
      </x:c>
      <x:c r="E43" s="42" t="str">
        <x:v>署名：小G　｜　轮次：第17轮　｜　性质：第16轮会师总结＋用户后续讨论收敛　｜　约束：本文不擅自替代尚待裁决的数值与映射</x:v>
      </x:c>
      <x:c r="F43" s="42" t="str">
        <x:v>署名：小G　｜　轮次：第17轮　｜　性质：第16轮会师总结＋用户后续讨论收敛　｜　约束：本文不擅自替代尚待裁决的数值与映射</x:v>
      </x:c>
      <x:c r="G43" s="42" t="str">
        <x:v>署名：小G　｜　轮次：第17轮　｜　性质：第16轮会师总结＋用户后续讨论收敛　｜　约束：本文不擅自替代尚待裁决的数值与映射</x:v>
      </x:c>
      <x:c r="H43" s="42" t="str">
        <x:v>署名：小G　｜　轮次：第17轮　｜　性质：第16轮会师总结＋用户后续讨论收敛　｜　约束：本文不擅自替代尚待裁决的数值与映射</x:v>
      </x:c>
    </x:row>
  </x:sheetData>
  <x:mergeCells>
    <x:mergeCell ref="A1:H1"/>
    <x:mergeCell ref="A2:H2"/>
    <x:mergeCell ref="A4:H4"/>
    <x:mergeCell ref="A5:H6"/>
    <x:mergeCell ref="A8:H8"/>
    <x:mergeCell ref="A20:H20"/>
    <x:mergeCell ref="A32:H32"/>
    <x:mergeCell ref="A33:H35"/>
    <x:mergeCell ref="A37:H37"/>
    <x:mergeCell ref="A38:H40"/>
    <x:mergeCell ref="A42:H43"/>
  </x:mergeCells>
  <x:conditionalFormatting sqref="G10:G17">
    <x:cfRule type="containsText" dxfId="0" priority="1" operator="containsText" text="已共识"/>
    <x:cfRule type="containsText" dxfId="1" priority="2" operator="containsText" text="建议冻结"/>
    <x:cfRule type="containsText" dxfId="2" priority="3" operator="containsText" text="待裁"/>
    <x:cfRule type="containsText" dxfId="3" priority="4" operator="containsText" text="风险"/>
  </x:conditionalFormatting>
  <x:conditionalFormatting sqref="G22:G29">
    <x:cfRule type="containsText" dxfId="4" priority="5" operator="containsText" text="已共识"/>
    <x:cfRule type="containsText" dxfId="5" priority="6" operator="containsText" text="建议冻结"/>
    <x:cfRule type="containsText" dxfId="6" priority="7" operator="containsText" text="待裁"/>
    <x:cfRule type="containsText" dxfId="7" priority="8" operator="containsText" text="风险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3" max="3" width="31" hidden="0" customWidth="1"/>
    <x:col min="4" max="4" width="31" hidden="0" customWidth="1"/>
    <x:col min="5" max="5" width="40" hidden="0" customWidth="1"/>
    <x:col min="6" max="6" width="13" hidden="0" customWidth="1"/>
  </x:cols>
  <x:sheetData>
    <x:row r="1" ht="15" hidden="0" customHeight="1">
      <x:c r="A1" s="55" t="str">
        <x:v>第16轮三家发言会师</x:v>
      </x:c>
      <x:c r="B1" s="55" t="str">
        <x:v>第16轮三家发言会师</x:v>
      </x:c>
      <x:c r="C1" s="55" t="str">
        <x:v>第16轮三家发言会师</x:v>
      </x:c>
      <x:c r="D1" s="55" t="str">
        <x:v>第16轮三家发言会师</x:v>
      </x:c>
      <x:c r="E1" s="55" t="str">
        <x:v>第16轮三家发言会师</x:v>
      </x:c>
      <x:c r="F1" s="55" t="str">
        <x:v>第16轮三家发言会师</x:v>
      </x:c>
    </x:row>
    <x:row r="2" ht="15" hidden="0" customHeight="1">
      <x:c r="A2" s="56" t="str">
        <x:v>把共同结论、方案差异和第17轮处理方式放在同一张表里</x:v>
      </x:c>
      <x:c r="B2" s="56" t="str">
        <x:v>把共同结论、方案差异和第17轮处理方式放在同一张表里</x:v>
      </x:c>
      <x:c r="C2" s="56" t="str">
        <x:v>把共同结论、方案差异和第17轮处理方式放在同一张表里</x:v>
      </x:c>
      <x:c r="D2" s="56" t="str">
        <x:v>把共同结论、方案差异和第17轮处理方式放在同一张表里</x:v>
      </x:c>
      <x:c r="E2" s="56" t="str">
        <x:v>把共同结论、方案差异和第17轮处理方式放在同一张表里</x:v>
      </x:c>
      <x:c r="F2" s="56" t="str">
        <x:v>把共同结论、方案差异和第17轮处理方式放在同一张表里</x:v>
      </x:c>
    </x:row>
    <x:row r="3" ht="15" hidden="0" customHeight="1">
      <x:c r="A3" s="57"/>
      <x:c r="B3" s="57"/>
      <x:c r="C3" s="57"/>
      <x:c r="D3" s="57"/>
      <x:c r="E3" s="57"/>
      <x:c r="F3" s="57"/>
    </x:row>
    <x:row r="4" ht="15" hidden="0" customHeight="1">
      <x:c r="A4" s="58" t="str">
        <x:v>一、第17轮最终结构对第16轮分歧的收束</x:v>
      </x:c>
      <x:c r="B4" s="59" t="str">
        <x:v>一、三家真正一致的部分</x:v>
      </x:c>
      <x:c r="C4" s="59" t="str">
        <x:v>一、三家真正一致的部分</x:v>
      </x:c>
      <x:c r="D4" s="59" t="str">
        <x:v>一、三家真正一致的部分</x:v>
      </x:c>
      <x:c r="E4" s="59" t="str">
        <x:v>一、三家真正一致的部分</x:v>
      </x:c>
      <x:c r="F4" s="60" t="str">
        <x:v>一、三家真正一致的部分</x:v>
      </x:c>
    </x:row>
    <x:row r="5" ht="15" hidden="0" customHeight="1">
      <x:c r="A5" s="49" t="str">
        <x:v>议题</x:v>
      </x:c>
      <x:c r="B5" s="49" t="str">
        <x:v>小C</x:v>
      </x:c>
      <x:c r="C5" s="49" t="str">
        <x:v>小G</x:v>
      </x:c>
      <x:c r="D5" s="49" t="str">
        <x:v>小龙</x:v>
      </x:c>
      <x:c r="E5" s="49" t="str">
        <x:v>第17轮合并判断</x:v>
      </x:c>
      <x:c r="F5" s="49" t="str">
        <x:v>状态</x:v>
      </x:c>
    </x:row>
    <x:row r="6" ht="15" hidden="0" customHeight="1">
      <x:c r="A6" s="28" t="str">
        <x:v>丹方本体</x:v>
      </x:c>
      <x:c r="B6" s="28" t="str">
        <x:v>旧：不绑任何材料ID</x:v>
      </x:c>
      <x:c r="C6" s="28" t="str">
        <x:v>旧：属性丹方</x:v>
      </x:c>
      <x:c r="D6" s="28" t="str">
        <x:v>旧：材料自由</x:v>
      </x:c>
      <x:c r="E6" s="28" t="str">
        <x:v>新：只绑定独特君材ID，臣佐使按属性自由</x:v>
      </x:c>
      <x:c r="F6" s="28" t="str">
        <x:v>已共识</x:v>
      </x:c>
    </x:row>
    <x:row r="7" ht="15" hidden="0" customHeight="1">
      <x:c r="A7" s="28" t="str">
        <x:v>材料属性</x:v>
      </x:c>
      <x:c r="B7" s="28" t="str">
        <x:v>旧：每材行味性力</x:v>
      </x:c>
      <x:c r="C7" s="28" t="str">
        <x:v>旧：每材行味性力</x:v>
      </x:c>
      <x:c r="D7" s="28" t="str">
        <x:v>旧：三属性＋药力</x:v>
      </x:c>
      <x:c r="E7" s="28" t="str">
        <x:v>新：君核性力、臣行性力、佐性力、使味性力</x:v>
      </x:c>
      <x:c r="F7" s="28" t="str">
        <x:v>已共识</x:v>
      </x:c>
    </x:row>
    <x:row r="8" ht="15" hidden="0" customHeight="1">
      <x:c r="A8" s="28" t="str">
        <x:v>丹药身份</x:v>
      </x:c>
      <x:c r="B8" s="28" t="str">
        <x:v>旧：君行味定大类</x:v>
      </x:c>
      <x:c r="C8" s="28" t="str">
        <x:v>旧：行味组合定方</x:v>
      </x:c>
      <x:c r="D8" s="28" t="str">
        <x:v>旧：主味与臣行定效</x:v>
      </x:c>
      <x:c r="E8" s="28" t="str">
        <x:v>新：君核定具体丹；臣行与使味解释运行</x:v>
      </x:c>
      <x:c r="F8" s="28" t="str">
        <x:v>已共识</x:v>
      </x:c>
    </x:row>
    <x:row r="9" ht="24" hidden="0" customHeight="1">
      <x:c r="A9" s="28" t="str">
        <x:v>寒热</x:v>
      </x:c>
      <x:c r="B9" s="28" t="str">
        <x:v>旧：所有材料参与</x:v>
      </x:c>
      <x:c r="C9" s="28" t="str">
        <x:v>旧：所有材料参与</x:v>
      </x:c>
      <x:c r="D9" s="28" t="str">
        <x:v>旧：君臣偏性、佐调</x:v>
      </x:c>
      <x:c r="E9" s="28" t="str">
        <x:v>新：四材皆有五性，按全炉不同物种各计一次；佐材主力调和</x:v>
      </x:c>
      <x:c r="F9" s="28" t="str">
        <x:v>已共识</x:v>
      </x:c>
    </x:row>
    <x:row r="10" ht="15" hidden="0" customHeight="1">
      <x:c r="A10" s="28" t="str">
        <x:v>药力</x:v>
      </x:c>
      <x:c r="B10" s="28" t="str">
        <x:v>旧：角色分别达标</x:v>
      </x:c>
      <x:c r="C10" s="28" t="str">
        <x:v>旧：角色门槛</x:v>
      </x:c>
      <x:c r="D10" s="28" t="str">
        <x:v>旧：角色分别达标</x:v>
      </x:c>
      <x:c r="E10" s="28" t="str">
        <x:v>新：四材药力统一累加，只设总门槛</x:v>
      </x:c>
      <x:c r="F10" s="28" t="str">
        <x:v>已共识</x:v>
      </x:c>
    </x:row>
    <x:row r="11" ht="15" hidden="0" customHeight="1">
      <x:c r="A11" s="28" t="str">
        <x:v>药引</x:v>
      </x:c>
      <x:c r="B11" s="28" t="str">
        <x:v>不设第五位</x:v>
      </x:c>
      <x:c r="C11" s="28" t="str">
        <x:v>使位承担</x:v>
      </x:c>
      <x:c r="D11" s="28" t="str">
        <x:v>佐使分担</x:v>
      </x:c>
      <x:c r="E11" s="28" t="str">
        <x:v>使材就是药引，拥有五味＋五性＋药力</x:v>
      </x:c>
      <x:c r="F11" s="28" t="str">
        <x:v>已共识</x:v>
      </x:c>
    </x:row>
    <x:row r="12" ht="15" hidden="0" customHeight="1">
      <x:c r="A12" s="28" t="str">
        <x:v>替代解法</x:v>
      </x:c>
      <x:c r="B12" s="28" t="str">
        <x:v>材料可换</x:v>
      </x:c>
      <x:c r="C12" s="28" t="str">
        <x:v>同属性可换</x:v>
      </x:c>
      <x:c r="D12" s="28" t="str">
        <x:v>组合可很多</x:v>
      </x:c>
      <x:c r="E12" s="28" t="str">
        <x:v>君药固定；臣佐使、品质、数量形成3—6套认证解</x:v>
      </x:c>
      <x:c r="F12" s="28" t="str">
        <x:v>已共识</x:v>
      </x:c>
    </x:row>
    <x:row r="13" ht="15" hidden="0" customHeight="1">
      <x:c r="A13" s="57"/>
      <x:c r="B13" s="57"/>
      <x:c r="C13" s="57"/>
      <x:c r="D13" s="57"/>
      <x:c r="E13" s="57"/>
      <x:c r="F13" s="57"/>
    </x:row>
    <x:row r="14" ht="15" hidden="0" customHeight="1">
      <x:c r="A14" s="57"/>
      <x:c r="B14" s="57"/>
      <x:c r="C14" s="57"/>
      <x:c r="D14" s="57"/>
      <x:c r="E14" s="57"/>
      <x:c r="F14" s="57"/>
    </x:row>
    <x:row r="15" ht="15" hidden="0" customHeight="1">
      <x:c r="A15" s="58" t="str">
        <x:v>二、最终结构为什么更易学</x:v>
      </x:c>
      <x:c r="B15" s="59" t="str">
        <x:v>二、不能假装已经一致的部分</x:v>
      </x:c>
      <x:c r="C15" s="59" t="str">
        <x:v>二、不能假装已经一致的部分</x:v>
      </x:c>
      <x:c r="D15" s="59" t="str">
        <x:v>二、不能假装已经一致的部分</x:v>
      </x:c>
      <x:c r="E15" s="59" t="str">
        <x:v>二、不能假装已经一致的部分</x:v>
      </x:c>
      <x:c r="F15" s="60" t="str">
        <x:v>二、不能假装已经一致的部分</x:v>
      </x:c>
    </x:row>
    <x:row r="16" ht="15" hidden="0" customHeight="1">
      <x:c r="A16" s="49" t="str">
        <x:v>分歧</x:v>
      </x:c>
      <x:c r="B16" s="49" t="str">
        <x:v>小C方案</x:v>
      </x:c>
      <x:c r="C16" s="49" t="str">
        <x:v>小G方案</x:v>
      </x:c>
      <x:c r="D16" s="49" t="str">
        <x:v>小龙方案</x:v>
      </x:c>
      <x:c r="E16" s="49" t="str">
        <x:v>第17轮建议</x:v>
      </x:c>
      <x:c r="F16" s="49" t="str">
        <x:v>状态</x:v>
      </x:c>
    </x:row>
    <x:row r="17" ht="15" hidden="0" customHeight="1">
      <x:c r="A17" s="28" t="str">
        <x:v>君材</x:v>
      </x:c>
      <x:c r="B17" s="28" t="str">
        <x:v>丹核＋五性＋药力</x:v>
      </x:c>
      <x:c r="C17" s="28" t="str">
        <x:v>无五行、五味</x:v>
      </x:c>
      <x:c r="D17" s="28" t="str">
        <x:v>放入指定君药即确定具体丹种</x:v>
      </x:c>
      <x:c r="E17" s="28" t="str">
        <x:v>君定丹</x:v>
      </x:c>
      <x:c r="F17" s="28" t="str">
        <x:v>已共识</x:v>
      </x:c>
    </x:row>
    <x:row r="18" ht="15" hidden="0" customHeight="1">
      <x:c r="A18" s="28" t="str">
        <x:v>臣材</x:v>
      </x:c>
      <x:c r="B18" s="28" t="str">
        <x:v>五行＋五性＋药力</x:v>
      </x:c>
      <x:c r="C18" s="28" t="str">
        <x:v>无五味</x:v>
      </x:c>
      <x:c r="D18" s="28" t="str">
        <x:v>丹方要什么行就选什么臣材</x:v>
      </x:c>
      <x:c r="E18" s="28" t="str">
        <x:v>臣定行</x:v>
      </x:c>
      <x:c r="F18" s="28" t="str">
        <x:v>已共识</x:v>
      </x:c>
    </x:row>
    <x:row r="19" ht="24" hidden="0" customHeight="1">
      <x:c r="A19" s="28" t="str">
        <x:v>佐材</x:v>
      </x:c>
      <x:c r="B19" s="28" t="str">
        <x:v>五性＋药力</x:v>
      </x:c>
      <x:c r="C19" s="28" t="str">
        <x:v>无五行、五味</x:v>
      </x:c>
      <x:c r="D19" s="28" t="str">
        <x:v>先读全炉五性，再由一至两种佐材调到目标方性</x:v>
      </x:c>
      <x:c r="E19" s="28" t="str">
        <x:v>佐和性</x:v>
      </x:c>
      <x:c r="F19" s="28" t="str">
        <x:v>已共识</x:v>
      </x:c>
    </x:row>
    <x:row r="20" ht="15" hidden="0" customHeight="1">
      <x:c r="A20" s="28" t="str">
        <x:v>使材</x:v>
      </x:c>
      <x:c r="B20" s="28" t="str">
        <x:v>五味＋五性＋药力</x:v>
      </x:c>
      <x:c r="C20" s="28" t="str">
        <x:v>无五行</x:v>
      </x:c>
      <x:c r="D20" s="28" t="str">
        <x:v>丹方要什么归处就选什么使材</x:v>
      </x:c>
      <x:c r="E20" s="28" t="str">
        <x:v>使定味</x:v>
      </x:c>
      <x:c r="F20" s="28" t="str">
        <x:v>已共识</x:v>
      </x:c>
    </x:row>
    <x:row r="21" ht="24" hidden="0" customHeight="1">
      <x:c r="A21" s="28" t="str">
        <x:v>总药力</x:v>
      </x:c>
      <x:c r="B21" s="28" t="str">
        <x:v>所有材料共同提供</x:v>
      </x:c>
      <x:c r="C21" s="28" t="str">
        <x:v>不再分四套门槛</x:v>
      </x:c>
      <x:c r="D21" s="28" t="str">
        <x:v>调整数量只补力，不改变臣行、使味或任何材料的五性</x:v>
      </x:c>
      <x:c r="E21" s="28" t="str">
        <x:v>四材共同力</x:v>
      </x:c>
      <x:c r="F21" s="28" t="str">
        <x:v>已共识</x:v>
      </x:c>
    </x:row>
    <x:row r="22" ht="24" hidden="0" customHeight="1">
      <x:c r="A22" s="28" t="str">
        <x:v>金苦等标签</x:v>
      </x:c>
      <x:c r="B22" s="28" t="str">
        <x:v>金由臣提供</x:v>
      </x:c>
      <x:c r="C22" s="28" t="str">
        <x:v>苦由使提供</x:v>
      </x:c>
      <x:c r="D22" s="28" t="str">
        <x:v>君药没有金苦；君核区分破妄丹、清心丹等具体丹</x:v>
      </x:c>
      <x:c r="E22" s="28" t="str">
        <x:v>行味属于整方</x:v>
      </x:c>
      <x:c r="F22" s="28" t="str">
        <x:v>已共识</x:v>
      </x:c>
    </x:row>
    <x:row r="23" ht="15" hidden="0" customHeight="1">
      <x:c r="A23" s="57"/>
      <x:c r="B23" s="57"/>
      <x:c r="C23" s="57"/>
      <x:c r="D23" s="57"/>
      <x:c r="E23" s="57"/>
      <x:c r="F23" s="57"/>
    </x:row>
    <x:row r="24" ht="15" hidden="0" customHeight="1">
      <x:c r="A24" s="57"/>
      <x:c r="B24" s="57"/>
      <x:c r="C24" s="57"/>
      <x:c r="D24" s="57"/>
      <x:c r="E24" s="57"/>
      <x:c r="F24" s="57"/>
    </x:row>
    <x:row r="25" ht="15" hidden="0" customHeight="1">
      <x:c r="A25" s="58" t="str">
        <x:v>三、用户后续裁决已经写入的最终约束</x:v>
      </x:c>
      <x:c r="B25" s="59" t="str">
        <x:v>三、用户后续讨论对第16轮的新增约束</x:v>
      </x:c>
      <x:c r="C25" s="59" t="str">
        <x:v>三、用户后续讨论对第16轮的新增约束</x:v>
      </x:c>
      <x:c r="D25" s="59" t="str">
        <x:v>三、用户后续讨论对第16轮的新增约束</x:v>
      </x:c>
      <x:c r="E25" s="59" t="str">
        <x:v>三、用户后续讨论对第16轮的新增约束</x:v>
      </x:c>
      <x:c r="F25" s="60" t="str">
        <x:v>三、用户后续讨论对第16轮的新增约束</x:v>
      </x:c>
    </x:row>
    <x:row r="26" ht="15" hidden="0" customHeight="1">
      <x:c r="A26" s="49" t="str">
        <x:v>新增要求</x:v>
      </x:c>
      <x:c r="B26" s="49" t="str">
        <x:v>对小C的影响</x:v>
      </x:c>
      <x:c r="C26" s="49" t="str">
        <x:v>对小G的影响</x:v>
      </x:c>
      <x:c r="D26" s="49" t="str">
        <x:v>对小龙的影响</x:v>
      </x:c>
      <x:c r="E26" s="49" t="str">
        <x:v>第17轮结果</x:v>
      </x:c>
      <x:c r="F26" s="49" t="str">
        <x:v>状态</x:v>
      </x:c>
    </x:row>
    <x:row r="27" ht="15" hidden="0" customHeight="1">
      <x:c r="A27" s="28" t="str">
        <x:v>一方一君</x:v>
      </x:c>
      <x:c r="B27" s="28" t="str">
        <x:v>独特君药成为基础成本</x:v>
      </x:c>
      <x:c r="C27" s="28" t="str">
        <x:v>丹方表必须增加君材ID</x:v>
      </x:c>
      <x:c r="D27" s="28" t="str">
        <x:v>约121味君材锚点</x:v>
      </x:c>
      <x:c r="E27" s="28" t="str">
        <x:v>进入第18轮逐方占位</x:v>
      </x:c>
      <x:c r="F27" s="28" t="str">
        <x:v>已共识</x:v>
      </x:c>
    </x:row>
    <x:row r="28" ht="24" hidden="0" customHeight="1">
      <x:c r="A28" s="28" t="str">
        <x:v>三辅通用</x:v>
      </x:c>
      <x:c r="B28" s="28" t="str">
        <x:v>臣行池、佐材调性池、使味池跨丹方复用；三池材料均带五性</x:v>
      </x:c>
      <x:c r="C28" s="28" t="str">
        <x:v>旧的每材六字段取消</x:v>
      </x:c>
      <x:c r="D28" s="28" t="str">
        <x:v>经营空间集中在辅材</x:v>
      </x:c>
      <x:c r="E28" s="28" t="str">
        <x:v>进入四材灵植表</x:v>
      </x:c>
      <x:c r="F28" s="28" t="str">
        <x:v>已共识</x:v>
      </x:c>
    </x:row>
    <x:row r="29" ht="15" hidden="0" customHeight="1">
      <x:c r="A29" s="28" t="str">
        <x:v>五项判定</x:v>
      </x:c>
      <x:c r="B29" s="28" t="str">
        <x:v>君ID/臣行/方性/使味/总力</x:v>
      </x:c>
      <x:c r="C29" s="28" t="str">
        <x:v>成功与品质仍后置</x:v>
      </x:c>
      <x:c r="D29" s="28" t="str">
        <x:v>UI可做五盏灯</x:v>
      </x:c>
      <x:c r="E29" s="28" t="str">
        <x:v>冻结结构</x:v>
      </x:c>
      <x:c r="F29" s="28" t="str">
        <x:v>已共识</x:v>
      </x:c>
    </x:row>
    <x:row r="30" ht="15" hidden="0" customHeight="1">
      <x:c r="A30" s="28" t="str">
        <x:v>清毒两类</x:v>
      </x:c>
      <x:c r="B30" s="28" t="str">
        <x:v>修为清毒金甘、灵根清毒金咸</x:v>
      </x:c>
      <x:c r="C30" s="28" t="str">
        <x:v>金来自臣、甘咸来自使</x:v>
      </x:c>
      <x:c r="D30" s="28" t="str">
        <x:v>总方121不变</x:v>
      </x:c>
      <x:c r="E30" s="28" t="str">
        <x:v>已写入</x:v>
      </x:c>
      <x:c r="F30" s="28" t="str">
        <x:v>已共识</x:v>
      </x:c>
    </x:row>
    <x:row r="31" ht="15" hidden="0" customHeight="1">
      <x:c r="A31" s="28" t="str">
        <x:v>下一轮</x:v>
      </x:c>
      <x:c r="B31" s="28" t="str">
        <x:v>选一个代表境界</x:v>
      </x:c>
      <x:c r="C31" s="28" t="str">
        <x:v>推荐筑基约15方</x:v>
      </x:c>
      <x:c r="D31" s="28" t="str">
        <x:v>产出丹方、四材、认证解法三表</x:v>
      </x:c>
      <x:c r="E31" s="28" t="str">
        <x:v>直接做垂直切片</x:v>
      </x:c>
      <x:c r="F31" s="28" t="str">
        <x:v>待执行</x:v>
      </x:c>
    </x:row>
    <x:row r="32" ht="15" hidden="0" customHeight="1">
      <x:c r="A32" s="57"/>
      <x:c r="B32" s="57"/>
      <x:c r="C32" s="57"/>
      <x:c r="D32" s="57"/>
      <x:c r="E32" s="57"/>
      <x:c r="F32" s="57"/>
    </x:row>
    <x:row r="33" ht="15" hidden="0" customHeight="1">
      <x:c r="A33" s="57"/>
      <x:c r="B33" s="57"/>
      <x:c r="C33" s="57"/>
      <x:c r="D33" s="57"/>
      <x:c r="E33" s="57"/>
      <x:c r="F33" s="57"/>
    </x:row>
    <x:row r="34">
      <x:c r="A34" s="42" t="str">
        <x:v>本轮最终替代关系：旧的“每株灵植都有五行、五味、五性、药力”整体作废；新结构是四材皆有五性与药力，仅君核、臣行、使味按材品分属。每个显示字段都会进入炼丹判定。</x:v>
      </x:c>
      <x:c r="B34" s="42" t="str">
        <x:v>合并原则：第16轮三家一致的结构直接继承；互相冲突的数值和映射不伪装成共识；用户后续明确提出的内容优先进入第17轮，但含歧义之处用双情景核算。</x:v>
      </x:c>
      <x:c r="C34" s="42" t="str">
        <x:v>合并原则：第16轮三家一致的结构直接继承；互相冲突的数值和映射不伪装成共识；用户后续明确提出的内容优先进入第17轮，但含歧义之处用双情景核算。</x:v>
      </x:c>
      <x:c r="D34" s="42" t="str">
        <x:v>合并原则：第16轮三家一致的结构直接继承；互相冲突的数值和映射不伪装成共识；用户后续明确提出的内容优先进入第17轮，但含歧义之处用双情景核算。</x:v>
      </x:c>
      <x:c r="E34" s="42" t="str">
        <x:v>合并原则：第16轮三家一致的结构直接继承；互相冲突的数值和映射不伪装成共识；用户后续明确提出的内容优先进入第17轮，但含歧义之处用双情景核算。</x:v>
      </x:c>
      <x:c r="F34" s="42" t="str">
        <x:v>合并原则：第16轮三家一致的结构直接继承；互相冲突的数值和映射不伪装成共识；用户后续明确提出的内容优先进入第17轮，但含歧义之处用双情景核算。</x:v>
      </x:c>
    </x:row>
    <x:row r="35">
      <x:c r="A35" s="42" t="str">
        <x:v>合并原则：第16轮三家一致的结构直接继承；互相冲突的数值和映射不伪装成共识；用户后续明确提出的内容优先进入第17轮，但含歧义之处用双情景核算。</x:v>
      </x:c>
      <x:c r="B35" s="42" t="str">
        <x:v>合并原则：第16轮三家一致的结构直接继承；互相冲突的数值和映射不伪装成共识；用户后续明确提出的内容优先进入第17轮，但含歧义之处用双情景核算。</x:v>
      </x:c>
      <x:c r="C35" s="42" t="str">
        <x:v>合并原则：第16轮三家一致的结构直接继承；互相冲突的数值和映射不伪装成共识；用户后续明确提出的内容优先进入第17轮，但含歧义之处用双情景核算。</x:v>
      </x:c>
      <x:c r="D35" s="42" t="str">
        <x:v>合并原则：第16轮三家一致的结构直接继承；互相冲突的数值和映射不伪装成共识；用户后续明确提出的内容优先进入第17轮，但含歧义之处用双情景核算。</x:v>
      </x:c>
      <x:c r="E35" s="42" t="str">
        <x:v>合并原则：第16轮三家一致的结构直接继承；互相冲突的数值和映射不伪装成共识；用户后续明确提出的内容优先进入第17轮，但含歧义之处用双情景核算。</x:v>
      </x:c>
      <x:c r="F35" s="42" t="str">
        <x:v>合并原则：第16轮三家一致的结构直接继承；互相冲突的数值和映射不伪装成共识；用户后续明确提出的内容优先进入第17轮，但含歧义之处用双情景核算。</x:v>
      </x:c>
    </x:row>
  </x:sheetData>
  <x:mergeCells>
    <x:mergeCell ref="A1:F1"/>
    <x:mergeCell ref="A2:F2"/>
    <x:mergeCell ref="A4:F4"/>
    <x:mergeCell ref="A15:F15"/>
    <x:mergeCell ref="A25:F25"/>
    <x:mergeCell ref="A34:F35"/>
  </x:mergeCells>
  <x:conditionalFormatting sqref="F6:F12">
    <x:cfRule type="containsText" dxfId="8" priority="1" operator="containsText" text="已共识"/>
    <x:cfRule type="containsText" dxfId="9" priority="2" operator="containsText" text="建议冻结"/>
    <x:cfRule type="containsText" dxfId="10" priority="3" operator="containsText" text="待裁"/>
    <x:cfRule type="containsText" dxfId="11" priority="4" operator="containsText" text="风险"/>
  </x:conditionalFormatting>
  <x:conditionalFormatting sqref="F17:F22">
    <x:cfRule type="containsText" dxfId="12" priority="5" operator="containsText" text="已共识"/>
    <x:cfRule type="containsText" dxfId="13" priority="6" operator="containsText" text="建议冻结"/>
    <x:cfRule type="containsText" dxfId="14" priority="7" operator="containsText" text="待裁"/>
    <x:cfRule type="containsText" dxfId="15" priority="8" operator="containsText" text="风险"/>
  </x:conditionalFormatting>
  <x:conditionalFormatting sqref="F27:F31">
    <x:cfRule type="containsText" dxfId="16" priority="9" operator="containsText" text="已共识"/>
    <x:cfRule type="containsText" dxfId="17" priority="10" operator="containsText" text="建议冻结"/>
    <x:cfRule type="containsText" dxfId="18" priority="11" operator="containsText" text="待裁"/>
    <x:cfRule type="containsText" dxfId="19" priority="12" operator="containsText" text="风险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6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5" hidden="0" customWidth="1"/>
    <x:col min="8" max="8" width="3" hidden="0" customWidth="1"/>
    <x:col min="9" max="9" width="9" hidden="0" customWidth="1"/>
    <x:col min="10" max="10" width="26" hidden="0" customWidth="1"/>
    <x:col min="11" max="11" width="12" hidden="0" customWidth="1"/>
    <x:col min="12" max="12" width="12" hidden="0" customWidth="1"/>
    <x:col min="13" max="13" width="13" hidden="0" customWidth="1"/>
    <x:col min="14" max="14" width="15" hidden="0" customWidth="1"/>
    <x:col min="15" max="15" width="15" hidden="0" customWidth="1"/>
  </x:cols>
  <x:sheetData>
    <x:row r="1" ht="15" hidden="0" customHeight="1">
      <x:c r="A1" s="55" t="str">
        <x:v>九类丹方数量核算</x:v>
      </x:c>
      <x:c r="B1" s="55" t="str">
        <x:v>九类丹方数量核算</x:v>
      </x:c>
      <x:c r="C1" s="55" t="str">
        <x:v>九类丹方数量核算</x:v>
      </x:c>
      <x:c r="D1" s="55" t="str">
        <x:v>九类丹方数量核算</x:v>
      </x:c>
      <x:c r="E1" s="55" t="str">
        <x:v>九类丹方数量核算</x:v>
      </x:c>
      <x:c r="F1" s="55" t="str">
        <x:v>九类丹方数量核算</x:v>
      </x:c>
      <x:c r="G1" s="55" t="str">
        <x:v>九类丹方数量核算</x:v>
      </x:c>
      <x:c r="H1" s="55" t="str">
        <x:v>九类丹方数量核算</x:v>
      </x:c>
      <x:c r="I1" s="55" t="str">
        <x:v>九类丹方数量核算</x:v>
      </x:c>
      <x:c r="J1" s="55" t="str">
        <x:v>九类丹方数量核算</x:v>
      </x:c>
      <x:c r="K1" s="55" t="str">
        <x:v>九类丹方数量核算</x:v>
      </x:c>
      <x:c r="L1" s="55" t="str">
        <x:v>九类丹方数量核算</x:v>
      </x:c>
      <x:c r="M1" s="55" t="str">
        <x:v>九类丹方数量核算</x:v>
      </x:c>
      <x:c r="N1" s="55" t="str">
        <x:v>九类丹方数量核算</x:v>
      </x:c>
      <x:c r="O1" s="55" t="str">
        <x:v>九类丹方数量核算</x:v>
      </x:c>
    </x:row>
    <x:row r="2" ht="15" hidden="0" customHeight="1">
      <x:c r="A2" s="56" t="str">
        <x:v>黄色单元格为可改参数；品质不另算丹方。原则上一方一君，因此丹方模板总数同时也是独特君材工作量。臣、佐、使从通用材料池复用。</x:v>
      </x:c>
      <x:c r="B2" s="56" t="str">
        <x:v>黄色单元格为可改参数；品质不另算丹方。左表是第17轮建议口径，右表是“清毒4种每境界”的字面口径。</x:v>
      </x:c>
      <x:c r="C2" s="56" t="str">
        <x:v>黄色单元格为可改参数；品质不另算丹方。左表是第17轮建议口径，右表是“清毒4种每境界”的字面口径。</x:v>
      </x:c>
      <x:c r="D2" s="56" t="str">
        <x:v>黄色单元格为可改参数；品质不另算丹方。左表是第17轮建议口径，右表是“清毒4种每境界”的字面口径。</x:v>
      </x:c>
      <x:c r="E2" s="56" t="str">
        <x:v>黄色单元格为可改参数；品质不另算丹方。左表是第17轮建议口径，右表是“清毒4种每境界”的字面口径。</x:v>
      </x:c>
      <x:c r="F2" s="56" t="str">
        <x:v>黄色单元格为可改参数；品质不另算丹方。左表是第17轮建议口径，右表是“清毒4种每境界”的字面口径。</x:v>
      </x:c>
      <x:c r="G2" s="56" t="str">
        <x:v>黄色单元格为可改参数；品质不另算丹方。左表是第17轮建议口径，右表是“清毒4种每境界”的字面口径。</x:v>
      </x:c>
      <x:c r="H2" s="56" t="str">
        <x:v>黄色单元格为可改参数；品质不另算丹方。左表是第17轮建议口径，右表是“清毒4种每境界”的字面口径。</x:v>
      </x:c>
      <x:c r="I2" s="56" t="str">
        <x:v>黄色单元格为可改参数；品质不另算丹方。左表是第17轮建议口径，右表是“清毒4种每境界”的字面口径。</x:v>
      </x:c>
      <x:c r="J2" s="56" t="str">
        <x:v>黄色单元格为可改参数；品质不另算丹方。左表是第17轮建议口径，右表是“清毒4种每境界”的字面口径。</x:v>
      </x:c>
      <x:c r="K2" s="56" t="str">
        <x:v>黄色单元格为可改参数；品质不另算丹方。左表是第17轮建议口径，右表是“清毒4种每境界”的字面口径。</x:v>
      </x:c>
      <x:c r="L2" s="56" t="str">
        <x:v>黄色单元格为可改参数；品质不另算丹方。左表是第17轮建议口径，右表是“清毒4种每境界”的字面口径。</x:v>
      </x:c>
      <x:c r="M2" s="56" t="str">
        <x:v>黄色单元格为可改参数；品质不另算丹方。左表是第17轮建议口径，右表是“清毒4种每境界”的字面口径。</x:v>
      </x:c>
      <x:c r="N2" s="56" t="str">
        <x:v>黄色单元格为可改参数；品质不另算丹方。左表是第17轮建议口径，右表是“清毒4种每境界”的字面口径。</x:v>
      </x:c>
      <x:c r="O2" s="56" t="str">
        <x:v>黄色单元格为可改参数；品质不另算丹方。左表是第17轮建议口径，右表是“清毒4种每境界”的字面口径。</x:v>
      </x:c>
    </x:row>
    <x:row r="3" ht="15" hidden="0" customHeight="1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</x:row>
    <x:row r="4" ht="15" hidden="0" customHeight="1">
      <x:c r="A4" s="58" t="str">
        <x:v>输入参数</x:v>
      </x:c>
      <x:c r="B4" s="59" t="str">
        <x:v>输入参数</x:v>
      </x:c>
      <x:c r="C4" s="59" t="str">
        <x:v>输入参数</x:v>
      </x:c>
      <x:c r="D4" s="59" t="str">
        <x:v>输入参数</x:v>
      </x:c>
      <x:c r="E4" s="59" t="str">
        <x:v>输入参数</x:v>
      </x:c>
      <x:c r="F4" s="59" t="str">
        <x:v>输入参数</x:v>
      </x:c>
      <x:c r="G4" s="59" t="str">
        <x:v>输入参数</x:v>
      </x:c>
      <x:c r="H4" s="59" t="str">
        <x:v>输入参数</x:v>
      </x:c>
      <x:c r="I4" s="59" t="str">
        <x:v>输入参数</x:v>
      </x:c>
      <x:c r="J4" s="59" t="str">
        <x:v>输入参数</x:v>
      </x:c>
      <x:c r="K4" s="59" t="str">
        <x:v>输入参数</x:v>
      </x:c>
      <x:c r="L4" s="59" t="str">
        <x:v>输入参数</x:v>
      </x:c>
      <x:c r="M4" s="59" t="str">
        <x:v>输入参数</x:v>
      </x:c>
      <x:c r="N4" s="59" t="str">
        <x:v>输入参数</x:v>
      </x:c>
      <x:c r="O4" s="60" t="str">
        <x:v>输入参数</x:v>
      </x:c>
    </x:row>
    <x:row r="5" ht="15" hidden="0" customHeight="1">
      <x:c r="A5" s="49" t="str">
        <x:v>参数</x:v>
      </x:c>
      <x:c r="B5" s="49" t="str">
        <x:v>当前值</x:v>
      </x:c>
      <x:c r="C5" s="49" t="str">
        <x:v>说明</x:v>
      </x:c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</x:row>
    <x:row r="6" ht="24" hidden="0" customHeight="1">
      <x:c r="A6" s="28" t="str">
        <x:v>大境界数量</x:v>
      </x:c>
      <x:c r="B6" s="77" t="n">
        <x:v>8</x:v>
      </x:c>
      <x:c r="C6" s="28" t="str">
        <x:v>炼气至大乘，共8档</x:v>
      </x:c>
      <x:c r="D6" s="57"/>
      <x:c r="E6" s="57"/>
      <x:c r="F6" s="57"/>
      <x:c r="G6" s="57"/>
      <x:c r="H6" s="57"/>
      <x:c r="I6" s="57"/>
      <x:c r="J6" s="57"/>
      <x:c r="K6" s="57"/>
      <x:c r="L6" s="57"/>
      <x:c r="M6" s="57"/>
      <x:c r="N6" s="57"/>
      <x:c r="O6" s="57"/>
    </x:row>
    <x:row r="7" ht="36" hidden="0" customHeight="1">
      <x:c r="A7" s="28" t="str">
        <x:v>战斗丹种数/境界</x:v>
      </x:c>
      <x:c r="B7" s="77" t="n">
        <x:v>4</x:v>
      </x:c>
      <x:c r="C7" s="28" t="str">
        <x:v>暂按攻、防、速、神识；可改4/5/6</x:v>
      </x:c>
      <x:c r="D7" s="57"/>
      <x:c r="E7" s="57"/>
      <x:c r="F7" s="57"/>
      <x:c r="G7" s="57"/>
      <x:c r="H7" s="57"/>
      <x:c r="I7" s="57"/>
      <x:c r="J7" s="57"/>
      <x:c r="K7" s="57"/>
      <x:c r="L7" s="57"/>
      <x:c r="M7" s="57"/>
      <x:c r="N7" s="57"/>
      <x:c r="O7" s="57"/>
    </x:row>
    <x:row r="8" ht="36" hidden="0" customHeight="1">
      <x:c r="A8" s="28" t="str">
        <x:v>最高境是否仍有大突破</x:v>
      </x:c>
      <x:c r="B8" s="77" t="n">
        <x:v>0</x:v>
      </x:c>
      <x:c r="C8" s="28" t="str">
        <x:v>0=没有，1=有；当前按大乘不再大突破</x:v>
      </x:c>
      <x:c r="D8" s="57"/>
      <x:c r="E8" s="57"/>
      <x:c r="F8" s="57"/>
      <x:c r="G8" s="57"/>
      <x:c r="H8" s="57"/>
      <x:c r="I8" s="57"/>
      <x:c r="J8" s="57"/>
      <x:c r="K8" s="57"/>
      <x:c r="L8" s="57"/>
      <x:c r="M8" s="57"/>
      <x:c r="N8" s="57"/>
      <x:c r="O8" s="57"/>
    </x:row>
    <x:row r="9" ht="48" hidden="0" customHeight="1">
      <x:c r="A9" s="28" t="str">
        <x:v>每条丹方认证解法下限/上限</x:v>
      </x:c>
      <x:c r="B9" s="28" t="str">
        <x:v>3 / 6</x:v>
      </x:c>
      <x:c r="C9" s="28" t="str">
        <x:v>只计策划认证方案，不是全部合法组合上限</x:v>
      </x:c>
      <x:c r="D9" s="57"/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</x:row>
    <x:row r="10" ht="15" hidden="0" customHeight="1">
      <x:c r="A10" s="57"/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</x:row>
    <x:row r="11" ht="15" hidden="0" customHeight="1">
      <x:c r="A11" s="58" t="str">
        <x:v>当前冻结口径｜修为清毒1/境界；洗灵根与灵根清毒全局各1（左右双表复核）</x:v>
      </x:c>
      <x:c r="B11" s="59" t="str">
        <x:v>方案B｜字面口径：清毒4种全部随境界重复</x:v>
      </x:c>
      <x:c r="C11" s="59" t="str">
        <x:v>方案B｜字面口径：清毒4种全部随境界重复</x:v>
      </x:c>
      <x:c r="D11" s="59" t="str">
        <x:v>方案B｜字面口径：清毒4种全部随境界重复</x:v>
      </x:c>
      <x:c r="E11" s="59" t="str">
        <x:v>方案B｜字面口径：清毒4种全部随境界重复</x:v>
      </x:c>
      <x:c r="F11" s="59" t="str">
        <x:v>方案B｜字面口径：清毒4种全部随境界重复</x:v>
      </x:c>
      <x:c r="G11" s="60" t="str">
        <x:v>方案B｜字面口径：清毒4种全部随境界重复</x:v>
      </x:c>
      <x:c r="H11" s="59" t="str">
        <x:v>方案B｜字面口径：清毒4种全部随境界重复</x:v>
      </x:c>
      <x:c r="I11" s="59" t="str">
        <x:v>方案B｜字面口径：清毒4种全部随境界重复</x:v>
      </x:c>
      <x:c r="J11" s="59" t="str">
        <x:v>方案B｜字面口径：清毒4种全部随境界重复</x:v>
      </x:c>
      <x:c r="K11" s="59" t="str">
        <x:v>方案B｜字面口径：清毒4种全部随境界重复</x:v>
      </x:c>
      <x:c r="L11" s="59" t="str">
        <x:v>方案B｜字面口径：清毒4种全部随境界重复</x:v>
      </x:c>
      <x:c r="M11" s="59" t="str">
        <x:v>方案B｜字面口径：清毒4种全部随境界重复</x:v>
      </x:c>
      <x:c r="N11" s="59" t="str">
        <x:v>方案B｜字面口径：清毒4种全部随境界重复</x:v>
      </x:c>
      <x:c r="O11" s="60" t="str">
        <x:v>方案B｜字面口径：清毒4种全部随境界重复</x:v>
      </x:c>
    </x:row>
    <x:row r="12" ht="15" hidden="0" customHeight="1">
      <x:c r="A12" s="49" t="str">
        <x:v>四族</x:v>
      </x:c>
      <x:c r="B12" s="49" t="str">
        <x:v>九类/子类</x:v>
      </x:c>
      <x:c r="C12" s="49" t="str">
        <x:v>每境条数</x:v>
      </x:c>
      <x:c r="D12" s="49" t="str">
        <x:v>全局条数</x:v>
      </x:c>
      <x:c r="E12" s="49" t="str">
        <x:v>最高境修正</x:v>
      </x:c>
      <x:c r="F12" s="49" t="str">
        <x:v>总丹方模板</x:v>
      </x:c>
      <x:c r="G12" s="49" t="str">
        <x:v>独特君材数</x:v>
      </x:c>
      <x:c r="H12" s="57"/>
      <x:c r="I12" s="49" t="str">
        <x:v>四族</x:v>
      </x:c>
      <x:c r="J12" s="49" t="str">
        <x:v>九类/子类</x:v>
      </x:c>
      <x:c r="K12" s="49" t="str">
        <x:v>每境条数</x:v>
      </x:c>
      <x:c r="L12" s="49" t="str">
        <x:v>全局条数</x:v>
      </x:c>
      <x:c r="M12" s="49" t="str">
        <x:v>最高境修正</x:v>
      </x:c>
      <x:c r="N12" s="49" t="str">
        <x:v>总丹方模板</x:v>
      </x:c>
      <x:c r="O12" s="49" t="str">
        <x:v>独特君材数</x:v>
      </x:c>
    </x:row>
    <x:row r="13" ht="15" hidden="0" customHeight="1">
      <x:c r="A13" s="28" t="str">
        <x:v>养</x:v>
      </x:c>
      <x:c r="B13" s="28" t="str">
        <x:v>修为</x:v>
      </x:c>
      <x:c r="C13" s="61" t="n">
        <x:v>1</x:v>
      </x:c>
      <x:c r="D13" s="61" t="n">
        <x:v>0</x:v>
      </x:c>
      <x:c r="E13" s="61" t="n">
        <x:v>0</x:v>
      </x:c>
      <x:c r="F13" s="61" t="n">
        <x:f>$B$6*C13+D13+E13</x:f>
        <x:v>8</x:v>
      </x:c>
      <x:c r="G13" s="61" t="n">
        <x:f>F13</x:f>
        <x:v>8</x:v>
      </x:c>
      <x:c r="H13" s="57"/>
      <x:c r="I13" s="28" t="str">
        <x:v>养</x:v>
      </x:c>
      <x:c r="J13" s="28" t="str">
        <x:v>修为</x:v>
      </x:c>
      <x:c r="K13" s="61" t="n">
        <x:v>1</x:v>
      </x:c>
      <x:c r="L13" s="61" t="n">
        <x:v>0</x:v>
      </x:c>
      <x:c r="M13" s="61" t="n">
        <x:v>0</x:v>
      </x:c>
      <x:c r="N13" s="61" t="n">
        <x:f>$B$6*K13+L13+M13</x:f>
        <x:v>8</x:v>
      </x:c>
      <x:c r="O13" s="61" t="n">
        <x:f>N13</x:f>
        <x:v>8</x:v>
      </x:c>
    </x:row>
    <x:row r="14" ht="15" hidden="0" customHeight="1">
      <x:c r="A14" s="28" t="str">
        <x:v>养</x:v>
      </x:c>
      <x:c r="B14" s="28" t="str">
        <x:v>回灵：瞬回/缓回</x:v>
      </x:c>
      <x:c r="C14" s="61" t="n">
        <x:v>2</x:v>
      </x:c>
      <x:c r="D14" s="61" t="n">
        <x:v>0</x:v>
      </x:c>
      <x:c r="E14" s="61" t="n">
        <x:v>0</x:v>
      </x:c>
      <x:c r="F14" s="61" t="n">
        <x:f>$B$6*C14+D14+E14</x:f>
        <x:v>16</x:v>
      </x:c>
      <x:c r="G14" s="61" t="n">
        <x:f>F14</x:f>
        <x:v>16</x:v>
      </x:c>
      <x:c r="H14" s="57"/>
      <x:c r="I14" s="28" t="str">
        <x:v>养</x:v>
      </x:c>
      <x:c r="J14" s="28" t="str">
        <x:v>回灵：瞬回/缓回</x:v>
      </x:c>
      <x:c r="K14" s="61" t="n">
        <x:v>2</x:v>
      </x:c>
      <x:c r="L14" s="61" t="n">
        <x:v>0</x:v>
      </x:c>
      <x:c r="M14" s="61" t="n">
        <x:v>0</x:v>
      </x:c>
      <x:c r="N14" s="61" t="n">
        <x:f>$B$6*K14+L14+M14</x:f>
        <x:v>16</x:v>
      </x:c>
      <x:c r="O14" s="61" t="n">
        <x:f>N14</x:f>
        <x:v>16</x:v>
      </x:c>
    </x:row>
    <x:row r="15" ht="15" hidden="0" customHeight="1">
      <x:c r="A15" s="28" t="str">
        <x:v>改</x:v>
      </x:c>
      <x:c r="B15" s="28" t="str">
        <x:v>破境：小突破/大突破</x:v>
      </x:c>
      <x:c r="C15" s="61" t="n">
        <x:v>2</x:v>
      </x:c>
      <x:c r="D15" s="61" t="n">
        <x:v>0</x:v>
      </x:c>
      <x:c r="E15" s="61" t="n">
        <x:f>-(1-$B$8)</x:f>
        <x:v>-1</x:v>
      </x:c>
      <x:c r="F15" s="61" t="n">
        <x:f>$B$6*C15+D15+E15</x:f>
        <x:v>15</x:v>
      </x:c>
      <x:c r="G15" s="61" t="n">
        <x:f>F15</x:f>
        <x:v>15</x:v>
      </x:c>
      <x:c r="H15" s="57"/>
      <x:c r="I15" s="28" t="str">
        <x:v>改</x:v>
      </x:c>
      <x:c r="J15" s="28" t="str">
        <x:v>破境：小突破/大突破</x:v>
      </x:c>
      <x:c r="K15" s="61" t="n">
        <x:v>2</x:v>
      </x:c>
      <x:c r="L15" s="61" t="n">
        <x:v>0</x:v>
      </x:c>
      <x:c r="M15" s="61" t="n">
        <x:f>-(1-$B$8)</x:f>
        <x:v>-1</x:v>
      </x:c>
      <x:c r="N15" s="61" t="n">
        <x:f>$B$6*K15+L15+M15</x:f>
        <x:v>15</x:v>
      </x:c>
      <x:c r="O15" s="61" t="n">
        <x:f>N15</x:f>
        <x:v>15</x:v>
      </x:c>
    </x:row>
    <x:row r="16" ht="15" hidden="0" customHeight="1">
      <x:c r="A16" s="28" t="str">
        <x:v>养</x:v>
      </x:c>
      <x:c r="B16" s="28" t="str">
        <x:v>疗伤：瞬回/缓回</x:v>
      </x:c>
      <x:c r="C16" s="61" t="n">
        <x:v>2</x:v>
      </x:c>
      <x:c r="D16" s="61" t="n">
        <x:v>0</x:v>
      </x:c>
      <x:c r="E16" s="61" t="n">
        <x:v>0</x:v>
      </x:c>
      <x:c r="F16" s="61" t="n">
        <x:f>$B$6*C16+D16+E16</x:f>
        <x:v>16</x:v>
      </x:c>
      <x:c r="G16" s="61" t="n">
        <x:f>F16</x:f>
        <x:v>16</x:v>
      </x:c>
      <x:c r="H16" s="57"/>
      <x:c r="I16" s="28" t="str">
        <x:v>养</x:v>
      </x:c>
      <x:c r="J16" s="28" t="str">
        <x:v>疗伤：瞬回/缓回</x:v>
      </x:c>
      <x:c r="K16" s="61" t="n">
        <x:v>2</x:v>
      </x:c>
      <x:c r="L16" s="61" t="n">
        <x:v>0</x:v>
      </x:c>
      <x:c r="M16" s="61" t="n">
        <x:v>0</x:v>
      </x:c>
      <x:c r="N16" s="61" t="n">
        <x:f>$B$6*K16+L16+M16</x:f>
        <x:v>16</x:v>
      </x:c>
      <x:c r="O16" s="61" t="n">
        <x:f>N16</x:f>
        <x:v>16</x:v>
      </x:c>
    </x:row>
    <x:row r="17" ht="15" hidden="0" customHeight="1">
      <x:c r="A17" s="28" t="str">
        <x:v>清</x:v>
      </x:c>
      <x:c r="B17" s="28" t="str">
        <x:v>修为清毒</x:v>
      </x:c>
      <x:c r="C17" s="61" t="n">
        <x:v>1</x:v>
      </x:c>
      <x:c r="D17" s="61" t="n">
        <x:v>0</x:v>
      </x:c>
      <x:c r="E17" s="61" t="n">
        <x:v>0</x:v>
      </x:c>
      <x:c r="F17" s="61" t="n">
        <x:f>$B$6*C17+D17+E17</x:f>
        <x:v>8</x:v>
      </x:c>
      <x:c r="G17" s="61" t="n">
        <x:f>F17</x:f>
        <x:v>8</x:v>
      </x:c>
      <x:c r="H17" s="57"/>
      <x:c r="I17" s="28" t="str">
        <x:v>清</x:v>
      </x:c>
      <x:c r="J17" s="28" t="str">
        <x:v>修为清毒</x:v>
      </x:c>
      <x:c r="K17" s="61" t="n">
        <x:v>1</x:v>
      </x:c>
      <x:c r="L17" s="61" t="n">
        <x:v>0</x:v>
      </x:c>
      <x:c r="M17" s="61" t="n">
        <x:v>0</x:v>
      </x:c>
      <x:c r="N17" s="61" t="n">
        <x:f>$B$6*K17+L17+M17</x:f>
        <x:v>8</x:v>
      </x:c>
      <x:c r="O17" s="61" t="n">
        <x:f>N17</x:f>
        <x:v>8</x:v>
      </x:c>
    </x:row>
    <x:row r="18" ht="15" hidden="0" customHeight="1">
      <x:c r="A18" s="28" t="str">
        <x:v>改</x:v>
      </x:c>
      <x:c r="B18" s="28" t="str">
        <x:v>永久强化：固本/养神</x:v>
      </x:c>
      <x:c r="C18" s="61" t="n">
        <x:v>2</x:v>
      </x:c>
      <x:c r="D18" s="61" t="n">
        <x:v>0</x:v>
      </x:c>
      <x:c r="E18" s="61" t="n">
        <x:v>0</x:v>
      </x:c>
      <x:c r="F18" s="61" t="n">
        <x:f>$B$6*C18+D18+E18</x:f>
        <x:v>16</x:v>
      </x:c>
      <x:c r="G18" s="61" t="n">
        <x:f>F18</x:f>
        <x:v>16</x:v>
      </x:c>
      <x:c r="H18" s="57"/>
      <x:c r="I18" s="28" t="str">
        <x:v>改</x:v>
      </x:c>
      <x:c r="J18" s="28" t="str">
        <x:v>永久强化：固本/养神</x:v>
      </x:c>
      <x:c r="K18" s="61" t="n">
        <x:v>2</x:v>
      </x:c>
      <x:c r="L18" s="61" t="n">
        <x:v>0</x:v>
      </x:c>
      <x:c r="M18" s="61" t="n">
        <x:v>0</x:v>
      </x:c>
      <x:c r="N18" s="61" t="n">
        <x:f>$B$6*K18+L18+M18</x:f>
        <x:v>16</x:v>
      </x:c>
      <x:c r="O18" s="61" t="n">
        <x:f>N18</x:f>
        <x:v>16</x:v>
      </x:c>
    </x:row>
    <x:row r="19" ht="15" hidden="0" customHeight="1">
      <x:c r="A19" s="28" t="str">
        <x:v>改</x:v>
      </x:c>
      <x:c r="B19" s="28" t="str">
        <x:v>洗灵根＋灵根清毒（均全局）</x:v>
      </x:c>
      <x:c r="C19" s="61" t="n">
        <x:v>0</x:v>
      </x:c>
      <x:c r="D19" s="61" t="n">
        <x:v>2</x:v>
      </x:c>
      <x:c r="E19" s="61" t="n">
        <x:v>0</x:v>
      </x:c>
      <x:c r="F19" s="61" t="n">
        <x:f>$B$6*C19+D19+E19</x:f>
        <x:v>2</x:v>
      </x:c>
      <x:c r="G19" s="61" t="n">
        <x:f>F19</x:f>
        <x:v>2</x:v>
      </x:c>
      <x:c r="H19" s="57"/>
      <x:c r="I19" s="28" t="str">
        <x:v>改</x:v>
      </x:c>
      <x:c r="J19" s="28" t="str">
        <x:v>洗灵根＋灵根清毒（均全局）</x:v>
      </x:c>
      <x:c r="K19" s="61" t="n">
        <x:v>0</x:v>
      </x:c>
      <x:c r="L19" s="61" t="n">
        <x:v>2</x:v>
      </x:c>
      <x:c r="M19" s="61" t="n">
        <x:v>0</x:v>
      </x:c>
      <x:c r="N19" s="61" t="n">
        <x:f>$B$6*K19+L19+M19</x:f>
        <x:v>2</x:v>
      </x:c>
      <x:c r="O19" s="61" t="n">
        <x:f>N19</x:f>
        <x:v>2</x:v>
      </x:c>
    </x:row>
    <x:row r="20" ht="15" hidden="0" customHeight="1">
      <x:c r="A20" s="28" t="str">
        <x:v>发</x:v>
      </x:c>
      <x:c r="B20" s="28" t="str">
        <x:v>战斗：攻/防/速/神识</x:v>
      </x:c>
      <x:c r="C20" s="61" t="n">
        <x:f>$B$7</x:f>
        <x:v>4</x:v>
      </x:c>
      <x:c r="D20" s="61" t="n">
        <x:v>0</x:v>
      </x:c>
      <x:c r="E20" s="61" t="n">
        <x:v>0</x:v>
      </x:c>
      <x:c r="F20" s="61" t="n">
        <x:f>$B$6*C20+D20+E20</x:f>
        <x:v>32</x:v>
      </x:c>
      <x:c r="G20" s="61" t="n">
        <x:f>F20</x:f>
        <x:v>32</x:v>
      </x:c>
      <x:c r="H20" s="57"/>
      <x:c r="I20" s="28" t="str">
        <x:v>发</x:v>
      </x:c>
      <x:c r="J20" s="28" t="str">
        <x:v>战斗：攻/防/速/神识</x:v>
      </x:c>
      <x:c r="K20" s="61" t="n">
        <x:f>$B$7</x:f>
        <x:v>4</x:v>
      </x:c>
      <x:c r="L20" s="61" t="n">
        <x:v>0</x:v>
      </x:c>
      <x:c r="M20" s="61" t="n">
        <x:v>0</x:v>
      </x:c>
      <x:c r="N20" s="61" t="n">
        <x:f>$B$6*K20+L20+M20</x:f>
        <x:v>32</x:v>
      </x:c>
      <x:c r="O20" s="61" t="n">
        <x:f>N20</x:f>
        <x:v>32</x:v>
      </x:c>
    </x:row>
    <x:row r="21" ht="15" hidden="0" customHeight="1">
      <x:c r="A21" s="28" t="str">
        <x:v>养</x:v>
      </x:c>
      <x:c r="B21" s="28" t="str">
        <x:v>养命延寿</x:v>
      </x:c>
      <x:c r="C21" s="61" t="n">
        <x:v>1</x:v>
      </x:c>
      <x:c r="D21" s="61" t="n">
        <x:v>0</x:v>
      </x:c>
      <x:c r="E21" s="61" t="n">
        <x:v>0</x:v>
      </x:c>
      <x:c r="F21" s="61" t="n">
        <x:f>$B$6*C21+D21+E21</x:f>
        <x:v>8</x:v>
      </x:c>
      <x:c r="G21" s="61" t="n">
        <x:f>F21</x:f>
        <x:v>8</x:v>
      </x:c>
      <x:c r="H21" s="57"/>
      <x:c r="I21" s="28" t="str">
        <x:v>养</x:v>
      </x:c>
      <x:c r="J21" s="28" t="str">
        <x:v>养命延寿</x:v>
      </x:c>
      <x:c r="K21" s="61" t="n">
        <x:v>1</x:v>
      </x:c>
      <x:c r="L21" s="61" t="n">
        <x:v>0</x:v>
      </x:c>
      <x:c r="M21" s="61" t="n">
        <x:v>0</x:v>
      </x:c>
      <x:c r="N21" s="61" t="n">
        <x:f>$B$6*K21+L21+M21</x:f>
        <x:v>8</x:v>
      </x:c>
      <x:c r="O21" s="61" t="n">
        <x:f>N21</x:f>
        <x:v>8</x:v>
      </x:c>
    </x:row>
    <x:row r="22" ht="15" hidden="0" customHeight="1">
      <x:c r="A22" s="75" t="str">
        <x:v>合计</x:v>
      </x:c>
      <x:c r="B22" s="75" t="str">
        <x:v>合计</x:v>
      </x:c>
      <x:c r="C22" s="78" t="str">
        <x:v>合计</x:v>
      </x:c>
      <x:c r="D22" s="78" t="str">
        <x:v>合计</x:v>
      </x:c>
      <x:c r="E22" s="78" t="str">
        <x:v>合计</x:v>
      </x:c>
      <x:c r="F22" s="78" t="n">
        <x:f>SUM(F13:F21)</x:f>
        <x:v>121</x:v>
      </x:c>
      <x:c r="G22" s="78" t="n">
        <x:f>SUM(G13:G21)</x:f>
        <x:v>121</x:v>
      </x:c>
      <x:c r="H22" s="57"/>
      <x:c r="I22" s="76" t="str">
        <x:v>合计</x:v>
      </x:c>
      <x:c r="J22" s="76" t="str">
        <x:v>合计</x:v>
      </x:c>
      <x:c r="K22" s="79" t="str">
        <x:v>合计</x:v>
      </x:c>
      <x:c r="L22" s="79" t="str">
        <x:v>合计</x:v>
      </x:c>
      <x:c r="M22" s="79" t="str">
        <x:v>合计</x:v>
      </x:c>
      <x:c r="N22" s="79" t="n">
        <x:f>SUM(N13:N21)</x:f>
        <x:v>121</x:v>
      </x:c>
      <x:c r="O22" s="79" t="n">
        <x:f>SUM(O13:O21)</x:f>
        <x:v>121</x:v>
      </x:c>
    </x:row>
    <x:row r="23" ht="15" hidden="0" customHeight="1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</x:row>
    <x:row r="24" ht="15" hidden="0" customHeight="1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</x:row>
    <x:row r="25" ht="15" hidden="0" customHeight="1">
      <x:c r="A25" s="58" t="str">
        <x:v>规模换算：丹方模板＝独特君材锚点；认证解法固定君药，只变化臣佐使</x:v>
      </x:c>
      <x:c r="B25" s="59" t="str">
        <x:v>规模换算：丹方模板 ≠ 认证解法 ≠ 灵植种数</x:v>
      </x:c>
      <x:c r="C25" s="59" t="str">
        <x:v>规模换算：丹方模板 ≠ 认证解法 ≠ 灵植种数</x:v>
      </x:c>
      <x:c r="D25" s="59" t="str">
        <x:v>规模换算：丹方模板 ≠ 认证解法 ≠ 灵植种数</x:v>
      </x:c>
      <x:c r="E25" s="59" t="str">
        <x:v>规模换算：丹方模板 ≠ 认证解法 ≠ 灵植种数</x:v>
      </x:c>
      <x:c r="F25" s="59" t="str">
        <x:v>规模换算：丹方模板 ≠ 认证解法 ≠ 灵植种数</x:v>
      </x:c>
      <x:c r="G25" s="59" t="str">
        <x:v>规模换算：丹方模板 ≠ 认证解法 ≠ 灵植种数</x:v>
      </x:c>
      <x:c r="H25" s="59" t="str">
        <x:v>规模换算：丹方模板 ≠ 认证解法 ≠ 灵植种数</x:v>
      </x:c>
      <x:c r="I25" s="59" t="str">
        <x:v>规模换算：丹方模板 ≠ 认证解法 ≠ 灵植种数</x:v>
      </x:c>
      <x:c r="J25" s="59" t="str">
        <x:v>规模换算：丹方模板 ≠ 认证解法 ≠ 灵植种数</x:v>
      </x:c>
      <x:c r="K25" s="59" t="str">
        <x:v>规模换算：丹方模板 ≠ 认证解法 ≠ 灵植种数</x:v>
      </x:c>
      <x:c r="L25" s="59" t="str">
        <x:v>规模换算：丹方模板 ≠ 认证解法 ≠ 灵植种数</x:v>
      </x:c>
      <x:c r="M25" s="59" t="str">
        <x:v>规模换算：丹方模板 ≠ 认证解法 ≠ 灵植种数</x:v>
      </x:c>
      <x:c r="N25" s="59" t="str">
        <x:v>规模换算：丹方模板 ≠ 认证解法 ≠ 灵植种数</x:v>
      </x:c>
      <x:c r="O25" s="60" t="str">
        <x:v>规模换算：丹方模板 ≠ 认证解法 ≠ 灵植种数</x:v>
      </x:c>
    </x:row>
    <x:row r="26" ht="24" hidden="0" customHeight="1">
      <x:c r="A26" s="49" t="str">
        <x:v>场景</x:v>
      </x:c>
      <x:c r="B26" s="49" t="str">
        <x:v>丹方模板总数</x:v>
      </x:c>
      <x:c r="C26" s="49" t="str">
        <x:v>每方认证解法</x:v>
      </x:c>
      <x:c r="D26" s="49" t="str">
        <x:v>认证解法工作量</x:v>
      </x:c>
      <x:c r="E26" s="49" t="str">
        <x:v>君药是否固定</x:v>
      </x:c>
      <x:c r="F26" s="49" t="str">
        <x:v>结论</x:v>
      </x:c>
      <x:c r="G26" s="57"/>
      <x:c r="H26" s="57"/>
      <x:c r="I26" s="57"/>
      <x:c r="J26" s="57"/>
      <x:c r="K26" s="57"/>
      <x:c r="L26" s="57"/>
      <x:c r="M26" s="57"/>
      <x:c r="N26" s="57"/>
      <x:c r="O26" s="57"/>
    </x:row>
    <x:row r="27" ht="15" hidden="0" customHeight="1">
      <x:c r="A27" s="28" t="str">
        <x:v>当前口径</x:v>
      </x:c>
      <x:c r="B27" s="28" t="n">
        <x:f>F22</x:f>
        <x:v>121</x:v>
      </x:c>
      <x:c r="C27" s="28" t="str">
        <x:v>3—6</x:v>
      </x:c>
      <x:c r="D27" s="28" t="str">
        <x:f>B27*3&amp;"—"&amp;B27*6</x:f>
        <x:v>363—726</x:v>
      </x:c>
      <x:c r="E27" s="28" t="str">
        <x:v>是</x:v>
      </x:c>
      <x:c r="F27" s="28" t="str">
        <x:v>后续内容规模底稿</x:v>
      </x:c>
      <x:c r="G27" s="57"/>
      <x:c r="H27" s="57"/>
      <x:c r="I27" s="57"/>
      <x:c r="J27" s="57"/>
      <x:c r="K27" s="57"/>
      <x:c r="L27" s="57"/>
      <x:c r="M27" s="57"/>
      <x:c r="N27" s="57"/>
      <x:c r="O27" s="57"/>
    </x:row>
    <x:row r="28" ht="24" hidden="0" customHeight="1">
      <x:c r="A28" s="28" t="str">
        <x:v>复核口径</x:v>
      </x:c>
      <x:c r="B28" s="28" t="n">
        <x:f>N22</x:f>
        <x:v>121</x:v>
      </x:c>
      <x:c r="C28" s="28" t="str">
        <x:v>3—6</x:v>
      </x:c>
      <x:c r="D28" s="28" t="str">
        <x:f>B28*3&amp;"—"&amp;B28*6</x:f>
        <x:v>363—726</x:v>
      </x:c>
      <x:c r="E28" s="28" t="str">
        <x:v>是</x:v>
      </x:c>
      <x:c r="F28" s="28" t="str">
        <x:v>与左表一致，用于复核裁决已写入</x:v>
      </x:c>
      <x:c r="G28" s="57"/>
      <x:c r="H28" s="57"/>
      <x:c r="I28" s="57"/>
      <x:c r="J28" s="57"/>
      <x:c r="K28" s="57"/>
      <x:c r="L28" s="57"/>
      <x:c r="M28" s="57"/>
      <x:c r="N28" s="57"/>
      <x:c r="O28" s="57"/>
    </x:row>
    <x:row r="29" ht="15" hidden="0" customHeight="1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</x:row>
    <x:row r="30">
      <x:c r="A30" s="74" t="str">
        <x:v>关键解释：每张丹方固定1味独特君药，因此当前121张丹方原则上需要121味君材。每方3—6套认证解法不更换君药，只从通用臣行池、佐材调性池、使味池中选择不同价位、品质和药力的辅材组合。</x:v>
      </x:c>
      <x:c r="B30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C30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D30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E30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F30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G30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H30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I30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J30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K30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L30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M30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N30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O30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</x:row>
    <x:row r="31">
      <x:c r="A31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B31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C31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D31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E31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F31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G31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H31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I31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J31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K31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L31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M31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N31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O31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</x:row>
    <x:row r="32">
      <x:c r="A32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B32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C32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D32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E32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F32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G32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H32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I32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J32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K32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L32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M32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N32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  <x:c r="O32" s="74" t="str">
        <x:v>关键解释：每条丹方仍只有一个君位。修为丹1种、瞬回/缓回2种、大小突破2种，指的是不同丹方模板各有自己的君条件，不是同一张丹方塞入多个君位。清毒丹的歧义来自：洗灵根丹本身不分境界，那么它的丹毒解药是否也应不分境界。</x:v>
      </x:c>
    </x:row>
    <x:row r="33" ht="15" hidden="0" customHeight="1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</x:row>
    <x:row r="34">
      <x:c r="A34" s="42" t="str">
        <x:v>下一轮先做一个境界的垂直切片：以筑基为例，约15张丹方即约15味君材；再建立金木水火土臣材、寒凉平温热佐材、甘辛咸苦酸使材的通用池，并验算每方3—6套解法。</x:v>
      </x:c>
      <x:c r="B34" s="42" t="str">
        <x:v>推荐方案A的137条由：修为8＋回灵16＋破境15＋疗伤16＋清毒25＋永久强化16＋洗灵根1＋战斗32＋延寿8构成。若战斗丹改为5/6种，每增加1种就再增加8条模板。</x:v>
      </x:c>
      <x:c r="C34" s="42" t="str">
        <x:v>推荐方案A的137条由：修为8＋回灵16＋破境15＋疗伤16＋清毒25＋永久强化16＋洗灵根1＋战斗32＋延寿8构成。若战斗丹改为5/6种，每增加1种就再增加8条模板。</x:v>
      </x:c>
      <x:c r="D34" s="42" t="str">
        <x:v>推荐方案A的137条由：修为8＋回灵16＋破境15＋疗伤16＋清毒25＋永久强化16＋洗灵根1＋战斗32＋延寿8构成。若战斗丹改为5/6种，每增加1种就再增加8条模板。</x:v>
      </x:c>
      <x:c r="E34" s="42" t="str">
        <x:v>推荐方案A的137条由：修为8＋回灵16＋破境15＋疗伤16＋清毒25＋永久强化16＋洗灵根1＋战斗32＋延寿8构成。若战斗丹改为5/6种，每增加1种就再增加8条模板。</x:v>
      </x:c>
      <x:c r="F34" s="42" t="str">
        <x:v>推荐方案A的137条由：修为8＋回灵16＋破境15＋疗伤16＋清毒25＋永久强化16＋洗灵根1＋战斗32＋延寿8构成。若战斗丹改为5/6种，每增加1种就再增加8条模板。</x:v>
      </x:c>
      <x:c r="G34" s="42" t="str">
        <x:v>推荐方案A的137条由：修为8＋回灵16＋破境15＋疗伤16＋清毒25＋永久强化16＋洗灵根1＋战斗32＋延寿8构成。若战斗丹改为5/6种，每增加1种就再增加8条模板。</x:v>
      </x:c>
      <x:c r="H34" s="42" t="str">
        <x:v>推荐方案A的137条由：修为8＋回灵16＋破境15＋疗伤16＋清毒25＋永久强化16＋洗灵根1＋战斗32＋延寿8构成。若战斗丹改为5/6种，每增加1种就再增加8条模板。</x:v>
      </x:c>
      <x:c r="I34" s="42" t="str">
        <x:v>推荐方案A的137条由：修为8＋回灵16＋破境15＋疗伤16＋清毒25＋永久强化16＋洗灵根1＋战斗32＋延寿8构成。若战斗丹改为5/6种，每增加1种就再增加8条模板。</x:v>
      </x:c>
      <x:c r="J34" s="42" t="str">
        <x:v>推荐方案A的137条由：修为8＋回灵16＋破境15＋疗伤16＋清毒25＋永久强化16＋洗灵根1＋战斗32＋延寿8构成。若战斗丹改为5/6种，每增加1种就再增加8条模板。</x:v>
      </x:c>
      <x:c r="K34" s="42" t="str">
        <x:v>推荐方案A的137条由：修为8＋回灵16＋破境15＋疗伤16＋清毒25＋永久强化16＋洗灵根1＋战斗32＋延寿8构成。若战斗丹改为5/6种，每增加1种就再增加8条模板。</x:v>
      </x:c>
      <x:c r="L34" s="42" t="str">
        <x:v>推荐方案A的137条由：修为8＋回灵16＋破境15＋疗伤16＋清毒25＋永久强化16＋洗灵根1＋战斗32＋延寿8构成。若战斗丹改为5/6种，每增加1种就再增加8条模板。</x:v>
      </x:c>
      <x:c r="M34" s="42" t="str">
        <x:v>推荐方案A的137条由：修为8＋回灵16＋破境15＋疗伤16＋清毒25＋永久强化16＋洗灵根1＋战斗32＋延寿8构成。若战斗丹改为5/6种，每增加1种就再增加8条模板。</x:v>
      </x:c>
      <x:c r="N34" s="42" t="str">
        <x:v>推荐方案A的137条由：修为8＋回灵16＋破境15＋疗伤16＋清毒25＋永久强化16＋洗灵根1＋战斗32＋延寿8构成。若战斗丹改为5/6种，每增加1种就再增加8条模板。</x:v>
      </x:c>
      <x:c r="O34" s="42" t="str">
        <x:v>推荐方案A的137条由：修为8＋回灵16＋破境15＋疗伤16＋清毒25＋永久强化16＋洗灵根1＋战斗32＋延寿8构成。若战斗丹改为5/6种，每增加1种就再增加8条模板。</x:v>
      </x:c>
    </x:row>
    <x:row r="35">
      <x:c r="A35" s="42" t="str">
        <x:v>推荐方案A的137条由：修为8＋回灵16＋破境15＋疗伤16＋清毒25＋永久强化16＋洗灵根1＋战斗32＋延寿8构成。若战斗丹改为5/6种，每增加1种就再增加8条模板。</x:v>
      </x:c>
      <x:c r="B35" s="42" t="str">
        <x:v>推荐方案A的137条由：修为8＋回灵16＋破境15＋疗伤16＋清毒25＋永久强化16＋洗灵根1＋战斗32＋延寿8构成。若战斗丹改为5/6种，每增加1种就再增加8条模板。</x:v>
      </x:c>
      <x:c r="C35" s="42" t="str">
        <x:v>推荐方案A的137条由：修为8＋回灵16＋破境15＋疗伤16＋清毒25＋永久强化16＋洗灵根1＋战斗32＋延寿8构成。若战斗丹改为5/6种，每增加1种就再增加8条模板。</x:v>
      </x:c>
      <x:c r="D35" s="42" t="str">
        <x:v>推荐方案A的137条由：修为8＋回灵16＋破境15＋疗伤16＋清毒25＋永久强化16＋洗灵根1＋战斗32＋延寿8构成。若战斗丹改为5/6种，每增加1种就再增加8条模板。</x:v>
      </x:c>
      <x:c r="E35" s="42" t="str">
        <x:v>推荐方案A的137条由：修为8＋回灵16＋破境15＋疗伤16＋清毒25＋永久强化16＋洗灵根1＋战斗32＋延寿8构成。若战斗丹改为5/6种，每增加1种就再增加8条模板。</x:v>
      </x:c>
      <x:c r="F35" s="42" t="str">
        <x:v>推荐方案A的137条由：修为8＋回灵16＋破境15＋疗伤16＋清毒25＋永久强化16＋洗灵根1＋战斗32＋延寿8构成。若战斗丹改为5/6种，每增加1种就再增加8条模板。</x:v>
      </x:c>
      <x:c r="G35" s="42" t="str">
        <x:v>推荐方案A的137条由：修为8＋回灵16＋破境15＋疗伤16＋清毒25＋永久强化16＋洗灵根1＋战斗32＋延寿8构成。若战斗丹改为5/6种，每增加1种就再增加8条模板。</x:v>
      </x:c>
      <x:c r="H35" s="42" t="str">
        <x:v>推荐方案A的137条由：修为8＋回灵16＋破境15＋疗伤16＋清毒25＋永久强化16＋洗灵根1＋战斗32＋延寿8构成。若战斗丹改为5/6种，每增加1种就再增加8条模板。</x:v>
      </x:c>
      <x:c r="I35" s="42" t="str">
        <x:v>推荐方案A的137条由：修为8＋回灵16＋破境15＋疗伤16＋清毒25＋永久强化16＋洗灵根1＋战斗32＋延寿8构成。若战斗丹改为5/6种，每增加1种就再增加8条模板。</x:v>
      </x:c>
      <x:c r="J35" s="42" t="str">
        <x:v>推荐方案A的137条由：修为8＋回灵16＋破境15＋疗伤16＋清毒25＋永久强化16＋洗灵根1＋战斗32＋延寿8构成。若战斗丹改为5/6种，每增加1种就再增加8条模板。</x:v>
      </x:c>
      <x:c r="K35" s="42" t="str">
        <x:v>推荐方案A的137条由：修为8＋回灵16＋破境15＋疗伤16＋清毒25＋永久强化16＋洗灵根1＋战斗32＋延寿8构成。若战斗丹改为5/6种，每增加1种就再增加8条模板。</x:v>
      </x:c>
      <x:c r="L35" s="42" t="str">
        <x:v>推荐方案A的137条由：修为8＋回灵16＋破境15＋疗伤16＋清毒25＋永久强化16＋洗灵根1＋战斗32＋延寿8构成。若战斗丹改为5/6种，每增加1种就再增加8条模板。</x:v>
      </x:c>
      <x:c r="M35" s="42" t="str">
        <x:v>推荐方案A的137条由：修为8＋回灵16＋破境15＋疗伤16＋清毒25＋永久强化16＋洗灵根1＋战斗32＋延寿8构成。若战斗丹改为5/6种，每增加1种就再增加8条模板。</x:v>
      </x:c>
      <x:c r="N35" s="42" t="str">
        <x:v>推荐方案A的137条由：修为8＋回灵16＋破境15＋疗伤16＋清毒25＋永久强化16＋洗灵根1＋战斗32＋延寿8构成。若战斗丹改为5/6种，每增加1种就再增加8条模板。</x:v>
      </x:c>
      <x:c r="O35" s="42" t="str">
        <x:v>推荐方案A的137条由：修为8＋回灵16＋破境15＋疗伤16＋清毒25＋永久强化16＋洗灵根1＋战斗32＋延寿8构成。若战斗丹改为5/6种，每增加1种就再增加8条模板。</x:v>
      </x:c>
    </x:row>
    <x:row r="36">
      <x:c r="A36" s="42" t="str">
        <x:v>推荐方案A的137条由：修为8＋回灵16＋破境15＋疗伤16＋清毒25＋永久强化16＋洗灵根1＋战斗32＋延寿8构成。若战斗丹改为5/6种，每增加1种就再增加8条模板。</x:v>
      </x:c>
      <x:c r="B36" s="42" t="str">
        <x:v>推荐方案A的137条由：修为8＋回灵16＋破境15＋疗伤16＋清毒25＋永久强化16＋洗灵根1＋战斗32＋延寿8构成。若战斗丹改为5/6种，每增加1种就再增加8条模板。</x:v>
      </x:c>
      <x:c r="C36" s="42" t="str">
        <x:v>推荐方案A的137条由：修为8＋回灵16＋破境15＋疗伤16＋清毒25＋永久强化16＋洗灵根1＋战斗32＋延寿8构成。若战斗丹改为5/6种，每增加1种就再增加8条模板。</x:v>
      </x:c>
      <x:c r="D36" s="42" t="str">
        <x:v>推荐方案A的137条由：修为8＋回灵16＋破境15＋疗伤16＋清毒25＋永久强化16＋洗灵根1＋战斗32＋延寿8构成。若战斗丹改为5/6种，每增加1种就再增加8条模板。</x:v>
      </x:c>
      <x:c r="E36" s="42" t="str">
        <x:v>推荐方案A的137条由：修为8＋回灵16＋破境15＋疗伤16＋清毒25＋永久强化16＋洗灵根1＋战斗32＋延寿8构成。若战斗丹改为5/6种，每增加1种就再增加8条模板。</x:v>
      </x:c>
      <x:c r="F36" s="42" t="str">
        <x:v>推荐方案A的137条由：修为8＋回灵16＋破境15＋疗伤16＋清毒25＋永久强化16＋洗灵根1＋战斗32＋延寿8构成。若战斗丹改为5/6种，每增加1种就再增加8条模板。</x:v>
      </x:c>
      <x:c r="G36" s="42" t="str">
        <x:v>推荐方案A的137条由：修为8＋回灵16＋破境15＋疗伤16＋清毒25＋永久强化16＋洗灵根1＋战斗32＋延寿8构成。若战斗丹改为5/6种，每增加1种就再增加8条模板。</x:v>
      </x:c>
      <x:c r="H36" s="42" t="str">
        <x:v>推荐方案A的137条由：修为8＋回灵16＋破境15＋疗伤16＋清毒25＋永久强化16＋洗灵根1＋战斗32＋延寿8构成。若战斗丹改为5/6种，每增加1种就再增加8条模板。</x:v>
      </x:c>
      <x:c r="I36" s="42" t="str">
        <x:v>推荐方案A的137条由：修为8＋回灵16＋破境15＋疗伤16＋清毒25＋永久强化16＋洗灵根1＋战斗32＋延寿8构成。若战斗丹改为5/6种，每增加1种就再增加8条模板。</x:v>
      </x:c>
      <x:c r="J36" s="42" t="str">
        <x:v>推荐方案A的137条由：修为8＋回灵16＋破境15＋疗伤16＋清毒25＋永久强化16＋洗灵根1＋战斗32＋延寿8构成。若战斗丹改为5/6种，每增加1种就再增加8条模板。</x:v>
      </x:c>
      <x:c r="K36" s="42" t="str">
        <x:v>推荐方案A的137条由：修为8＋回灵16＋破境15＋疗伤16＋清毒25＋永久强化16＋洗灵根1＋战斗32＋延寿8构成。若战斗丹改为5/6种，每增加1种就再增加8条模板。</x:v>
      </x:c>
      <x:c r="L36" s="42" t="str">
        <x:v>推荐方案A的137条由：修为8＋回灵16＋破境15＋疗伤16＋清毒25＋永久强化16＋洗灵根1＋战斗32＋延寿8构成。若战斗丹改为5/6种，每增加1种就再增加8条模板。</x:v>
      </x:c>
      <x:c r="M36" s="42" t="str">
        <x:v>推荐方案A的137条由：修为8＋回灵16＋破境15＋疗伤16＋清毒25＋永久强化16＋洗灵根1＋战斗32＋延寿8构成。若战斗丹改为5/6种，每增加1种就再增加8条模板。</x:v>
      </x:c>
      <x:c r="N36" s="42" t="str">
        <x:v>推荐方案A的137条由：修为8＋回灵16＋破境15＋疗伤16＋清毒25＋永久强化16＋洗灵根1＋战斗32＋延寿8构成。若战斗丹改为5/6种，每增加1种就再增加8条模板。</x:v>
      </x:c>
      <x:c r="O36" s="42" t="str">
        <x:v>推荐方案A的137条由：修为8＋回灵16＋破境15＋疗伤16＋清毒25＋永久强化16＋洗灵根1＋战斗32＋延寿8构成。若战斗丹改为5/6种，每增加1种就再增加8条模板。</x:v>
      </x:c>
    </x:row>
  </x:sheetData>
  <x:mergeCells>
    <x:mergeCell ref="A1:O1"/>
    <x:mergeCell ref="A2:O2"/>
    <x:mergeCell ref="A4:O4"/>
    <x:mergeCell ref="A11:G11"/>
    <x:mergeCell ref="A22:E22"/>
    <x:mergeCell ref="A11:O11"/>
    <x:mergeCell ref="I22:M22"/>
    <x:mergeCell ref="A25:O25"/>
    <x:mergeCell ref="A30:O32"/>
    <x:mergeCell ref="A34:O36"/>
  </x:mergeCells>
  <x:dataValidations count="2">
    <x:dataValidation type="list" sqref="B7">
      <x:formula1>"4,5,6"</x:formula1>
    </x:dataValidation>
    <x:dataValidation type="list" sqref="B8">
      <x:formula1>"0,1"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18" hidden="0" customWidth="1"/>
    <x:col min="5" max="5" width="10" hidden="0" customWidth="1"/>
    <x:col min="6" max="6" width="28" hidden="0" customWidth="1"/>
    <x:col min="7" max="7" width="20" hidden="0" customWidth="1"/>
    <x:col min="8" max="8" width="22" hidden="0" customWidth="1"/>
    <x:col min="9" max="9" width="30" hidden="0" customWidth="1"/>
  </x:cols>
  <x:sheetData>
    <x:row r="1" ht="15" hidden="0" customHeight="1">
      <x:c r="A1" s="55" t="str">
        <x:v>四族九类与“3—6种解法”结构</x:v>
      </x:c>
      <x:c r="B1" s="55" t="str">
        <x:v>四族九类与“3—6种解法”结构</x:v>
      </x:c>
      <x:c r="C1" s="55" t="str">
        <x:v>四族九类与“3—6种解法”结构</x:v>
      </x:c>
      <x:c r="D1" s="55" t="str">
        <x:v>四族九类与“3—6种解法”结构</x:v>
      </x:c>
      <x:c r="E1" s="55" t="str">
        <x:v>四族九类与“3—6种解法”结构</x:v>
      </x:c>
      <x:c r="F1" s="55" t="str">
        <x:v>四族九类与“3—6种解法”结构</x:v>
      </x:c>
      <x:c r="G1" s="55" t="str">
        <x:v>四族九类与“3—6种解法”结构</x:v>
      </x:c>
      <x:c r="H1" s="55" t="str">
        <x:v>四族九类与“3—6种解法”结构</x:v>
      </x:c>
      <x:c r="I1" s="55" t="str">
        <x:v>四族九类与“3—6种解法”结构</x:v>
      </x:c>
    </x:row>
    <x:row r="2" ht="15" hidden="0" customHeight="1">
      <x:c r="A2" s="56" t="str">
        <x:v>四族是内容入口，九类是功能模板，丹方是属性约束，认证解法只是经过策划验证的代表配法</x:v>
      </x:c>
      <x:c r="B2" s="56" t="str">
        <x:v>四族是内容入口，九类是功能模板，丹方是属性约束，认证解法只是经过策划验证的代表配法</x:v>
      </x:c>
      <x:c r="C2" s="56" t="str">
        <x:v>四族是内容入口，九类是功能模板，丹方是属性约束，认证解法只是经过策划验证的代表配法</x:v>
      </x:c>
      <x:c r="D2" s="56" t="str">
        <x:v>四族是内容入口，九类是功能模板，丹方是属性约束，认证解法只是经过策划验证的代表配法</x:v>
      </x:c>
      <x:c r="E2" s="56" t="str">
        <x:v>四族是内容入口，九类是功能模板，丹方是属性约束，认证解法只是经过策划验证的代表配法</x:v>
      </x:c>
      <x:c r="F2" s="56" t="str">
        <x:v>四族是内容入口，九类是功能模板，丹方是属性约束，认证解法只是经过策划验证的代表配法</x:v>
      </x:c>
      <x:c r="G2" s="56" t="str">
        <x:v>四族是内容入口，九类是功能模板，丹方是属性约束，认证解法只是经过策划验证的代表配法</x:v>
      </x:c>
      <x:c r="H2" s="56" t="str">
        <x:v>四族是内容入口，九类是功能模板，丹方是属性约束，认证解法只是经过策划验证的代表配法</x:v>
      </x:c>
      <x:c r="I2" s="56" t="str">
        <x:v>四族是内容入口，九类是功能模板，丹方是属性约束，认证解法只是经过策划验证的代表配法</x:v>
      </x:c>
    </x:row>
    <x:row r="3" ht="15" hidden="0" customHeight="1">
      <x:c r="A3" s="57"/>
      <x:c r="B3" s="57"/>
      <x:c r="C3" s="57"/>
      <x:c r="D3" s="57"/>
      <x:c r="E3" s="57"/>
      <x:c r="F3" s="57"/>
      <x:c r="G3" s="57"/>
      <x:c r="H3" s="57"/>
      <x:c r="I3" s="57"/>
    </x:row>
    <x:row r="4" ht="15" hidden="0" customHeight="1">
      <x:c r="A4" s="58" t="str">
        <x:v>一、四族九类：建议内容结构</x:v>
      </x:c>
      <x:c r="B4" s="59" t="str">
        <x:v>一、四族九类：建议内容结构</x:v>
      </x:c>
      <x:c r="C4" s="59" t="str">
        <x:v>一、四族九类：建议内容结构</x:v>
      </x:c>
      <x:c r="D4" s="59" t="str">
        <x:v>一、四族九类：建议内容结构</x:v>
      </x:c>
      <x:c r="E4" s="59" t="str">
        <x:v>一、四族九类：建议内容结构</x:v>
      </x:c>
      <x:c r="F4" s="59" t="str">
        <x:v>一、四族九类：建议内容结构</x:v>
      </x:c>
      <x:c r="G4" s="59" t="str">
        <x:v>一、四族九类：建议内容结构</x:v>
      </x:c>
      <x:c r="H4" s="59" t="str">
        <x:v>一、四族九类：建议内容结构</x:v>
      </x:c>
      <x:c r="I4" s="60" t="str">
        <x:v>一、四族九类：建议内容结构</x:v>
      </x:c>
    </x:row>
    <x:row r="5" ht="15" hidden="0" customHeight="1">
      <x:c r="A5" s="49" t="str">
        <x:v>四族</x:v>
      </x:c>
      <x:c r="B5" s="49" t="str">
        <x:v>九类</x:v>
      </x:c>
      <x:c r="C5" s="49" t="str">
        <x:v>子丹方</x:v>
      </x:c>
      <x:c r="D5" s="49" t="str">
        <x:v>数量规则</x:v>
      </x:c>
      <x:c r="E5" s="49" t="str">
        <x:v>独特君材/方</x:v>
      </x:c>
      <x:c r="F5" s="49" t="str">
        <x:v>主要用途</x:v>
      </x:c>
      <x:c r="G5" s="49" t="str">
        <x:v>持续丹毒</x:v>
      </x:c>
      <x:c r="H5" s="49" t="str">
        <x:v>跨境复用</x:v>
      </x:c>
      <x:c r="I5" s="49" t="str">
        <x:v>备注</x:v>
      </x:c>
    </x:row>
    <x:row r="6" ht="15" hidden="0" customHeight="1">
      <x:c r="A6" s="28" t="str">
        <x:v>养</x:v>
      </x:c>
      <x:c r="B6" s="28" t="str">
        <x:v>修为</x:v>
      </x:c>
      <x:c r="C6" s="28" t="str">
        <x:v>修为丹</x:v>
      </x:c>
      <x:c r="D6" s="28" t="str">
        <x:v>1/境界</x:v>
      </x:c>
      <x:c r="E6" s="28" t="n">
        <x:v>1</x:v>
      </x:c>
      <x:c r="F6" s="28" t="str">
        <x:v>提高修为进度</x:v>
      </x:c>
      <x:c r="G6" s="28" t="str">
        <x:v>修为丹毒</x:v>
      </x:c>
      <x:c r="H6" s="28" t="str">
        <x:v>同属性结构，仅药力升级</x:v>
      </x:c>
      <x:c r="I6" s="28" t="str">
        <x:v>品质影响效率/丹毒，不另开丹方</x:v>
      </x:c>
    </x:row>
    <x:row r="7" ht="15" hidden="0" customHeight="1">
      <x:c r="A7" s="28" t="str">
        <x:v>养</x:v>
      </x:c>
      <x:c r="B7" s="28" t="str">
        <x:v>回灵</x:v>
      </x:c>
      <x:c r="C7" s="28" t="str">
        <x:v>瞬时回灵、持续回灵</x:v>
      </x:c>
      <x:c r="D7" s="28" t="str">
        <x:v>2/境界</x:v>
      </x:c>
      <x:c r="E7" s="28" t="n">
        <x:v>1</x:v>
      </x:c>
      <x:c r="F7" s="28" t="str">
        <x:v>战斗/探索灵力恢复</x:v>
      </x:c>
      <x:c r="G7" s="28" t="str">
        <x:v>不设独立永久毒</x:v>
      </x:c>
      <x:c r="H7" s="28" t="str">
        <x:v>同结构升级</x:v>
      </x:c>
      <x:c r="I7" s="28" t="str">
        <x:v>用急性负荷或短期耐药控制连吃</x:v>
      </x:c>
    </x:row>
    <x:row r="8" ht="15" hidden="0" customHeight="1">
      <x:c r="A8" s="28" t="str">
        <x:v>改</x:v>
      </x:c>
      <x:c r="B8" s="28" t="str">
        <x:v>破境</x:v>
      </x:c>
      <x:c r="C8" s="28" t="str">
        <x:v>小突破、大突破</x:v>
      </x:c>
      <x:c r="D8" s="28" t="str">
        <x:v>2/境界；最高境可少1</x:v>
      </x:c>
      <x:c r="E8" s="28" t="n">
        <x:v>1</x:v>
      </x:c>
      <x:c r="F8" s="28" t="str">
        <x:v>小层级/大境界突破</x:v>
      </x:c>
      <x:c r="G8" s="28" t="str">
        <x:v>可用突破内伤或失败反噬</x:v>
      </x:c>
      <x:c r="H8" s="28" t="str">
        <x:v>门槛升级</x:v>
      </x:c>
      <x:c r="I8" s="28" t="str">
        <x:v>大小分别是一张方</x:v>
      </x:c>
    </x:row>
    <x:row r="9" ht="15" hidden="0" customHeight="1">
      <x:c r="A9" s="28" t="str">
        <x:v>养</x:v>
      </x:c>
      <x:c r="B9" s="28" t="str">
        <x:v>疗伤</x:v>
      </x:c>
      <x:c r="C9" s="28" t="str">
        <x:v>瞬时疗伤、持续疗伤</x:v>
      </x:c>
      <x:c r="D9" s="28" t="str">
        <x:v>2/境界</x:v>
      </x:c>
      <x:c r="E9" s="28" t="n">
        <x:v>1</x:v>
      </x:c>
      <x:c r="F9" s="28" t="str">
        <x:v>生命即时/持续恢复</x:v>
      </x:c>
      <x:c r="G9" s="28" t="str">
        <x:v>不设独立永久毒</x:v>
      </x:c>
      <x:c r="H9" s="28" t="str">
        <x:v>同结构升级</x:v>
      </x:c>
      <x:c r="I9" s="28" t="str">
        <x:v>与回灵形成两组清晰镜像</x:v>
      </x:c>
    </x:row>
    <x:row r="10" ht="24" hidden="0" customHeight="1">
      <x:c r="A10" s="28" t="str">
        <x:v>清</x:v>
      </x:c>
      <x:c r="B10" s="28" t="str">
        <x:v>清毒</x:v>
      </x:c>
      <x:c r="C10" s="28" t="str">
        <x:v>修为清毒、灵根清毒</x:v>
      </x:c>
      <x:c r="D10" s="28" t="str">
        <x:v>修为1/境界＋灵根全局1</x:v>
      </x:c>
      <x:c r="E10" s="28" t="n">
        <x:v>1</x:v>
      </x:c>
      <x:c r="F10" s="28" t="str">
        <x:v>清除修为丹毒或灵根丹毒</x:v>
      </x:c>
      <x:c r="G10" s="28" t="str">
        <x:v>本身应低毒或无毒</x:v>
      </x:c>
      <x:c r="H10" s="28" t="str">
        <x:v>修为清毒随境界；灵根清毒全局</x:v>
      </x:c>
      <x:c r="I10" s="28" t="str">
        <x:v>不再设置永久强化、延寿专门清毒丹</x:v>
      </x:c>
    </x:row>
    <x:row r="11" ht="15" hidden="0" customHeight="1">
      <x:c r="A11" s="28" t="str">
        <x:v>改</x:v>
      </x:c>
      <x:c r="B11" s="28" t="str">
        <x:v>永久强化</x:v>
      </x:c>
      <x:c r="C11" s="28" t="str">
        <x:v>固本、养神</x:v>
      </x:c>
      <x:c r="D11" s="28" t="str">
        <x:v>2/境界</x:v>
      </x:c>
      <x:c r="E11" s="28" t="n">
        <x:v>1</x:v>
      </x:c>
      <x:c r="F11" s="28" t="str">
        <x:v>强化肉身/根基与神识</x:v>
      </x:c>
      <x:c r="G11" s="28" t="str">
        <x:v>永久强化丹毒</x:v>
      </x:c>
      <x:c r="H11" s="28" t="str">
        <x:v>同结构升级</x:v>
      </x:c>
      <x:c r="I11" s="28" t="str">
        <x:v>“其他”建议明确为固本，和养神成对</x:v>
      </x:c>
    </x:row>
    <x:row r="12" ht="15" hidden="0" customHeight="1">
      <x:c r="A12" s="28" t="str">
        <x:v>改</x:v>
      </x:c>
      <x:c r="B12" s="28" t="str">
        <x:v>洗灵根</x:v>
      </x:c>
      <x:c r="C12" s="28" t="str">
        <x:v>洗灵根丹</x:v>
      </x:c>
      <x:c r="D12" s="28" t="str">
        <x:v>全局1</x:v>
      </x:c>
      <x:c r="E12" s="28" t="n">
        <x:v>1</x:v>
      </x:c>
      <x:c r="F12" s="28" t="str">
        <x:v>改变/重塑灵根</x:v>
      </x:c>
      <x:c r="G12" s="28" t="str">
        <x:v>灵根丹毒</x:v>
      </x:c>
      <x:c r="H12" s="28" t="str">
        <x:v>不分境界</x:v>
      </x:c>
      <x:c r="I12" s="28" t="str">
        <x:v>极稀有，独立于八境循环</x:v>
      </x:c>
    </x:row>
    <x:row r="13" ht="15" hidden="0" customHeight="1">
      <x:c r="A13" s="28" t="str">
        <x:v>发</x:v>
      </x:c>
      <x:c r="B13" s="28" t="str">
        <x:v>战斗</x:v>
      </x:c>
      <x:c r="C13" s="28" t="str">
        <x:v>攻、防、速、神识（初版）</x:v>
      </x:c>
      <x:c r="D13" s="28" t="str">
        <x:v>暂按4/境界</x:v>
      </x:c>
      <x:c r="E13" s="28" t="n">
        <x:v>1</x:v>
      </x:c>
      <x:c r="F13" s="28" t="str">
        <x:v>短时战斗强化</x:v>
      </x:c>
      <x:c r="G13" s="28" t="str">
        <x:v>急性代价/抗药性</x:v>
      </x:c>
      <x:c r="H13" s="28" t="str">
        <x:v>同结构升级</x:v>
      </x:c>
      <x:c r="I13" s="28" t="str">
        <x:v>后续可扩控制抗性、爆发回复等</x:v>
      </x:c>
    </x:row>
    <x:row r="14" ht="15" hidden="0" customHeight="1">
      <x:c r="A14" s="28" t="str">
        <x:v>养</x:v>
      </x:c>
      <x:c r="B14" s="28" t="str">
        <x:v>延寿</x:v>
      </x:c>
      <x:c r="C14" s="28" t="str">
        <x:v>养命延寿丹</x:v>
      </x:c>
      <x:c r="D14" s="28" t="str">
        <x:v>1/境界</x:v>
      </x:c>
      <x:c r="E14" s="28" t="n">
        <x:v>1</x:v>
      </x:c>
      <x:c r="F14" s="28" t="str">
        <x:v>延长寿元</x:v>
      </x:c>
      <x:c r="G14" s="28" t="str">
        <x:v>延寿丹毒</x:v>
      </x:c>
      <x:c r="H14" s="28" t="str">
        <x:v>药力升级</x:v>
      </x:c>
      <x:c r="I14" s="28" t="str">
        <x:v>极稀有，君材应强绑定生态与剧情</x:v>
      </x:c>
    </x:row>
    <x:row r="15" ht="15" hidden="0" customHeight="1">
      <x:c r="A15" s="57"/>
      <x:c r="B15" s="57"/>
      <x:c r="C15" s="57"/>
      <x:c r="D15" s="57"/>
      <x:c r="E15" s="57"/>
      <x:c r="F15" s="57"/>
      <x:c r="G15" s="57"/>
      <x:c r="H15" s="57"/>
      <x:c r="I15" s="57"/>
    </x:row>
    <x:row r="16" ht="15" hidden="0" customHeight="1">
      <x:c r="A16" s="57"/>
      <x:c r="B16" s="57"/>
      <x:c r="C16" s="57"/>
      <x:c r="D16" s="57"/>
      <x:c r="E16" s="57"/>
      <x:c r="F16" s="57"/>
      <x:c r="G16" s="57"/>
      <x:c r="H16" s="57"/>
      <x:c r="I16" s="57"/>
    </x:row>
    <x:row r="17" ht="15" hidden="0" customHeight="1">
      <x:c r="A17" s="58" t="str">
        <x:v>二、三层结构：君药固定，辅材自由</x:v>
      </x:c>
      <x:c r="B17" s="59" t="str">
        <x:v>二、三层结构：不要再把“解法”叫成另一张丹方</x:v>
      </x:c>
      <x:c r="C17" s="59" t="str">
        <x:v>二、三层结构：不要再把“解法”叫成另一张丹方</x:v>
      </x:c>
      <x:c r="D17" s="59" t="str">
        <x:v>二、三层结构：不要再把“解法”叫成另一张丹方</x:v>
      </x:c>
      <x:c r="E17" s="59" t="str">
        <x:v>二、三层结构：不要再把“解法”叫成另一张丹方</x:v>
      </x:c>
      <x:c r="F17" s="59" t="str">
        <x:v>二、三层结构：不要再把“解法”叫成另一张丹方</x:v>
      </x:c>
      <x:c r="G17" s="59" t="str">
        <x:v>二、三层结构：不要再把“解法”叫成另一张丹方</x:v>
      </x:c>
      <x:c r="H17" s="59" t="str">
        <x:v>二、三层结构：不要再把“解法”叫成另一张丹方</x:v>
      </x:c>
      <x:c r="I17" s="60" t="str">
        <x:v>二、三层结构：不要再把“解法”叫成另一张丹方</x:v>
      </x:c>
    </x:row>
    <x:row r="18" ht="15" hidden="0" customHeight="1">
      <x:c r="A18" s="49" t="str">
        <x:v>层级</x:v>
      </x:c>
      <x:c r="B18" s="49" t="str">
        <x:v>定义</x:v>
      </x:c>
      <x:c r="C18" s="49" t="str">
        <x:v>是否绑定材料ID</x:v>
      </x:c>
      <x:c r="D18" s="49" t="str">
        <x:v>数量</x:v>
      </x:c>
      <x:c r="E18" s="49" t="str">
        <x:v>由谁维护</x:v>
      </x:c>
      <x:c r="F18" s="49" t="str">
        <x:v>玩家是否看见</x:v>
      </x:c>
      <x:c r="G18" s="49" t="str">
        <x:v>变化频率</x:v>
      </x:c>
      <x:c r="H18" s="49" t="str">
        <x:v>示例</x:v>
      </x:c>
      <x:c r="I18" s="49" t="str">
        <x:v>作用</x:v>
      </x:c>
    </x:row>
    <x:row r="19" ht="48" hidden="0" customHeight="1">
      <x:c r="A19" s="28" t="str">
        <x:v>丹方模板</x:v>
      </x:c>
      <x:c r="B19" s="28" t="str">
        <x:v>指定唯一君材ID、臣行、目标方性、使味、总药力与槽位</x:v>
      </x:c>
      <x:c r="C19" s="28" t="str">
        <x:v>只绑定君材ID</x:v>
      </x:c>
      <x:c r="D19" s="28" t="str">
        <x:v>121条</x:v>
      </x:c>
      <x:c r="E19" s="28" t="str">
        <x:v>策划配置</x:v>
      </x:c>
      <x:c r="F19" s="28" t="str">
        <x:v>获得丹方后可见</x:v>
      </x:c>
      <x:c r="G19" s="28" t="str">
        <x:v>低</x:v>
      </x:c>
      <x:c r="H19" s="28" t="str">
        <x:v>筑基修为丹：聚元芝＋土臣＋佐调全炉至平＋甘使＋总力X</x:v>
      </x:c>
      <x:c r="I19" s="28" t="str">
        <x:v>定义什么能炼成</x:v>
      </x:c>
    </x:row>
    <x:row r="20" ht="36" hidden="0" customHeight="1">
      <x:c r="A20" s="28" t="str">
        <x:v>认证解法</x:v>
      </x:c>
      <x:c r="B20" s="28" t="str">
        <x:v>固定君药，实际验算臣佐使材料与数量</x:v>
      </x:c>
      <x:c r="C20" s="28" t="str">
        <x:v>绑定示例辅材ID</x:v>
      </x:c>
      <x:c r="D20" s="28" t="str">
        <x:v>每模板3—6套</x:v>
      </x:c>
      <x:c r="E20" s="28" t="str">
        <x:v>策划/工具生成</x:v>
      </x:c>
      <x:c r="F20" s="28" t="str">
        <x:v>可探索、师承、试验发现</x:v>
      </x:c>
      <x:c r="G20" s="28" t="str">
        <x:v>中</x:v>
      </x:c>
      <x:c r="H20" s="28" t="str">
        <x:v>廉价辅材解、稳妥解、高品解</x:v>
      </x:c>
      <x:c r="I20" s="28" t="str">
        <x:v>保证内容可用并引导经济</x:v>
      </x:c>
    </x:row>
    <x:row r="21" ht="36" hidden="0" customHeight="1">
      <x:c r="A21" s="28" t="str">
        <x:v>玩家实际投料</x:v>
      </x:c>
      <x:c r="B21" s="28" t="str">
        <x:v>君药固定，本次选择臣佐使实例与数量</x:v>
      </x:c>
      <x:c r="C21" s="28" t="str">
        <x:v>是</x:v>
      </x:c>
      <x:c r="D21" s="28" t="str">
        <x:v>动态且可多于6套</x:v>
      </x:c>
      <x:c r="E21" s="28" t="str">
        <x:v>玩家</x:v>
      </x:c>
      <x:c r="F21" s="28" t="str">
        <x:v>完全可见</x:v>
      </x:c>
      <x:c r="G21" s="28" t="str">
        <x:v>高</x:v>
      </x:c>
      <x:c r="H21" s="28" t="str">
        <x:v>用本地便宜佐材替换标准佐材</x:v>
      </x:c>
      <x:c r="I21" s="28" t="str">
        <x:v>承载自由求解</x:v>
      </x:c>
    </x:row>
    <x:row r="22" ht="15" hidden="0" customHeight="1">
      <x:c r="A22" s="57"/>
      <x:c r="B22" s="57"/>
      <x:c r="C22" s="57"/>
      <x:c r="D22" s="57"/>
      <x:c r="E22" s="57"/>
      <x:c r="F22" s="57"/>
      <x:c r="G22" s="57"/>
      <x:c r="H22" s="57"/>
      <x:c r="I22" s="57"/>
    </x:row>
    <x:row r="23" ht="15" hidden="0" customHeight="1">
      <x:c r="A23" s="57"/>
      <x:c r="B23" s="57"/>
      <x:c r="C23" s="57"/>
      <x:c r="D23" s="57"/>
      <x:c r="E23" s="57"/>
      <x:c r="F23" s="57"/>
      <x:c r="G23" s="57"/>
      <x:c r="H23" s="57"/>
      <x:c r="I23" s="57"/>
    </x:row>
    <x:row r="24" ht="15" hidden="0" customHeight="1">
      <x:c r="A24" s="58" t="str">
        <x:v>三、每条丹方的3—6套认证解法固定同一君药</x:v>
      </x:c>
      <x:c r="B24" s="59" t="str">
        <x:v>三、每条丹方的3—6套认证解法应覆盖什么</x:v>
      </x:c>
      <x:c r="C24" s="59" t="str">
        <x:v>三、每条丹方的3—6套认证解法应覆盖什么</x:v>
      </x:c>
      <x:c r="D24" s="59" t="str">
        <x:v>三、每条丹方的3—6套认证解法应覆盖什么</x:v>
      </x:c>
      <x:c r="E24" s="59" t="str">
        <x:v>三、每条丹方的3—6套认证解法应覆盖什么</x:v>
      </x:c>
      <x:c r="F24" s="59" t="str">
        <x:v>三、每条丹方的3—6套认证解法应覆盖什么</x:v>
      </x:c>
      <x:c r="G24" s="59" t="str">
        <x:v>三、每条丹方的3—6套认证解法应覆盖什么</x:v>
      </x:c>
      <x:c r="H24" s="59" t="str">
        <x:v>三、每条丹方的3—6套认证解法应覆盖什么</x:v>
      </x:c>
      <x:c r="I24" s="60" t="str">
        <x:v>三、每条丹方的3—6套认证解法应覆盖什么</x:v>
      </x:c>
    </x:row>
    <x:row r="25" ht="15" hidden="0" customHeight="1">
      <x:c r="A25" s="49" t="str">
        <x:v>解法位</x:v>
      </x:c>
      <x:c r="B25" s="49" t="str">
        <x:v>定位</x:v>
      </x:c>
      <x:c r="C25" s="49" t="str">
        <x:v>成本</x:v>
      </x:c>
      <x:c r="D25" s="49" t="str">
        <x:v>成功稳定</x:v>
      </x:c>
      <x:c r="E25" s="49" t="str">
        <x:v>品质潜力</x:v>
      </x:c>
      <x:c r="F25" s="49" t="str">
        <x:v>材料稀有度</x:v>
      </x:c>
      <x:c r="G25" s="49" t="str">
        <x:v>数量利用</x:v>
      </x:c>
      <x:c r="H25" s="49" t="str">
        <x:v>设计目的</x:v>
      </x:c>
      <x:c r="I25" s="49" t="str">
        <x:v>是否必备</x:v>
      </x:c>
    </x:row>
    <x:row r="26" ht="24" hidden="0" customHeight="1">
      <x:c r="A26" s="28" t="n">
        <x:v>1</x:v>
      </x:c>
      <x:c r="B26" s="28" t="str">
        <x:v>标准方</x:v>
      </x:c>
      <x:c r="C26" s="28" t="str">
        <x:v>中</x:v>
      </x:c>
      <x:c r="D26" s="28" t="str">
        <x:v>高</x:v>
      </x:c>
      <x:c r="E26" s="28" t="str">
        <x:v>中</x:v>
      </x:c>
      <x:c r="F26" s="28" t="str">
        <x:v>常见/少量稀有</x:v>
      </x:c>
      <x:c r="G26" s="28" t="str">
        <x:v>均衡</x:v>
      </x:c>
      <x:c r="H26" s="28" t="str">
        <x:v>固定君药下的教学与默认推荐</x:v>
      </x:c>
      <x:c r="I26" s="28" t="str">
        <x:v>必备</x:v>
      </x:c>
    </x:row>
    <x:row r="27" ht="24" hidden="0" customHeight="1">
      <x:c r="A27" s="28" t="n">
        <x:v>2</x:v>
      </x:c>
      <x:c r="B27" s="28" t="str">
        <x:v>廉价方</x:v>
      </x:c>
      <x:c r="C27" s="28" t="str">
        <x:v>低</x:v>
      </x:c>
      <x:c r="D27" s="28" t="str">
        <x:v>中</x:v>
      </x:c>
      <x:c r="E27" s="28" t="str">
        <x:v>低—中</x:v>
      </x:c>
      <x:c r="F27" s="28" t="str">
        <x:v>常见</x:v>
      </x:c>
      <x:c r="G27" s="28" t="str">
        <x:v>常靠堆量</x:v>
      </x:c>
      <x:c r="H27" s="28" t="str">
        <x:v>用廉价臣佐使支撑炼丹卖药利润</x:v>
      </x:c>
      <x:c r="I27" s="28" t="str">
        <x:v>必备</x:v>
      </x:c>
    </x:row>
    <x:row r="28" ht="24" hidden="0" customHeight="1">
      <x:c r="A28" s="28" t="n">
        <x:v>3</x:v>
      </x:c>
      <x:c r="B28" s="28" t="str">
        <x:v>高质方</x:v>
      </x:c>
      <x:c r="C28" s="28" t="str">
        <x:v>高</x:v>
      </x:c>
      <x:c r="D28" s="28" t="str">
        <x:v>高</x:v>
      </x:c>
      <x:c r="E28" s="28" t="str">
        <x:v>高</x:v>
      </x:c>
      <x:c r="F28" s="28" t="str">
        <x:v>高品质/稀有</x:v>
      </x:c>
      <x:c r="G28" s="28" t="str">
        <x:v>低量高效</x:v>
      </x:c>
      <x:c r="H28" s="28" t="str">
        <x:v>用品质较高的臣佐使冲击高品丹</x:v>
      </x:c>
      <x:c r="I28" s="28" t="str">
        <x:v>必备</x:v>
      </x:c>
    </x:row>
    <x:row r="29" ht="15" hidden="0" customHeight="1">
      <x:c r="A29" s="28" t="n">
        <x:v>4</x:v>
      </x:c>
      <x:c r="B29" s="28" t="str">
        <x:v>本地生态方</x:v>
      </x:c>
      <x:c r="C29" s="28" t="str">
        <x:v>中低</x:v>
      </x:c>
      <x:c r="D29" s="28" t="str">
        <x:v>中</x:v>
      </x:c>
      <x:c r="E29" s="28" t="str">
        <x:v>中</x:v>
      </x:c>
      <x:c r="F29" s="28" t="str">
        <x:v>某区域易得</x:v>
      </x:c>
      <x:c r="G29" s="28" t="str">
        <x:v>偏科</x:v>
      </x:c>
      <x:c r="H29" s="28" t="str">
        <x:v>让地区资源改变经营路线</x:v>
      </x:c>
      <x:c r="I29" s="28" t="str">
        <x:v>可选</x:v>
      </x:c>
    </x:row>
    <x:row r="30" ht="15" hidden="0" customHeight="1">
      <x:c r="A30" s="28" t="n">
        <x:v>5</x:v>
      </x:c>
      <x:c r="B30" s="28" t="str">
        <x:v>低阶越境方</x:v>
      </x:c>
      <x:c r="C30" s="28" t="str">
        <x:v>高</x:v>
      </x:c>
      <x:c r="D30" s="28" t="str">
        <x:v>低—中</x:v>
      </x:c>
      <x:c r="E30" s="28" t="str">
        <x:v>中</x:v>
      </x:c>
      <x:c r="F30" s="28" t="str">
        <x:v>全高品质低阶材</x:v>
      </x:c>
      <x:c r="G30" s="28" t="str">
        <x:v>接近容量上限</x:v>
      </x:c>
      <x:c r="H30" s="28" t="str">
        <x:v>验证最多越一境</x:v>
      </x:c>
      <x:c r="I30" s="28" t="str">
        <x:v>可选</x:v>
      </x:c>
    </x:row>
    <x:row r="31" ht="24" hidden="0" customHeight="1">
      <x:c r="A31" s="28" t="n">
        <x:v>6</x:v>
      </x:c>
      <x:c r="B31" s="28" t="str">
        <x:v>特殊偏性方</x:v>
      </x:c>
      <x:c r="C31" s="28" t="str">
        <x:v>中高</x:v>
      </x:c>
      <x:c r="D31" s="28" t="str">
        <x:v>中</x:v>
      </x:c>
      <x:c r="E31" s="28" t="str">
        <x:v>中—高</x:v>
      </x:c>
      <x:c r="F31" s="28" t="str">
        <x:v>特定寒热组合</x:v>
      </x:c>
      <x:c r="G31" s="28" t="str">
        <x:v>精密配平</x:v>
      </x:c>
      <x:c r="H31" s="28" t="str">
        <x:v>展示非零寒热目标或特殊玩法</x:v>
      </x:c>
      <x:c r="I31" s="28" t="str">
        <x:v>可选</x:v>
      </x:c>
    </x:row>
    <x:row r="32" ht="15" hidden="0" customHeight="1">
      <x:c r="A32" s="57"/>
      <x:c r="B32" s="57"/>
      <x:c r="C32" s="57"/>
      <x:c r="D32" s="57"/>
      <x:c r="E32" s="57"/>
      <x:c r="F32" s="57"/>
      <x:c r="G32" s="57"/>
      <x:c r="H32" s="57"/>
      <x:c r="I32" s="57"/>
    </x:row>
    <x:row r="33" ht="15" hidden="0" customHeight="1">
      <x:c r="A33" s="57"/>
      <x:c r="B33" s="57"/>
      <x:c r="C33" s="57"/>
      <x:c r="D33" s="57"/>
      <x:c r="E33" s="57"/>
      <x:c r="F33" s="57"/>
      <x:c r="G33" s="57"/>
      <x:c r="H33" s="57"/>
      <x:c r="I33" s="57"/>
    </x:row>
    <x:row r="34">
      <x:c r="A34" s="32" t="str">
        <x:v>建议：君药是丹方内容锚点，不进入3—6套解法的替换范围；解法差异全部来自臣材、佐材、使材、品质和数量。这样既保持“一方一君”的识别度，也保留辅材经营与配伍空间。</x:v>
      </x:c>
      <x:c r="B34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C34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D34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E34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F34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G34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H34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I34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</x:row>
    <x:row r="35">
      <x:c r="A35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B35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C35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D35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E35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F35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G35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H35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I35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</x:row>
    <x:row r="36">
      <x:c r="A36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B36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C36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D36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E36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F36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G36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H36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  <x:c r="I36" s="32" t="str">
        <x:v>建议：系统判定不把合法组合硬限制为6套。若必须让总解法精确落在3—6，就必须增加材料互斥标签、角色白名单或配伍禁忌，代价是削弱“材料可替换”的核心乐趣。第17轮更推荐把3—6定义为策划认证和玩家可获知的显性解法数量。</x:v>
      </x:c>
    </x:row>
  </x:sheetData>
  <x:mergeCells>
    <x:mergeCell ref="A1:I1"/>
    <x:mergeCell ref="A2:I2"/>
    <x:mergeCell ref="A4:I4"/>
    <x:mergeCell ref="A17:I17"/>
    <x:mergeCell ref="A24:I24"/>
    <x:mergeCell ref="A34:I3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16" hidden="0" customWidth="1"/>
    <x:col min="4" max="4" width="18" hidden="0" customWidth="1"/>
    <x:col min="5" max="5" width="20" hidden="0" customWidth="1"/>
    <x:col min="6" max="6" width="24" hidden="0" customWidth="1"/>
    <x:col min="7" max="7" width="28" hidden="0" customWidth="1"/>
    <x:col min="8" max="8" width="25" hidden="0" customWidth="1"/>
  </x:cols>
  <x:sheetData>
    <x:row r="1" ht="15" hidden="0" customHeight="1">
      <x:c r="A1" s="55" t="str">
        <x:v>低成本炼丹卖药：经济闭环</x:v>
      </x:c>
      <x:c r="B1" s="55" t="str">
        <x:v>低成本炼丹卖药：经济闭环</x:v>
      </x:c>
      <x:c r="C1" s="55" t="str">
        <x:v>低成本炼丹卖药：经济闭环</x:v>
      </x:c>
      <x:c r="D1" s="55" t="str">
        <x:v>低成本炼丹卖药：经济闭环</x:v>
      </x:c>
      <x:c r="E1" s="55" t="str">
        <x:v>低成本炼丹卖药：经济闭环</x:v>
      </x:c>
      <x:c r="F1" s="55" t="str">
        <x:v>低成本炼丹卖药：经济闭环</x:v>
      </x:c>
      <x:c r="G1" s="55" t="str">
        <x:v>低成本炼丹卖药：经济闭环</x:v>
      </x:c>
      <x:c r="H1" s="55" t="str">
        <x:v>低成本炼丹卖药：经济闭环</x:v>
      </x:c>
    </x:row>
    <x:row r="2" ht="15" hidden="0" customHeight="1">
      <x:c r="A2" s="56" t="str">
        <x:v>固定价值锚点＋不同材料成本＋有限周转，不动态抹平玩家找到的好解法</x:v>
      </x:c>
      <x:c r="B2" s="56" t="str">
        <x:v>固定价值锚点＋不同材料成本＋有限周转，不动态抹平玩家找到的好解法</x:v>
      </x:c>
      <x:c r="C2" s="56" t="str">
        <x:v>固定价值锚点＋不同材料成本＋有限周转，不动态抹平玩家找到的好解法</x:v>
      </x:c>
      <x:c r="D2" s="56" t="str">
        <x:v>固定价值锚点＋不同材料成本＋有限周转，不动态抹平玩家找到的好解法</x:v>
      </x:c>
      <x:c r="E2" s="56" t="str">
        <x:v>固定价值锚点＋不同材料成本＋有限周转，不动态抹平玩家找到的好解法</x:v>
      </x:c>
      <x:c r="F2" s="56" t="str">
        <x:v>固定价值锚点＋不同材料成本＋有限周转，不动态抹平玩家找到的好解法</x:v>
      </x:c>
      <x:c r="G2" s="56" t="str">
        <x:v>固定价值锚点＋不同材料成本＋有限周转，不动态抹平玩家找到的好解法</x:v>
      </x:c>
      <x:c r="H2" s="56" t="str">
        <x:v>固定价值锚点＋不同材料成本＋有限周转，不动态抹平玩家找到的好解法</x:v>
      </x:c>
    </x:row>
    <x:row r="3" ht="15" hidden="0" customHeight="1">
      <x:c r="A3" s="57"/>
      <x:c r="B3" s="57"/>
      <x:c r="C3" s="57"/>
      <x:c r="D3" s="57"/>
      <x:c r="E3" s="57"/>
      <x:c r="F3" s="57"/>
      <x:c r="G3" s="57"/>
      <x:c r="H3" s="57"/>
    </x:row>
    <x:row r="4" ht="15" hidden="0" customHeight="1">
      <x:c r="A4" s="58" t="str">
        <x:v>一、利润公式与价格职责</x:v>
      </x:c>
      <x:c r="B4" s="59" t="str">
        <x:v>一、利润公式与价格职责</x:v>
      </x:c>
      <x:c r="C4" s="59" t="str">
        <x:v>一、利润公式与价格职责</x:v>
      </x:c>
      <x:c r="D4" s="59" t="str">
        <x:v>一、利润公式与价格职责</x:v>
      </x:c>
      <x:c r="E4" s="59" t="str">
        <x:v>一、利润公式与价格职责</x:v>
      </x:c>
      <x:c r="F4" s="59" t="str">
        <x:v>一、利润公式与价格职责</x:v>
      </x:c>
      <x:c r="G4" s="59" t="str">
        <x:v>一、利润公式与价格职责</x:v>
      </x:c>
      <x:c r="H4" s="60" t="str">
        <x:v>一、利润公式与价格职责</x:v>
      </x:c>
    </x:row>
    <x:row r="5" ht="15" hidden="0" customHeight="1">
      <x:c r="A5" s="49" t="str">
        <x:v>对象</x:v>
      </x:c>
      <x:c r="B5" s="49" t="str">
        <x:v>由什么决定</x:v>
      </x:c>
      <x:c r="C5" s="49" t="str">
        <x:v>是否固定</x:v>
      </x:c>
      <x:c r="D5" s="49" t="str">
        <x:v>进入公式</x:v>
      </x:c>
      <x:c r="E5" s="49" t="str">
        <x:v>玩家能否优化</x:v>
      </x:c>
      <x:c r="F5" s="49" t="str">
        <x:v>用途</x:v>
      </x:c>
      <x:c r="G5" s="49" t="str">
        <x:v>风险</x:v>
      </x:c>
      <x:c r="H5" s="49" t="str">
        <x:v>第17轮建议</x:v>
      </x:c>
    </x:row>
    <x:row r="6" ht="15" hidden="0" customHeight="1">
      <x:c r="A6" s="28" t="str">
        <x:v>丹药基础售价</x:v>
      </x:c>
      <x:c r="B6" s="28" t="str">
        <x:v>丹种×境界</x:v>
      </x:c>
      <x:c r="C6" s="28" t="str">
        <x:v>相对固定</x:v>
      </x:c>
      <x:c r="D6" s="28" t="str">
        <x:v>收入</x:v>
      </x:c>
      <x:c r="E6" s="28" t="str">
        <x:v>不能通过本次投料改变</x:v>
      </x:c>
      <x:c r="F6" s="28" t="str">
        <x:v>建立稳定价值锚</x:v>
      </x:c>
      <x:c r="G6" s="28" t="str">
        <x:v>全商店无限收购会刷钱</x:v>
      </x:c>
      <x:c r="H6" s="28" t="str">
        <x:v>冻结规则，后定数值</x:v>
      </x:c>
    </x:row>
    <x:row r="7" ht="24" hidden="0" customHeight="1">
      <x:c r="A7" s="28" t="str">
        <x:v>品质倍率</x:v>
      </x:c>
      <x:c r="B7" s="28" t="str">
        <x:v>凡/良/精/极品等品质档</x:v>
      </x:c>
      <x:c r="C7" s="28" t="str">
        <x:v>固定表</x:v>
      </x:c>
      <x:c r="D7" s="28" t="str">
        <x:v>收入乘数</x:v>
      </x:c>
      <x:c r="E7" s="28" t="str">
        <x:v>可通过材料/炉/技能提高概率</x:v>
      </x:c>
      <x:c r="F7" s="28" t="str">
        <x:v>奖励高品质生产线</x:v>
      </x:c>
      <x:c r="G7" s="28" t="str">
        <x:v>倍率过大挤压低质生意</x:v>
      </x:c>
      <x:c r="H7" s="28" t="str">
        <x:v>冻结职责</x:v>
      </x:c>
    </x:row>
    <x:row r="8" ht="15" hidden="0" customHeight="1">
      <x:c r="A8" s="28" t="str">
        <x:v>灵植成本</x:v>
      </x:c>
      <x:c r="B8" s="28" t="str">
        <x:v>区域供给、稀有度、品质、采集/购买方式</x:v>
      </x:c>
      <x:c r="C8" s="28" t="str">
        <x:v>变动</x:v>
      </x:c>
      <x:c r="D8" s="28" t="str">
        <x:v>成本</x:v>
      </x:c>
      <x:c r="E8" s="28" t="str">
        <x:v>是</x:v>
      </x:c>
      <x:c r="F8" s="28" t="str">
        <x:v>形成廉价替代与产地差</x:v>
      </x:c>
      <x:c r="G8" s="28" t="str">
        <x:v>刷新过快可无限套利</x:v>
      </x:c>
      <x:c r="H8" s="28" t="str">
        <x:v>核心可优化项</x:v>
      </x:c>
    </x:row>
    <x:row r="9" ht="15" hidden="0" customHeight="1">
      <x:c r="A9" s="28" t="str">
        <x:v>燃料与耗材</x:v>
      </x:c>
      <x:c r="B9" s="28" t="str">
        <x:v>丹炉境界、炼制时长、配方难度</x:v>
      </x:c>
      <x:c r="C9" s="28" t="str">
        <x:v>半固定</x:v>
      </x:c>
      <x:c r="D9" s="28" t="str">
        <x:v>成本</x:v>
      </x:c>
      <x:c r="E9" s="28" t="str">
        <x:v>部分</x:v>
      </x:c>
      <x:c r="F9" s="28" t="str">
        <x:v>提供持续成本</x:v>
      </x:c>
      <x:c r="G9" s="28" t="str">
        <x:v>过高会抹杀炼丹收益</x:v>
      </x:c>
      <x:c r="H9" s="28" t="str">
        <x:v>作为温和约束</x:v>
      </x:c>
    </x:row>
    <x:row r="10" ht="15" hidden="0" customHeight="1">
      <x:c r="A10" s="28" t="str">
        <x:v>失败期望损耗</x:v>
      </x:c>
      <x:c r="B10" s="28" t="str">
        <x:v>成功率与返还率</x:v>
      </x:c>
      <x:c r="C10" s="28" t="str">
        <x:v>变动</x:v>
      </x:c>
      <x:c r="D10" s="28" t="str">
        <x:v>期望成本</x:v>
      </x:c>
      <x:c r="E10" s="28" t="str">
        <x:v>是</x:v>
      </x:c>
      <x:c r="F10" s="28" t="str">
        <x:v>让技能/丹炉有经济价值</x:v>
      </x:c>
      <x:c r="G10" s="28" t="str">
        <x:v>低技能体验可能过度惩罚</x:v>
      </x:c>
      <x:c r="H10" s="28" t="str">
        <x:v>失败可返还少量残渣</x:v>
      </x:c>
    </x:row>
    <x:row r="11" ht="15" hidden="0" customHeight="1">
      <x:c r="A11" s="28" t="str">
        <x:v>时间成本</x:v>
      </x:c>
      <x:c r="B11" s="28" t="str">
        <x:v>采集、炼制、往返交易时间</x:v>
      </x:c>
      <x:c r="C11" s="28" t="str">
        <x:v>变动</x:v>
      </x:c>
      <x:c r="D11" s="28" t="str">
        <x:v>机会成本</x:v>
      </x:c>
      <x:c r="E11" s="28" t="str">
        <x:v>是</x:v>
      </x:c>
      <x:c r="F11" s="28" t="str">
        <x:v>限制无限周转</x:v>
      </x:c>
      <x:c r="G11" s="28" t="str">
        <x:v>过强会变成等待游戏</x:v>
      </x:c>
      <x:c r="H11" s="28" t="str">
        <x:v>与游戏时间系统联动</x:v>
      </x:c>
    </x:row>
    <x:row r="12" ht="24" hidden="0" customHeight="1">
      <x:c r="A12" s="28" t="str">
        <x:v>商人需求</x:v>
      </x:c>
      <x:c r="B12" s="28" t="str">
        <x:v>城市/门派/战争/疫情/库存</x:v>
      </x:c>
      <x:c r="C12" s="28" t="str">
        <x:v>周期变化</x:v>
      </x:c>
      <x:c r="D12" s="28" t="str">
        <x:v>销量上限</x:v>
      </x:c>
      <x:c r="E12" s="28" t="str">
        <x:v>是</x:v>
      </x:c>
      <x:c r="F12" s="28" t="str">
        <x:v>限制同点无限卖并制造商机</x:v>
      </x:c>
      <x:c r="G12" s="28" t="str">
        <x:v>完全动态压价会消灭发现感</x:v>
      </x:c>
      <x:c r="H12" s="28" t="str">
        <x:v>限量需求，不按玩家材料成本调价</x:v>
      </x:c>
    </x:row>
    <x:row r="13" ht="15" hidden="0" customHeight="1">
      <x:c r="A13" s="57"/>
      <x:c r="B13" s="57"/>
      <x:c r="C13" s="57"/>
      <x:c r="D13" s="57"/>
      <x:c r="E13" s="57"/>
      <x:c r="F13" s="57"/>
      <x:c r="G13" s="57"/>
      <x:c r="H13" s="57"/>
    </x:row>
    <x:row r="14">
      <x:c r="A14" s="18" t="str">
        <x:v>单炉期望利润 = 成品售价×成功率×期望产量 − 独特君药成本 − 臣佐使成本 − 燃料耗材 − 失败损耗 − 时间机会成本。君药建立不可绕过的成本底座；玩家主要通过寻找廉价臣佐使、提高品质利用率和成功率获得利润。</x:v>
      </x:c>
      <x:c r="B14" s="18" t="str">
        <x:v>单炉期望利润 = 成品售价×成功率×期望产量 − 灵植成本 − 燃料耗材 − 失败损耗 − 时间机会成本。真正可玩之处是玩家用识别、采集、区域信息与属性替换压低成本，而不是在固定材料清单里找唯一答案。</x:v>
      </x:c>
      <x:c r="C14" s="18" t="str">
        <x:v>单炉期望利润 = 成品售价×成功率×期望产量 − 灵植成本 − 燃料耗材 − 失败损耗 − 时间机会成本。真正可玩之处是玩家用识别、采集、区域信息与属性替换压低成本，而不是在固定材料清单里找唯一答案。</x:v>
      </x:c>
      <x:c r="D14" s="18" t="str">
        <x:v>单炉期望利润 = 成品售价×成功率×期望产量 − 灵植成本 − 燃料耗材 − 失败损耗 − 时间机会成本。真正可玩之处是玩家用识别、采集、区域信息与属性替换压低成本，而不是在固定材料清单里找唯一答案。</x:v>
      </x:c>
      <x:c r="E14" s="18" t="str">
        <x:v>单炉期望利润 = 成品售价×成功率×期望产量 − 灵植成本 − 燃料耗材 − 失败损耗 − 时间机会成本。真正可玩之处是玩家用识别、采集、区域信息与属性替换压低成本，而不是在固定材料清单里找唯一答案。</x:v>
      </x:c>
      <x:c r="F14" s="18" t="str">
        <x:v>单炉期望利润 = 成品售价×成功率×期望产量 − 灵植成本 − 燃料耗材 − 失败损耗 − 时间机会成本。真正可玩之处是玩家用识别、采集、区域信息与属性替换压低成本，而不是在固定材料清单里找唯一答案。</x:v>
      </x:c>
      <x:c r="G14" s="18" t="str">
        <x:v>单炉期望利润 = 成品售价×成功率×期望产量 − 灵植成本 − 燃料耗材 − 失败损耗 − 时间机会成本。真正可玩之处是玩家用识别、采集、区域信息与属性替换压低成本，而不是在固定材料清单里找唯一答案。</x:v>
      </x:c>
      <x:c r="H14" s="18" t="str">
        <x:v>单炉期望利润 = 成品售价×成功率×期望产量 − 灵植成本 − 燃料耗材 − 失败损耗 − 时间机会成本。真正可玩之处是玩家用识别、采集、区域信息与属性替换压低成本，而不是在固定材料清单里找唯一答案。</x:v>
      </x:c>
    </x:row>
    <x:row r="15">
      <x:c r="A15" s="18" t="str">
        <x:v>单炉期望利润 = 成品售价×成功率×期望产量 − 灵植成本 − 燃料耗材 − 失败损耗 − 时间机会成本。真正可玩之处是玩家用识别、采集、区域信息与属性替换压低成本，而不是在固定材料清单里找唯一答案。</x:v>
      </x:c>
      <x:c r="B15" s="18" t="str">
        <x:v>单炉期望利润 = 成品售价×成功率×期望产量 − 灵植成本 − 燃料耗材 − 失败损耗 − 时间机会成本。真正可玩之处是玩家用识别、采集、区域信息与属性替换压低成本，而不是在固定材料清单里找唯一答案。</x:v>
      </x:c>
      <x:c r="C15" s="18" t="str">
        <x:v>单炉期望利润 = 成品售价×成功率×期望产量 − 灵植成本 − 燃料耗材 − 失败损耗 − 时间机会成本。真正可玩之处是玩家用识别、采集、区域信息与属性替换压低成本，而不是在固定材料清单里找唯一答案。</x:v>
      </x:c>
      <x:c r="D15" s="18" t="str">
        <x:v>单炉期望利润 = 成品售价×成功率×期望产量 − 灵植成本 − 燃料耗材 − 失败损耗 − 时间机会成本。真正可玩之处是玩家用识别、采集、区域信息与属性替换压低成本，而不是在固定材料清单里找唯一答案。</x:v>
      </x:c>
      <x:c r="E15" s="18" t="str">
        <x:v>单炉期望利润 = 成品售价×成功率×期望产量 − 灵植成本 − 燃料耗材 − 失败损耗 − 时间机会成本。真正可玩之处是玩家用识别、采集、区域信息与属性替换压低成本，而不是在固定材料清单里找唯一答案。</x:v>
      </x:c>
      <x:c r="F15" s="18" t="str">
        <x:v>单炉期望利润 = 成品售价×成功率×期望产量 − 灵植成本 − 燃料耗材 − 失败损耗 − 时间机会成本。真正可玩之处是玩家用识别、采集、区域信息与属性替换压低成本，而不是在固定材料清单里找唯一答案。</x:v>
      </x:c>
      <x:c r="G15" s="18" t="str">
        <x:v>单炉期望利润 = 成品售价×成功率×期望产量 − 灵植成本 − 燃料耗材 − 失败损耗 − 时间机会成本。真正可玩之处是玩家用识别、采集、区域信息与属性替换压低成本，而不是在固定材料清单里找唯一答案。</x:v>
      </x:c>
      <x:c r="H15" s="18" t="str">
        <x:v>单炉期望利润 = 成品售价×成功率×期望产量 − 灵植成本 − 燃料耗材 − 失败损耗 − 时间机会成本。真正可玩之处是玩家用识别、采集、区域信息与属性替换压低成本，而不是在固定材料清单里找唯一答案。</x:v>
      </x:c>
    </x:row>
    <x:row r="16" ht="15" hidden="0" customHeight="1">
      <x:c r="A16" s="57"/>
      <x:c r="B16" s="57"/>
      <x:c r="C16" s="57"/>
      <x:c r="D16" s="57"/>
      <x:c r="E16" s="57"/>
      <x:c r="F16" s="57"/>
      <x:c r="G16" s="57"/>
      <x:c r="H16" s="57"/>
    </x:row>
    <x:row r="17" ht="15" hidden="0" customHeight="1">
      <x:c r="A17" s="57"/>
      <x:c r="B17" s="57"/>
      <x:c r="C17" s="57"/>
      <x:c r="D17" s="57"/>
      <x:c r="E17" s="57"/>
      <x:c r="F17" s="57"/>
      <x:c r="G17" s="57"/>
      <x:c r="H17" s="57"/>
    </x:row>
    <x:row r="18" ht="15" hidden="0" customHeight="1">
      <x:c r="A18" s="58" t="str">
        <x:v>二、允许赚钱，但要用世界运行限制周转</x:v>
      </x:c>
      <x:c r="B18" s="59" t="str">
        <x:v>二、允许赚钱，但要用世界运行限制周转</x:v>
      </x:c>
      <x:c r="C18" s="59" t="str">
        <x:v>二、允许赚钱，但要用世界运行限制周转</x:v>
      </x:c>
      <x:c r="D18" s="59" t="str">
        <x:v>二、允许赚钱，但要用世界运行限制周转</x:v>
      </x:c>
      <x:c r="E18" s="59" t="str">
        <x:v>二、允许赚钱，但要用世界运行限制周转</x:v>
      </x:c>
      <x:c r="F18" s="59" t="str">
        <x:v>二、允许赚钱，但要用世界运行限制周转</x:v>
      </x:c>
      <x:c r="G18" s="59" t="str">
        <x:v>二、允许赚钱，但要用世界运行限制周转</x:v>
      </x:c>
      <x:c r="H18" s="60" t="str">
        <x:v>二、允许赚钱，但要用世界运行限制周转</x:v>
      </x:c>
    </x:row>
    <x:row r="19" ht="15" hidden="0" customHeight="1">
      <x:c r="A19" s="49" t="str">
        <x:v>约束</x:v>
      </x:c>
      <x:c r="B19" s="49" t="str">
        <x:v>怎么做</x:v>
      </x:c>
      <x:c r="C19" s="49" t="str">
        <x:v>为什么自然</x:v>
      </x:c>
      <x:c r="D19" s="49" t="str">
        <x:v>是否影响单炉利润</x:v>
      </x:c>
      <x:c r="E19" s="49" t="str">
        <x:v>是否影响总周转</x:v>
      </x:c>
      <x:c r="F19" s="49" t="str">
        <x:v>玩家应对</x:v>
      </x:c>
      <x:c r="G19" s="49" t="str">
        <x:v>不建议做法</x:v>
      </x:c>
      <x:c r="H19" s="49" t="str">
        <x:v>状态</x:v>
      </x:c>
    </x:row>
    <x:row r="20" ht="15" hidden="0" customHeight="1">
      <x:c r="A20" s="28" t="str">
        <x:v>有限供给</x:v>
      </x:c>
      <x:c r="B20" s="28" t="str">
        <x:v>商店库存、采集点再生、季节产量</x:v>
      </x:c>
      <x:c r="C20" s="28" t="str">
        <x:v>灵植是生态资源</x:v>
      </x:c>
      <x:c r="D20" s="28" t="str">
        <x:v>少量</x:v>
      </x:c>
      <x:c r="E20" s="28" t="str">
        <x:v>强</x:v>
      </x:c>
      <x:c r="F20" s="28" t="str">
        <x:v>跑商、种植、换产地</x:v>
      </x:c>
      <x:c r="G20" s="28" t="str">
        <x:v>无限刷新同一廉价材</x:v>
      </x:c>
      <x:c r="H20" s="28" t="str">
        <x:v>建议冻结</x:v>
      </x:c>
    </x:row>
    <x:row r="21" ht="24" hidden="0" customHeight="1">
      <x:c r="A21" s="28" t="str">
        <x:v>有限需求</x:v>
      </x:c>
      <x:c r="B21" s="28" t="str">
        <x:v>不同城市按周期收购若干类丹药</x:v>
      </x:c>
      <x:c r="C21" s="28" t="str">
        <x:v>人口与事件有真实需要</x:v>
      </x:c>
      <x:c r="D21" s="28" t="str">
        <x:v>否</x:v>
      </x:c>
      <x:c r="E21" s="28" t="str">
        <x:v>强</x:v>
      </x:c>
      <x:c r="F21" s="28" t="str">
        <x:v>观察行情、换市场</x:v>
      </x:c>
      <x:c r="G21" s="28" t="str">
        <x:v>卖得越多系统就按材料成本压价</x:v>
      </x:c>
      <x:c r="H21" s="28" t="str">
        <x:v>建议冻结</x:v>
      </x:c>
    </x:row>
    <x:row r="22" ht="15" hidden="0" customHeight="1">
      <x:c r="A22" s="28" t="str">
        <x:v>炼制时间</x:v>
      </x:c>
      <x:c r="B22" s="28" t="str">
        <x:v>高境丹与高品质尝试占用更长时间</x:v>
      </x:c>
      <x:c r="C22" s="28" t="str">
        <x:v>炼丹本身需要火候</x:v>
      </x:c>
      <x:c r="D22" s="28" t="str">
        <x:v>间接</x:v>
      </x:c>
      <x:c r="E22" s="28" t="str">
        <x:v>中</x:v>
      </x:c>
      <x:c r="F22" s="28" t="str">
        <x:v>提高技能和炉效</x:v>
      </x:c>
      <x:c r="G22" s="28" t="str">
        <x:v>纯现实时间墙</x:v>
      </x:c>
      <x:c r="H22" s="28" t="str">
        <x:v>建议冻结</x:v>
      </x:c>
    </x:row>
    <x:row r="23" ht="24" hidden="0" customHeight="1">
      <x:c r="A23" s="28" t="str">
        <x:v>失败风险</x:v>
      </x:c>
      <x:c r="B23" s="28" t="str">
        <x:v>越境、偏门解法或低炉境增加失败</x:v>
      </x:c>
      <x:c r="C23" s="28" t="str">
        <x:v>属性虽达标，操作仍有难度</x:v>
      </x:c>
      <x:c r="D23" s="28" t="str">
        <x:v>是</x:v>
      </x:c>
      <x:c r="E23" s="28" t="str">
        <x:v>中</x:v>
      </x:c>
      <x:c r="F23" s="28" t="str">
        <x:v>升级技能/炉、选稳妥方</x:v>
      </x:c>
      <x:c r="G23" s="28" t="str">
        <x:v>无提示的随机吞材料</x:v>
      </x:c>
      <x:c r="H23" s="28" t="str">
        <x:v>建议冻结</x:v>
      </x:c>
    </x:row>
    <x:row r="24" ht="24" hidden="0" customHeight="1">
      <x:c r="A24" s="28" t="str">
        <x:v>事件波动</x:v>
      </x:c>
      <x:c r="B24" s="28" t="str">
        <x:v>战乱抬高疗伤/战斗丹需求，灵灾影响某行灵植供给</x:v>
      </x:c>
      <x:c r="C24" s="28" t="str">
        <x:v>与世界观五行运行连通</x:v>
      </x:c>
      <x:c r="D24" s="28" t="str">
        <x:v>否</x:v>
      </x:c>
      <x:c r="E24" s="28" t="str">
        <x:v>中—强</x:v>
      </x:c>
      <x:c r="F24" s="28" t="str">
        <x:v>提前囤货或改炼别类</x:v>
      </x:c>
      <x:c r="G24" s="28" t="str">
        <x:v>全图同价、无地方差</x:v>
      </x:c>
      <x:c r="H24" s="28" t="str">
        <x:v>建议冻结</x:v>
      </x:c>
    </x:row>
    <x:row r="25" ht="15" hidden="0" customHeight="1">
      <x:c r="A25" s="57"/>
      <x:c r="B25" s="57"/>
      <x:c r="C25" s="57"/>
      <x:c r="D25" s="57"/>
      <x:c r="E25" s="57"/>
      <x:c r="F25" s="57"/>
      <x:c r="G25" s="57"/>
      <x:c r="H25" s="57"/>
    </x:row>
    <x:row r="26" ht="15" hidden="0" customHeight="1">
      <x:c r="A26" s="57"/>
      <x:c r="B26" s="57"/>
      <x:c r="C26" s="57"/>
      <x:c r="D26" s="57"/>
      <x:c r="E26" s="57"/>
      <x:c r="F26" s="57"/>
      <x:c r="G26" s="57"/>
      <x:c r="H26" s="57"/>
    </x:row>
    <x:row r="27" ht="15" hidden="0" customHeight="1">
      <x:c r="A27" s="58" t="str">
        <x:v>三、价格表后续至少需要的字段</x:v>
      </x:c>
      <x:c r="B27" s="59" t="str">
        <x:v>三、价格表后续至少需要的字段</x:v>
      </x:c>
      <x:c r="C27" s="59" t="str">
        <x:v>三、价格表后续至少需要的字段</x:v>
      </x:c>
      <x:c r="D27" s="59" t="str">
        <x:v>三、价格表后续至少需要的字段</x:v>
      </x:c>
      <x:c r="E27" s="59" t="str">
        <x:v>三、价格表后续至少需要的字段</x:v>
      </x:c>
      <x:c r="F27" s="59" t="str">
        <x:v>三、价格表后续至少需要的字段</x:v>
      </x:c>
      <x:c r="G27" s="59" t="str">
        <x:v>三、价格表后续至少需要的字段</x:v>
      </x:c>
      <x:c r="H27" s="60" t="str">
        <x:v>三、价格表后续至少需要的字段</x:v>
      </x:c>
    </x:row>
    <x:row r="28" ht="15" hidden="0" customHeight="1">
      <x:c r="A28" s="49" t="str">
        <x:v>表</x:v>
      </x:c>
      <x:c r="B28" s="49" t="str">
        <x:v>关键字段</x:v>
      </x:c>
      <x:c r="C28" s="49" t="str">
        <x:v>基础价</x:v>
      </x:c>
      <x:c r="D28" s="49" t="str">
        <x:v>境界倍率</x:v>
      </x:c>
      <x:c r="E28" s="49" t="str">
        <x:v>品质倍率</x:v>
      </x:c>
      <x:c r="F28" s="49" t="str">
        <x:v>地区倍率</x:v>
      </x:c>
      <x:c r="G28" s="49" t="str">
        <x:v>事件倍率</x:v>
      </x:c>
      <x:c r="H28" s="49" t="str">
        <x:v>备注</x:v>
      </x:c>
    </x:row>
    <x:row r="29" ht="15" hidden="0" customHeight="1">
      <x:c r="A29" s="28" t="str">
        <x:v>丹药价格表</x:v>
      </x:c>
      <x:c r="B29" s="28" t="str">
        <x:v>丹方ID/境界/品质</x:v>
      </x:c>
      <x:c r="C29" s="28" t="str">
        <x:v>按丹种</x:v>
      </x:c>
      <x:c r="D29" s="28" t="str">
        <x:v>必填</x:v>
      </x:c>
      <x:c r="E29" s="28" t="str">
        <x:v>必填</x:v>
      </x:c>
      <x:c r="F29" s="28" t="str">
        <x:v>可选</x:v>
      </x:c>
      <x:c r="G29" s="28" t="str">
        <x:v>可选</x:v>
      </x:c>
      <x:c r="H29" s="28" t="str">
        <x:v>售价不引用本炉材料ID</x:v>
      </x:c>
    </x:row>
    <x:row r="30" ht="15" hidden="0" customHeight="1">
      <x:c r="A30" s="28" t="str">
        <x:v>灵植价格表</x:v>
      </x:c>
      <x:c r="B30" s="28" t="str">
        <x:v>灵植ID/境界/品质/地区</x:v>
      </x:c>
      <x:c r="C30" s="28" t="str">
        <x:v>按物种</x:v>
      </x:c>
      <x:c r="D30" s="28" t="str">
        <x:v>必填</x:v>
      </x:c>
      <x:c r="E30" s="28" t="str">
        <x:v>必填</x:v>
      </x:c>
      <x:c r="F30" s="28" t="str">
        <x:v>必填</x:v>
      </x:c>
      <x:c r="G30" s="28" t="str">
        <x:v>可选</x:v>
      </x:c>
      <x:c r="H30" s="28" t="str">
        <x:v>材料价负责产生套利空间</x:v>
      </x:c>
    </x:row>
    <x:row r="31" ht="24" hidden="0" customHeight="1">
      <x:c r="A31" s="28" t="str">
        <x:v>商人需求表</x:v>
      </x:c>
      <x:c r="B31" s="28" t="str">
        <x:v>地区/时间/事件/丹种</x:v>
      </x:c>
      <x:c r="C31" s="28" t="str">
        <x:v>—</x:v>
      </x:c>
      <x:c r="D31" s="28" t="str">
        <x:v>—</x:v>
      </x:c>
      <x:c r="E31" s="28" t="str">
        <x:v>—</x:v>
      </x:c>
      <x:c r="F31" s="28" t="str">
        <x:v>必填</x:v>
      </x:c>
      <x:c r="G31" s="28" t="str">
        <x:v>必填</x:v>
      </x:c>
      <x:c r="H31" s="28" t="str">
        <x:v>控制收购数量和周期，不必实时改价</x:v>
      </x:c>
    </x:row>
    <x:row r="32" ht="15" hidden="0" customHeight="1">
      <x:c r="A32" s="57"/>
      <x:c r="B32" s="57"/>
      <x:c r="C32" s="57"/>
      <x:c r="D32" s="57"/>
      <x:c r="E32" s="57"/>
      <x:c r="F32" s="57"/>
      <x:c r="G32" s="57"/>
      <x:c r="H32" s="57"/>
    </x:row>
    <x:row r="33" ht="15" hidden="0" customHeight="1">
      <x:c r="A33" s="57"/>
      <x:c r="B33" s="57"/>
      <x:c r="C33" s="57"/>
      <x:c r="D33" s="57"/>
      <x:c r="E33" s="57"/>
      <x:c r="F33" s="57"/>
      <x:c r="G33" s="57"/>
      <x:c r="H33" s="57"/>
    </x:row>
    <x:row r="34">
      <x:c r="A34" s="32" t="str">
        <x:v>数值目标建议：每条丹方固定同一君药，至少提供1套稳定辅材解、1套低成本辅材解、1套高品质辅材解。低成本路线不能绕过君药，但可以通过便宜臣佐使形成明确利润。</x:v>
      </x:c>
      <x:c r="B34" s="32" t="str">
        <x:v>数值目标建议：每条丹方的认证解法中，至少1套在正常行情下有明确正利润；至少1套更稳但利润较低；至少1套用于冲品质而非追求最高利润。</x:v>
      </x:c>
      <x:c r="C34" s="32" t="str">
        <x:v>数值目标建议：每条丹方的认证解法中，至少1套在正常行情下有明确正利润；至少1套更稳但利润较低；至少1套用于冲品质而非追求最高利润。</x:v>
      </x:c>
      <x:c r="D34" s="32" t="str">
        <x:v>数值目标建议：每条丹方的认证解法中，至少1套在正常行情下有明确正利润；至少1套更稳但利润较低；至少1套用于冲品质而非追求最高利润。</x:v>
      </x:c>
      <x:c r="E34" s="32" t="str">
        <x:v>数值目标建议：每条丹方的认证解法中，至少1套在正常行情下有明确正利润；至少1套更稳但利润较低；至少1套用于冲品质而非追求最高利润。</x:v>
      </x:c>
      <x:c r="F34" s="32" t="str">
        <x:v>数值目标建议：每条丹方的认证解法中，至少1套在正常行情下有明确正利润；至少1套更稳但利润较低；至少1套用于冲品质而非追求最高利润。</x:v>
      </x:c>
      <x:c r="G34" s="32" t="str">
        <x:v>数值目标建议：每条丹方的认证解法中，至少1套在正常行情下有明确正利润；至少1套更稳但利润较低；至少1套用于冲品质而非追求最高利润。</x:v>
      </x:c>
      <x:c r="H34" s="32" t="str">
        <x:v>数值目标建议：每条丹方的认证解法中，至少1套在正常行情下有明确正利润；至少1套更稳但利润较低；至少1套用于冲品质而非追求最高利润。</x:v>
      </x:c>
    </x:row>
    <x:row r="35">
      <x:c r="A35" s="32" t="str">
        <x:v>数值目标建议：每条丹方的认证解法中，至少1套在正常行情下有明确正利润；至少1套更稳但利润较低；至少1套用于冲品质而非追求最高利润。</x:v>
      </x:c>
      <x:c r="B35" s="32" t="str">
        <x:v>数值目标建议：每条丹方的认证解法中，至少1套在正常行情下有明确正利润；至少1套更稳但利润较低；至少1套用于冲品质而非追求最高利润。</x:v>
      </x:c>
      <x:c r="C35" s="32" t="str">
        <x:v>数值目标建议：每条丹方的认证解法中，至少1套在正常行情下有明确正利润；至少1套更稳但利润较低；至少1套用于冲品质而非追求最高利润。</x:v>
      </x:c>
      <x:c r="D35" s="32" t="str">
        <x:v>数值目标建议：每条丹方的认证解法中，至少1套在正常行情下有明确正利润；至少1套更稳但利润较低；至少1套用于冲品质而非追求最高利润。</x:v>
      </x:c>
      <x:c r="E35" s="32" t="str">
        <x:v>数值目标建议：每条丹方的认证解法中，至少1套在正常行情下有明确正利润；至少1套更稳但利润较低；至少1套用于冲品质而非追求最高利润。</x:v>
      </x:c>
      <x:c r="F35" s="32" t="str">
        <x:v>数值目标建议：每条丹方的认证解法中，至少1套在正常行情下有明确正利润；至少1套更稳但利润较低；至少1套用于冲品质而非追求最高利润。</x:v>
      </x:c>
      <x:c r="G35" s="32" t="str">
        <x:v>数值目标建议：每条丹方的认证解法中，至少1套在正常行情下有明确正利润；至少1套更稳但利润较低；至少1套用于冲品质而非追求最高利润。</x:v>
      </x:c>
      <x:c r="H35" s="32" t="str">
        <x:v>数值目标建议：每条丹方的认证解法中，至少1套在正常行情下有明确正利润；至少1套更稳但利润较低；至少1套用于冲品质而非追求最高利润。</x:v>
      </x:c>
    </x:row>
  </x:sheetData>
  <x:mergeCells>
    <x:mergeCell ref="A1:H1"/>
    <x:mergeCell ref="A2:H2"/>
    <x:mergeCell ref="A4:H4"/>
    <x:mergeCell ref="A14:H15"/>
    <x:mergeCell ref="A18:H18"/>
    <x:mergeCell ref="A27:H27"/>
    <x:mergeCell ref="A34:H35"/>
  </x:mergeCells>
  <x:conditionalFormatting sqref="H20:H24">
    <x:cfRule type="containsText" dxfId="20" priority="1" operator="containsText" text="已共识"/>
    <x:cfRule type="containsText" dxfId="21" priority="2" operator="containsText" text="建议冻结"/>
    <x:cfRule type="containsText" dxfId="22" priority="3" operator="containsText" text="待裁"/>
    <x:cfRule type="containsText" dxfId="23" priority="4" operator="containsText" text="风险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1" hidden="0" customWidth="1"/>
    <x:col min="3" max="3" width="28" hidden="0" customWidth="1"/>
    <x:col min="4" max="4" width="25" hidden="0" customWidth="1"/>
    <x:col min="5" max="5" width="17" hidden="0" customWidth="1"/>
    <x:col min="6" max="6" width="17" hidden="0" customWidth="1"/>
    <x:col min="7" max="7" width="18" hidden="0" customWidth="1"/>
    <x:col min="8" max="8" width="20" hidden="0" customWidth="1"/>
    <x:col min="9" max="9" width="30" hidden="0" customWidth="1"/>
  </x:cols>
  <x:sheetData>
    <x:row r="1" ht="15" hidden="0" customHeight="1">
      <x:c r="A1" s="55" t="str">
        <x:v>炼制成功与成品品质：职责拆分</x:v>
      </x:c>
      <x:c r="B1" s="55" t="str">
        <x:v>炼制成功与成品品质：职责拆分</x:v>
      </x:c>
      <x:c r="C1" s="55" t="str">
        <x:v>炼制成功与成品品质：职责拆分</x:v>
      </x:c>
      <x:c r="D1" s="55" t="str">
        <x:v>炼制成功与成品品质：职责拆分</x:v>
      </x:c>
      <x:c r="E1" s="55" t="str">
        <x:v>炼制成功与成品品质：职责拆分</x:v>
      </x:c>
      <x:c r="F1" s="55" t="str">
        <x:v>炼制成功与成品品质：职责拆分</x:v>
      </x:c>
      <x:c r="G1" s="55" t="str">
        <x:v>炼制成功与成品品质：职责拆分</x:v>
      </x:c>
      <x:c r="H1" s="55" t="str">
        <x:v>炼制成功与成品品质：职责拆分</x:v>
      </x:c>
      <x:c r="I1" s="55" t="str">
        <x:v>炼制成功与成品品质：职责拆分</x:v>
      </x:c>
    </x:row>
    <x:row r="2" ht="15" hidden="0" customHeight="1">
      <x:c r="A2" s="56" t="str">
        <x:v>回答“每次炼丹的品质由谁决定”：不是单项，而是材料、丹炉、技能与随机共同作用；丹炉境界另管资格与成功</x:v>
      </x:c>
      <x:c r="B2" s="56" t="str">
        <x:v>回答“每次炼丹的品质由谁决定”：不是单项，而是材料、丹炉、技能与随机共同作用；丹炉境界另管资格与成功</x:v>
      </x:c>
      <x:c r="C2" s="56" t="str">
        <x:v>回答“每次炼丹的品质由谁决定”：不是单项，而是材料、丹炉、技能与随机共同作用；丹炉境界另管资格与成功</x:v>
      </x:c>
      <x:c r="D2" s="56" t="str">
        <x:v>回答“每次炼丹的品质由谁决定”：不是单项，而是材料、丹炉、技能与随机共同作用；丹炉境界另管资格与成功</x:v>
      </x:c>
      <x:c r="E2" s="56" t="str">
        <x:v>回答“每次炼丹的品质由谁决定”：不是单项，而是材料、丹炉、技能与随机共同作用；丹炉境界另管资格与成功</x:v>
      </x:c>
      <x:c r="F2" s="56" t="str">
        <x:v>回答“每次炼丹的品质由谁决定”：不是单项，而是材料、丹炉、技能与随机共同作用；丹炉境界另管资格与成功</x:v>
      </x:c>
      <x:c r="G2" s="56" t="str">
        <x:v>回答“每次炼丹的品质由谁决定”：不是单项，而是材料、丹炉、技能与随机共同作用；丹炉境界另管资格与成功</x:v>
      </x:c>
      <x:c r="H2" s="56" t="str">
        <x:v>回答“每次炼丹的品质由谁决定”：不是单项，而是材料、丹炉、技能与随机共同作用；丹炉境界另管资格与成功</x:v>
      </x:c>
      <x:c r="I2" s="56" t="str">
        <x:v>回答“每次炼丹的品质由谁决定”：不是单项，而是材料、丹炉、技能与随机共同作用；丹炉境界另管资格与成功</x:v>
      </x:c>
    </x:row>
    <x:row r="3" ht="15" hidden="0" customHeight="1">
      <x:c r="A3" s="57"/>
      <x:c r="B3" s="57"/>
      <x:c r="C3" s="57"/>
      <x:c r="D3" s="57"/>
      <x:c r="E3" s="57"/>
      <x:c r="F3" s="57"/>
      <x:c r="G3" s="57"/>
      <x:c r="H3" s="57"/>
      <x:c r="I3" s="57"/>
    </x:row>
    <x:row r="4" ht="15" hidden="0" customHeight="1">
      <x:c r="A4" s="58" t="str">
        <x:v>一、结算顺序</x:v>
      </x:c>
      <x:c r="B4" s="59" t="str">
        <x:v>一、结算顺序</x:v>
      </x:c>
      <x:c r="C4" s="59" t="str">
        <x:v>一、结算顺序</x:v>
      </x:c>
      <x:c r="D4" s="59" t="str">
        <x:v>一、结算顺序</x:v>
      </x:c>
      <x:c r="E4" s="59" t="str">
        <x:v>一、结算顺序</x:v>
      </x:c>
      <x:c r="F4" s="59" t="str">
        <x:v>一、结算顺序</x:v>
      </x:c>
      <x:c r="G4" s="59" t="str">
        <x:v>一、结算顺序</x:v>
      </x:c>
      <x:c r="H4" s="59" t="str">
        <x:v>一、结算顺序</x:v>
      </x:c>
      <x:c r="I4" s="60" t="str">
        <x:v>一、结算顺序</x:v>
      </x:c>
    </x:row>
    <x:row r="5" ht="15" hidden="0" customHeight="1">
      <x:c r="A5" s="49" t="str">
        <x:v>阶段</x:v>
      </x:c>
      <x:c r="B5" s="49" t="str">
        <x:v>输入</x:v>
      </x:c>
      <x:c r="C5" s="49" t="str">
        <x:v>主要判定</x:v>
      </x:c>
      <x:c r="D5" s="49" t="str">
        <x:v>输出</x:v>
      </x:c>
      <x:c r="E5" s="49" t="str">
        <x:v>失败时</x:v>
      </x:c>
      <x:c r="F5" s="49" t="str">
        <x:v>丹炉境界</x:v>
      </x:c>
      <x:c r="G5" s="49" t="str">
        <x:v>丹炉品质</x:v>
      </x:c>
      <x:c r="H5" s="49" t="str">
        <x:v>炼丹技能</x:v>
      </x:c>
      <x:c r="I5" s="49" t="str">
        <x:v>材料品质</x:v>
      </x:c>
    </x:row>
    <x:row r="6" ht="24" hidden="0" customHeight="1">
      <x:c r="A6" s="28" t="n">
        <x:v>1</x:v>
      </x:c>
      <x:c r="B6" s="28" t="str">
        <x:v>指定君材、臣材、佐材、使材与数量</x:v>
      </x:c>
      <x:c r="C6" s="28" t="str">
        <x:v>君药ID、臣行、目标方性、使味、总药力、槽位</x:v>
      </x:c>
      <x:c r="D6" s="28" t="str">
        <x:v>合格/不合格</x:v>
      </x:c>
      <x:c r="E6" s="28" t="str">
        <x:v>不进入炼制或直接判坏方</x:v>
      </x:c>
      <x:c r="F6" s="28" t="str">
        <x:v>只检查能否承载</x:v>
      </x:c>
      <x:c r="G6" s="28" t="str">
        <x:v>不参与</x:v>
      </x:c>
      <x:c r="H6" s="28" t="str">
        <x:v>可提供配伍容错</x:v>
      </x:c>
      <x:c r="I6" s="28" t="str">
        <x:v>所有材料药力进入总门槛</x:v>
      </x:c>
    </x:row>
    <x:row r="7" ht="24" hidden="0" customHeight="1">
      <x:c r="A7" s="28" t="n">
        <x:v>2</x:v>
      </x:c>
      <x:c r="B7" s="28" t="str">
        <x:v>合格投料</x:v>
      </x:c>
      <x:c r="C7" s="28" t="str">
        <x:v>炼制成功率</x:v>
      </x:c>
      <x:c r="D7" s="28" t="str">
        <x:v>成功/失败</x:v>
      </x:c>
      <x:c r="E7" s="28" t="str">
        <x:v>损失材料并返残渣</x:v>
      </x:c>
      <x:c r="F7" s="28" t="str">
        <x:v>核心：同境基准、低境惩罚、高境加成</x:v>
      </x:c>
      <x:c r="G7" s="28" t="str">
        <x:v>小幅稳定</x:v>
      </x:c>
      <x:c r="H7" s="28" t="str">
        <x:v>核心：提升成功与容错</x:v>
      </x:c>
      <x:c r="I7" s="28" t="str">
        <x:v>纯净度可小幅影响</x:v>
      </x:c>
    </x:row>
    <x:row r="8" ht="24" hidden="0" customHeight="1">
      <x:c r="A8" s="28" t="n">
        <x:v>3</x:v>
      </x:c>
      <x:c r="B8" s="28" t="str">
        <x:v>成功丹胚</x:v>
      </x:c>
      <x:c r="C8" s="28" t="str">
        <x:v>成品品质概率池</x:v>
      </x:c>
      <x:c r="D8" s="28" t="str">
        <x:v>凡/良/精/极品等</x:v>
      </x:c>
      <x:c r="E8" s="28" t="str">
        <x:v>—</x:v>
      </x:c>
      <x:c r="F8" s="28" t="str">
        <x:v>不直接决定档位</x:v>
      </x:c>
      <x:c r="G8" s="28" t="str">
        <x:v>核心：给基础概率分布与炉上限</x:v>
      </x:c>
      <x:c r="H8" s="28" t="str">
        <x:v>把概率向高档推移</x:v>
      </x:c>
      <x:c r="I8" s="28" t="str">
        <x:v>给材料潜力、纯净度与软上限</x:v>
      </x:c>
    </x:row>
    <x:row r="9" ht="15" hidden="0" customHeight="1">
      <x:c r="A9" s="57"/>
      <x:c r="B9" s="57"/>
      <x:c r="C9" s="57"/>
      <x:c r="D9" s="57"/>
      <x:c r="E9" s="57"/>
      <x:c r="F9" s="57"/>
      <x:c r="G9" s="57"/>
      <x:c r="H9" s="57"/>
      <x:c r="I9" s="57"/>
    </x:row>
    <x:row r="10" ht="15" hidden="0" customHeight="1">
      <x:c r="A10" s="57"/>
      <x:c r="B10" s="57"/>
      <x:c r="C10" s="57"/>
      <x:c r="D10" s="57"/>
      <x:c r="E10" s="57"/>
      <x:c r="F10" s="57"/>
      <x:c r="G10" s="57"/>
      <x:c r="H10" s="57"/>
      <x:c r="I10" s="57"/>
    </x:row>
    <x:row r="11" ht="15" hidden="0" customHeight="1">
      <x:c r="A11" s="58" t="str">
        <x:v>二、四个品质因子的明确职责</x:v>
      </x:c>
      <x:c r="B11" s="59" t="str">
        <x:v>二、四个品质因子的明确职责</x:v>
      </x:c>
      <x:c r="C11" s="59" t="str">
        <x:v>二、四个品质因子的明确职责</x:v>
      </x:c>
      <x:c r="D11" s="59" t="str">
        <x:v>二、四个品质因子的明确职责</x:v>
      </x:c>
      <x:c r="E11" s="59" t="str">
        <x:v>二、四个品质因子的明确职责</x:v>
      </x:c>
      <x:c r="F11" s="59" t="str">
        <x:v>二、四个品质因子的明确职责</x:v>
      </x:c>
      <x:c r="G11" s="59" t="str">
        <x:v>二、四个品质因子的明确职责</x:v>
      </x:c>
      <x:c r="H11" s="59" t="str">
        <x:v>二、四个品质因子的明确职责</x:v>
      </x:c>
      <x:c r="I11" s="60" t="str">
        <x:v>二、四个品质因子的明确职责</x:v>
      </x:c>
    </x:row>
    <x:row r="12" ht="15" hidden="0" customHeight="1">
      <x:c r="A12" s="49" t="str">
        <x:v>因子</x:v>
      </x:c>
      <x:c r="B12" s="49" t="str">
        <x:v>决定什么</x:v>
      </x:c>
      <x:c r="C12" s="49" t="str">
        <x:v>不决定什么</x:v>
      </x:c>
      <x:c r="D12" s="49" t="str">
        <x:v>建议算法角色</x:v>
      </x:c>
      <x:c r="E12" s="49" t="str">
        <x:v>上限作用</x:v>
      </x:c>
      <x:c r="F12" s="49" t="str">
        <x:v>概率作用</x:v>
      </x:c>
      <x:c r="G12" s="49" t="str">
        <x:v>可被谁改善</x:v>
      </x:c>
      <x:c r="H12" s="49" t="str">
        <x:v>玩家理解</x:v>
      </x:c>
      <x:c r="I12" s="49" t="str">
        <x:v>状态</x:v>
      </x:c>
    </x:row>
    <x:row r="13" ht="36" hidden="0" customHeight="1">
      <x:c r="A13" s="28" t="str">
        <x:v>材料综合品质</x:v>
      </x:c>
      <x:c r="B13" s="28" t="str">
        <x:v>本炉丹胚潜力、纯净度、丹毒倾向</x:v>
      </x:c>
      <x:c r="C13" s="28" t="str">
        <x:v>炼制资格本身</x:v>
      </x:c>
      <x:c r="D13" s="28" t="str">
        <x:v>按所有材料对总药力的实际贡献加权；超过门槛的药力设收益上限</x:v>
      </x:c>
      <x:c r="E13" s="28" t="str">
        <x:v>形成材料软上限</x:v>
      </x:c>
      <x:c r="F13" s="28" t="str">
        <x:v>高品质使高品档权重上升</x:v>
      </x:c>
      <x:c r="G13" s="28" t="str">
        <x:v>灵植品质、采收保真、选材</x:v>
      </x:c>
      <x:c r="H13" s="28" t="str">
        <x:v>好药材决定天花板</x:v>
      </x:c>
      <x:c r="I13" s="28" t="str">
        <x:v>建议冻结</x:v>
      </x:c>
    </x:row>
    <x:row r="14" ht="15" hidden="0" customHeight="1">
      <x:c r="A14" s="28" t="str">
        <x:v>丹炉品质</x:v>
      </x:c>
      <x:c r="B14" s="28" t="str">
        <x:v>同境炉的基础出品分布与炉内稳定</x:v>
      </x:c>
      <x:c r="C14" s="28" t="str">
        <x:v>替代属性配伍</x:v>
      </x:c>
      <x:c r="D14" s="28" t="str">
        <x:v>读取一张炉品质概率表</x:v>
      </x:c>
      <x:c r="E14" s="28" t="str">
        <x:v>形成炉具上限</x:v>
      </x:c>
      <x:c r="F14" s="28" t="str">
        <x:v>给初始权重</x:v>
      </x:c>
      <x:c r="G14" s="28" t="str">
        <x:v>换更好品质丹炉</x:v>
      </x:c>
      <x:c r="H14" s="28" t="str">
        <x:v>好炉决定底盘</x:v>
      </x:c>
      <x:c r="I14" s="28" t="str">
        <x:v>建议冻结</x:v>
      </x:c>
    </x:row>
    <x:row r="15" ht="24" hidden="0" customHeight="1">
      <x:c r="A15" s="28" t="str">
        <x:v>炼丹技能</x:v>
      </x:c>
      <x:c r="B15" s="28" t="str">
        <x:v>成功率、容错、高品位移</x:v>
      </x:c>
      <x:c r="C15" s="28" t="str">
        <x:v>突破材料/丹炉硬上限</x:v>
      </x:c>
      <x:c r="D15" s="28" t="str">
        <x:v>对概率池做有限上移，降低最低档权重</x:v>
      </x:c>
      <x:c r="E15" s="28" t="str">
        <x:v>不能破上限</x:v>
      </x:c>
      <x:c r="F15" s="28" t="str">
        <x:v>核心位移项</x:v>
      </x:c>
      <x:c r="G15" s="28" t="str">
        <x:v>升级地道炼丹技能</x:v>
      </x:c>
      <x:c r="H15" s="28" t="str">
        <x:v>高手更稳定地接近上限</x:v>
      </x:c>
      <x:c r="I15" s="28" t="str">
        <x:v>建议冻结</x:v>
      </x:c>
    </x:row>
    <x:row r="16" ht="24" hidden="0" customHeight="1">
      <x:c r="A16" s="28" t="str">
        <x:v>随机</x:v>
      </x:c>
      <x:c r="B16" s="28" t="str">
        <x:v>本炉最终落在哪一档</x:v>
      </x:c>
      <x:c r="C16" s="28" t="str">
        <x:v>改变长期期望结构</x:v>
      </x:c>
      <x:c r="D16" s="28" t="str">
        <x:v>从修正后的概率池抽取</x:v>
      </x:c>
      <x:c r="E16" s="28" t="str">
        <x:v>受上限截断</x:v>
      </x:c>
      <x:c r="F16" s="28" t="str">
        <x:v>最终抽样</x:v>
      </x:c>
      <x:c r="G16" s="28" t="str">
        <x:v>无法消除，只能压缩坏结果</x:v>
      </x:c>
      <x:c r="H16" s="28" t="str">
        <x:v>同样条件仍有火候波动</x:v>
      </x:c>
      <x:c r="I16" s="28" t="str">
        <x:v>建议冻结</x:v>
      </x:c>
    </x:row>
    <x:row r="17" ht="15" hidden="0" customHeight="1">
      <x:c r="A17" s="57"/>
      <x:c r="B17" s="57"/>
      <x:c r="C17" s="57"/>
      <x:c r="D17" s="57"/>
      <x:c r="E17" s="57"/>
      <x:c r="F17" s="57"/>
      <x:c r="G17" s="57"/>
      <x:c r="H17" s="57"/>
      <x:c r="I17" s="57"/>
    </x:row>
    <x:row r="18">
      <x:c r="A18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B18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C18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D18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E18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F18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G18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H18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I18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</x:row>
    <x:row r="19">
      <x:c r="A19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B19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C19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D19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E19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F19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G19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H19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I19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</x:row>
    <x:row r="20">
      <x:c r="A20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B20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C20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D20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E20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F20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G20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H20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  <x:c r="I20" s="32" t="str">
        <x:v>建议的上限表达：最终可达最高品质 ≤ min（材料综合品质＋1档，丹炉品质＋1档）。这只是结构示意，具体“＋1”是否保留要纸推；炼丹技能只能提高接近上限的概率，不能把普通材料和普通炉强行炼成最高品质。</x:v>
      </x:c>
    </x:row>
    <x:row r="21" ht="15" hidden="0" customHeight="1">
      <x:c r="A21" s="57"/>
      <x:c r="B21" s="57"/>
      <x:c r="C21" s="57"/>
      <x:c r="D21" s="57"/>
      <x:c r="E21" s="57"/>
      <x:c r="F21" s="57"/>
      <x:c r="G21" s="57"/>
      <x:c r="H21" s="57"/>
      <x:c r="I21" s="57"/>
    </x:row>
    <x:row r="22" ht="15" hidden="0" customHeight="1">
      <x:c r="A22" s="57"/>
      <x:c r="B22" s="57"/>
      <x:c r="C22" s="57"/>
      <x:c r="D22" s="57"/>
      <x:c r="E22" s="57"/>
      <x:c r="F22" s="57"/>
      <x:c r="G22" s="57"/>
      <x:c r="H22" s="57"/>
      <x:c r="I22" s="57"/>
    </x:row>
    <x:row r="23" ht="15" hidden="0" customHeight="1">
      <x:c r="A23" s="58" t="str">
        <x:v>三、丹炉、炼丹技能、灵植术、灵植品质分别管什么</x:v>
      </x:c>
      <x:c r="B23" s="59" t="str">
        <x:v>三、丹炉、炼丹技能、灵植术、灵植品质分别管什么</x:v>
      </x:c>
      <x:c r="C23" s="59" t="str">
        <x:v>三、丹炉、炼丹技能、灵植术、灵植品质分别管什么</x:v>
      </x:c>
      <x:c r="D23" s="59" t="str">
        <x:v>三、丹炉、炼丹技能、灵植术、灵植品质分别管什么</x:v>
      </x:c>
      <x:c r="E23" s="59" t="str">
        <x:v>三、丹炉、炼丹技能、灵植术、灵植品质分别管什么</x:v>
      </x:c>
      <x:c r="F23" s="59" t="str">
        <x:v>三、丹炉、炼丹技能、灵植术、灵植品质分别管什么</x:v>
      </x:c>
      <x:c r="G23" s="59" t="str">
        <x:v>三、丹炉、炼丹技能、灵植术、灵植品质分别管什么</x:v>
      </x:c>
      <x:c r="H23" s="59" t="str">
        <x:v>三、丹炉、炼丹技能、灵植术、灵植品质分别管什么</x:v>
      </x:c>
      <x:c r="I23" s="60" t="str">
        <x:v>三、丹炉、炼丹技能、灵植术、灵植品质分别管什么</x:v>
      </x:c>
    </x:row>
    <x:row r="24" ht="15" hidden="0" customHeight="1">
      <x:c r="A24" s="49" t="str">
        <x:v>对象</x:v>
      </x:c>
      <x:c r="B24" s="49" t="str">
        <x:v>主职责</x:v>
      </x:c>
      <x:c r="C24" s="49" t="str">
        <x:v>次职责</x:v>
      </x:c>
      <x:c r="D24" s="49" t="str">
        <x:v>可见信息</x:v>
      </x:c>
      <x:c r="E24" s="49" t="str">
        <x:v>能否提高基础药力</x:v>
      </x:c>
      <x:c r="F24" s="49" t="str">
        <x:v>能否提高实得药力</x:v>
      </x:c>
      <x:c r="G24" s="49" t="str">
        <x:v>能否影响成功率</x:v>
      </x:c>
      <x:c r="H24" s="49" t="str">
        <x:v>能否影响成品品质</x:v>
      </x:c>
      <x:c r="I24" s="49" t="str">
        <x:v>备注</x:v>
      </x:c>
    </x:row>
    <x:row r="25" ht="15" hidden="0" customHeight="1">
      <x:c r="A25" s="28" t="str">
        <x:v>丹炉境界</x:v>
      </x:c>
      <x:c r="B25" s="28" t="str">
        <x:v>允许炼制的最高丹药境界</x:v>
      </x:c>
      <x:c r="C25" s="28" t="str">
        <x:v>同境/越境成功修正与容量</x:v>
      </x:c>
      <x:c r="D25" s="28" t="str">
        <x:v>明确标注可炼境界</x:v>
      </x:c>
      <x:c r="E25" s="28" t="str">
        <x:v>否</x:v>
      </x:c>
      <x:c r="F25" s="28" t="str">
        <x:v>否</x:v>
      </x:c>
      <x:c r="G25" s="28" t="str">
        <x:v>是</x:v>
      </x:c>
      <x:c r="H25" s="28" t="str">
        <x:v>原则上不直接决定品质档</x:v>
      </x:c>
      <x:c r="I25" s="28" t="str">
        <x:v>低两境不可炼；低一境高惩罚</x:v>
      </x:c>
    </x:row>
    <x:row r="26" ht="15" hidden="0" customHeight="1">
      <x:c r="A26" s="28" t="str">
        <x:v>丹炉品质</x:v>
      </x:c>
      <x:c r="B26" s="28" t="str">
        <x:v>成品品质基础概率池</x:v>
      </x:c>
      <x:c r="C26" s="28" t="str">
        <x:v>小幅成功稳定</x:v>
      </x:c>
      <x:c r="D26" s="28" t="str">
        <x:v>显示各品质概率区间</x:v>
      </x:c>
      <x:c r="E26" s="28" t="str">
        <x:v>否</x:v>
      </x:c>
      <x:c r="F26" s="28" t="str">
        <x:v>否</x:v>
      </x:c>
      <x:c r="G26" s="28" t="str">
        <x:v>小幅</x:v>
      </x:c>
      <x:c r="H26" s="28" t="str">
        <x:v>是</x:v>
      </x:c>
      <x:c r="I26" s="28" t="str">
        <x:v>同境不同品质丹炉的主要差别</x:v>
      </x:c>
    </x:row>
    <x:row r="27" ht="15" hidden="0" customHeight="1">
      <x:c r="A27" s="28" t="str">
        <x:v>地道炼丹技能</x:v>
      </x:c>
      <x:c r="B27" s="28" t="str">
        <x:v>成功率与配伍容错</x:v>
      </x:c>
      <x:c r="C27" s="28" t="str">
        <x:v>把出品概率向高档推移</x:v>
      </x:c>
      <x:c r="D27" s="28" t="str">
        <x:v>显示成功率与风险提示</x:v>
      </x:c>
      <x:c r="E27" s="28" t="str">
        <x:v>否</x:v>
      </x:c>
      <x:c r="F27" s="28" t="str">
        <x:v>否</x:v>
      </x:c>
      <x:c r="G27" s="28" t="str">
        <x:v>是</x:v>
      </x:c>
      <x:c r="H27" s="28" t="str">
        <x:v>是</x:v>
      </x:c>
      <x:c r="I27" s="28" t="str">
        <x:v>不突破材料/丹炉上限</x:v>
      </x:c>
    </x:row>
    <x:row r="28" ht="36" hidden="0" customHeight="1">
      <x:c r="A28" s="28" t="str">
        <x:v>灵植术</x:v>
      </x:c>
      <x:c r="B28" s="28" t="str">
        <x:v>识别材品、主职字段与五性；采集时保留药力、品质、完整度与产量</x:v>
      </x:c>
      <x:c r="C28" s="28" t="str">
        <x:v>采集时保留药力、品质、完整度与产量</x:v>
      </x:c>
      <x:c r="D28" s="28" t="str">
        <x:v>随等级显示：君核/臣行/使味，以及四材共有的五性、药力与品质</x:v>
      </x:c>
      <x:c r="E28" s="28" t="str">
        <x:v>否</x:v>
      </x:c>
      <x:c r="F28" s="28" t="str">
        <x:v>是</x:v>
      </x:c>
      <x:c r="G28" s="28" t="str">
        <x:v>间接</x:v>
      </x:c>
      <x:c r="H28" s="28" t="str">
        <x:v>间接</x:v>
      </x:c>
      <x:c r="I28" s="28" t="str">
        <x:v>技能不会让一种材品获得另一材品的主职字段，也不改变物种五性</x:v>
      </x:c>
    </x:row>
    <x:row r="29" ht="24" hidden="0" customHeight="1">
      <x:c r="A29" s="28" t="str">
        <x:v>灵植品质</x:v>
      </x:c>
      <x:c r="B29" s="28" t="str">
        <x:v>有效药力系数</x:v>
      </x:c>
      <x:c r="C29" s="28" t="str">
        <x:v>纯净度/丹毒与品质概率修正</x:v>
      </x:c>
      <x:c r="D29" s="28" t="str">
        <x:v>不改材品、君核、臣行、五性、使味或境界</x:v>
      </x:c>
      <x:c r="E29" s="28" t="str">
        <x:v>不改物种基础值</x:v>
      </x:c>
      <x:c r="F29" s="28" t="str">
        <x:v>自身就是实得差异</x:v>
      </x:c>
      <x:c r="G29" s="28" t="str">
        <x:v>小幅</x:v>
      </x:c>
      <x:c r="H29" s="28" t="str">
        <x:v>是</x:v>
      </x:c>
      <x:c r="I29" s="28" t="str">
        <x:v>不改变五行、寒热、五味和境界</x:v>
      </x:c>
    </x:row>
    <x:row r="30" ht="15" hidden="0" customHeight="1">
      <x:c r="A30" s="57"/>
      <x:c r="B30" s="57"/>
      <x:c r="C30" s="57"/>
      <x:c r="D30" s="57"/>
      <x:c r="E30" s="57"/>
      <x:c r="F30" s="57"/>
      <x:c r="G30" s="57"/>
      <x:c r="H30" s="57"/>
      <x:c r="I30" s="57"/>
    </x:row>
    <x:row r="31" ht="15" hidden="0" customHeight="1">
      <x:c r="A31" s="57"/>
      <x:c r="B31" s="57"/>
      <x:c r="C31" s="57"/>
      <x:c r="D31" s="57"/>
      <x:c r="E31" s="57"/>
      <x:c r="F31" s="57"/>
      <x:c r="G31" s="57"/>
      <x:c r="H31" s="57"/>
      <x:c r="I31" s="57"/>
    </x:row>
    <x:row r="32">
      <x:c r="A32" s="18" t="str">
        <x:v>物种定义与采集实例必须拆开：君材物种固定丹核，臣材固定五行，使材固定五味；君臣佐使所有物种都固定五性、境界和基础药力。采集实例再记录实际品质、鲜度、完整度、纯净度与实得药力。</x:v>
      </x:c>
      <x:c r="B32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C32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D32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E32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F32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G32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H32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I32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</x:row>
    <x:row r="33">
      <x:c r="A33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B33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C33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D33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E33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F33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G33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H33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I33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</x:row>
    <x:row r="34">
      <x:c r="A34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B34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C34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D34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E34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F34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G34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H34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  <x:c r="I34" s="18" t="str">
        <x:v>物种定义与采集实例必须拆开：例如“赤阳草”物种固定为筑基、火、热、辛、基础药力9；某次采到的实例再写品质、鲜度、完整度与有效药力。灵植术提升的是识别度和采收保真，不是凭空修改物种天生属性。</x:v>
      </x:c>
    </x:row>
  </x:sheetData>
  <x:mergeCells>
    <x:mergeCell ref="A1:I1"/>
    <x:mergeCell ref="A2:I2"/>
    <x:mergeCell ref="A4:I4"/>
    <x:mergeCell ref="A11:I11"/>
    <x:mergeCell ref="A18:I20"/>
    <x:mergeCell ref="A23:I23"/>
    <x:mergeCell ref="A32:I34"/>
  </x:mergeCells>
  <x:conditionalFormatting sqref="I13:I16">
    <x:cfRule type="containsText" dxfId="24" priority="1" operator="containsText" text="已共识"/>
    <x:cfRule type="containsText" dxfId="25" priority="2" operator="containsText" text="建议冻结"/>
    <x:cfRule type="containsText" dxfId="26" priority="3" operator="containsText" text="待裁"/>
    <x:cfRule type="containsText" dxfId="27" priority="4" operator="containsText" text="风险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3" hidden="0" customWidth="1"/>
    <x:col min="4" max="4" width="15" hidden="0" customWidth="1"/>
    <x:col min="5" max="5" width="17" hidden="0" customWidth="1"/>
    <x:col min="6" max="6" width="30" hidden="0" customWidth="1"/>
    <x:col min="7" max="7" width="24" hidden="0" customWidth="1"/>
    <x:col min="8" max="8" width="30" hidden="0" customWidth="1"/>
    <x:col min="9" max="9" width="27" hidden="0" customWidth="1"/>
  </x:cols>
  <x:sheetData>
    <x:row r="1" ht="15" hidden="0" customHeight="1">
      <x:c r="A1" s="55" t="str">
        <x:v>君臣佐使最终结构｜一职一主轴，四材皆有性</x:v>
      </x:c>
      <x:c r="B1" s="55" t="str">
        <x:v>君臣佐使槽位与“药引”归属</x:v>
      </x:c>
      <x:c r="C1" s="55" t="str">
        <x:v>君臣佐使槽位与“药引”归属</x:v>
      </x:c>
      <x:c r="D1" s="55" t="str">
        <x:v>君臣佐使槽位与“药引”归属</x:v>
      </x:c>
      <x:c r="E1" s="55" t="str">
        <x:v>君臣佐使槽位与“药引”归属</x:v>
      </x:c>
      <x:c r="F1" s="55" t="str">
        <x:v>君臣佐使槽位与“药引”归属</x:v>
      </x:c>
      <x:c r="G1" s="55" t="str">
        <x:v>君臣佐使槽位与“药引”归属</x:v>
      </x:c>
      <x:c r="H1" s="55" t="str">
        <x:v>君臣佐使槽位与“药引”归属</x:v>
      </x:c>
      <x:c r="I1" s="55" t="str">
        <x:v>君臣佐使槽位与“药引”归属</x:v>
      </x:c>
    </x:row>
    <x:row r="2" ht="15" hidden="0" customHeight="1">
      <x:c r="A2" s="56" t="str">
        <x:v>君定丹，臣定行，佐和性，使定味；四材皆有性，四材共同力。材料卡有什么字段，系统就读取什么字段。</x:v>
      </x:c>
      <x:c r="B2" s="56" t="str">
        <x:v>建议用固定角色槽维持学习稳定；炉境提升成功率、容量和容错，不必不断增加界面格子</x:v>
      </x:c>
      <x:c r="C2" s="56" t="str">
        <x:v>建议用固定角色槽维持学习稳定；炉境提升成功率、容量和容错，不必不断增加界面格子</x:v>
      </x:c>
      <x:c r="D2" s="56" t="str">
        <x:v>建议用固定角色槽维持学习稳定；炉境提升成功率、容量和容错，不必不断增加界面格子</x:v>
      </x:c>
      <x:c r="E2" s="56" t="str">
        <x:v>建议用固定角色槽维持学习稳定；炉境提升成功率、容量和容错，不必不断增加界面格子</x:v>
      </x:c>
      <x:c r="F2" s="56" t="str">
        <x:v>建议用固定角色槽维持学习稳定；炉境提升成功率、容量和容错，不必不断增加界面格子</x:v>
      </x:c>
      <x:c r="G2" s="56" t="str">
        <x:v>建议用固定角色槽维持学习稳定；炉境提升成功率、容量和容错，不必不断增加界面格子</x:v>
      </x:c>
      <x:c r="H2" s="56" t="str">
        <x:v>建议用固定角色槽维持学习稳定；炉境提升成功率、容量和容错，不必不断增加界面格子</x:v>
      </x:c>
      <x:c r="I2" s="56" t="str">
        <x:v>建议用固定角色槽维持学习稳定；炉境提升成功率、容量和容错，不必不断增加界面格子</x:v>
      </x:c>
    </x:row>
    <x:row r="3" ht="15" hidden="0" customHeight="1">
      <x:c r="A3" s="57"/>
      <x:c r="B3" s="57"/>
      <x:c r="C3" s="57"/>
      <x:c r="D3" s="57"/>
      <x:c r="E3" s="57"/>
      <x:c r="F3" s="57"/>
      <x:c r="G3" s="57"/>
      <x:c r="H3" s="57"/>
      <x:c r="I3" s="57"/>
    </x:row>
    <x:row r="4" ht="15" hidden="0" customHeight="1">
      <x:c r="A4" s="58" t="str">
        <x:v>一、推荐的基础槽位结构（待最终冻结）</x:v>
      </x:c>
      <x:c r="B4" s="59" t="str">
        <x:v>一、推荐的基础槽位结构（待最终冻结）</x:v>
      </x:c>
      <x:c r="C4" s="59" t="str">
        <x:v>一、推荐的基础槽位结构（待最终冻结）</x:v>
      </x:c>
      <x:c r="D4" s="59" t="str">
        <x:v>一、推荐的基础槽位结构（待最终冻结）</x:v>
      </x:c>
      <x:c r="E4" s="59" t="str">
        <x:v>一、推荐的基础槽位结构（待最终冻结）</x:v>
      </x:c>
      <x:c r="F4" s="59" t="str">
        <x:v>一、推荐的基础槽位结构（待最终冻结）</x:v>
      </x:c>
      <x:c r="G4" s="59" t="str">
        <x:v>一、推荐的基础槽位结构（待最终冻结）</x:v>
      </x:c>
      <x:c r="H4" s="59" t="str">
        <x:v>一、推荐的基础槽位结构（待最终冻结）</x:v>
      </x:c>
      <x:c r="I4" s="60" t="str">
        <x:v>一、推荐的基础槽位结构（待最终冻结）</x:v>
      </x:c>
    </x:row>
    <x:row r="5" ht="15" hidden="0" customHeight="1">
      <x:c r="A5" s="49" t="str">
        <x:v>角色</x:v>
      </x:c>
      <x:c r="B5" s="49" t="str">
        <x:v>槽位数</x:v>
      </x:c>
      <x:c r="C5" s="49" t="str">
        <x:v>最低启用</x:v>
      </x:c>
      <x:c r="D5" s="49" t="str">
        <x:v>每槽物种</x:v>
      </x:c>
      <x:c r="E5" s="49" t="str">
        <x:v>单槽堆叠</x:v>
      </x:c>
      <x:c r="F5" s="49" t="str">
        <x:v>主要功能</x:v>
      </x:c>
      <x:c r="G5" s="49" t="str">
        <x:v>材料字段</x:v>
      </x:c>
      <x:c r="H5" s="49" t="str">
        <x:v>不存在的字段</x:v>
      </x:c>
      <x:c r="I5" s="49" t="str">
        <x:v>药力规则</x:v>
      </x:c>
    </x:row>
    <x:row r="6" ht="15" hidden="0" customHeight="1">
      <x:c r="A6" s="28" t="str">
        <x:v>君</x:v>
      </x:c>
      <x:c r="B6" s="28" t="n">
        <x:v>1</x:v>
      </x:c>
      <x:c r="C6" s="28" t="n">
        <x:v>1</x:v>
      </x:c>
      <x:c r="D6" s="28" t="str">
        <x:v>指定君材1种</x:v>
      </x:c>
      <x:c r="E6" s="28" t="str">
        <x:v>建议≤9份</x:v>
      </x:c>
      <x:c r="F6" s="28" t="str">
        <x:v>独特丹核决定具体丹种，并带入本性</x:v>
      </x:c>
      <x:c r="G6" s="28" t="str">
        <x:v>丹核＋五性</x:v>
      </x:c>
      <x:c r="H6" s="28" t="str">
        <x:v>无五行、五味</x:v>
      </x:c>
      <x:c r="I6" s="28" t="str">
        <x:v>药力计总量；五性按物种计一次</x:v>
      </x:c>
    </x:row>
    <x:row r="7" ht="15" hidden="0" customHeight="1">
      <x:c r="A7" s="28" t="str">
        <x:v>臣</x:v>
      </x:c>
      <x:c r="B7" s="28" t="n">
        <x:v>2</x:v>
      </x:c>
      <x:c r="C7" s="28" t="n">
        <x:v>1</x:v>
      </x:c>
      <x:c r="D7" s="28" t="str">
        <x:v>每槽1种臣材</x:v>
      </x:c>
      <x:c r="E7" s="28" t="str">
        <x:v>建议≤9份</x:v>
      </x:c>
      <x:c r="F7" s="28" t="str">
        <x:v>按丹方要求提供五行，并带入本性</x:v>
      </x:c>
      <x:c r="G7" s="28" t="str">
        <x:v>五行＋五性</x:v>
      </x:c>
      <x:c r="H7" s="28" t="str">
        <x:v>无五味</x:v>
      </x:c>
      <x:c r="I7" s="28" t="str">
        <x:v>药力计总量；五性按物种计一次</x:v>
      </x:c>
    </x:row>
    <x:row r="8" ht="15" hidden="0" customHeight="1">
      <x:c r="A8" s="28" t="str">
        <x:v>佐</x:v>
      </x:c>
      <x:c r="B8" s="28" t="n">
        <x:v>2</x:v>
      </x:c>
      <x:c r="C8" s="28" t="n">
        <x:v>1</x:v>
      </x:c>
      <x:c r="D8" s="28" t="str">
        <x:v>每槽1种佐材</x:v>
      </x:c>
      <x:c r="E8" s="28" t="str">
        <x:v>建议≤9份</x:v>
      </x:c>
      <x:c r="F8" s="28" t="str">
        <x:v>合计全炉五性后调到目标，制偏压杂</x:v>
      </x:c>
      <x:c r="G8" s="28" t="str">
        <x:v>五性</x:v>
      </x:c>
      <x:c r="H8" s="28" t="str">
        <x:v>无五行、五味</x:v>
      </x:c>
      <x:c r="I8" s="28" t="str">
        <x:v>药力计总量；五性按物种计一次</x:v>
      </x:c>
    </x:row>
    <x:row r="9" ht="15" hidden="0" customHeight="1">
      <x:c r="A9" s="28" t="str">
        <x:v>使（药引）</x:v>
      </x:c>
      <x:c r="B9" s="28" t="n">
        <x:v>1</x:v>
      </x:c>
      <x:c r="C9" s="28" t="n">
        <x:v>1</x:v>
      </x:c>
      <x:c r="D9" s="28" t="str">
        <x:v>使材1种</x:v>
      </x:c>
      <x:c r="E9" s="28" t="str">
        <x:v>建议≤9份</x:v>
      </x:c>
      <x:c r="F9" s="28" t="str">
        <x:v>按丹方要求提供五味归处，并带入本性</x:v>
      </x:c>
      <x:c r="G9" s="28" t="str">
        <x:v>五味＋五性</x:v>
      </x:c>
      <x:c r="H9" s="28" t="str">
        <x:v>无五行</x:v>
      </x:c>
      <x:c r="I9" s="28" t="str">
        <x:v>药力计总量；五性按物种计一次</x:v>
      </x:c>
    </x:row>
    <x:row r="10" ht="15" hidden="0" customHeight="1">
      <x:c r="A10" s="57"/>
      <x:c r="B10" s="57"/>
      <x:c r="C10" s="57"/>
      <x:c r="D10" s="57"/>
      <x:c r="E10" s="57"/>
      <x:c r="F10" s="57"/>
      <x:c r="G10" s="57"/>
      <x:c r="H10" s="57"/>
      <x:c r="I10" s="57"/>
    </x:row>
    <x:row r="11">
      <x:c r="A11" s="32" t="str">
        <x:v>一炉最少4种、最多6种材料。丹方固定1味君药；臣佐使从通用材料池选择。所有材料按单份有效药力×数量共同累加总药力；五性按全炉不同材料种类各计一次，同种材料无论堆多少份都不重复改变方性；佐材专门负责配平。</x:v>
      </x:c>
      <x:c r="B11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C11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D11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E11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F11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G11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H11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I11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</x:row>
    <x:row r="12">
      <x:c r="A12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B12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C12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D12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E12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F12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G12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H12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I12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</x:row>
    <x:row r="13">
      <x:c r="A13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B13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C13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D13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E13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F13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G13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H13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  <x:c r="I13" s="32" t="str">
        <x:v>由此得到：一炉最少4种、最多6种灵植；每格只放一种灵植但可堆数量。第16轮小G用“单格最多9份、总投料最多24份”作为初始纸推值，它们能帮助实现“低境最多越一境”，但仍属于数值建议，不是已经冻结的世界规则。</x:v>
      </x:c>
    </x:row>
    <x:row r="14" ht="15" hidden="0" customHeight="1">
      <x:c r="A14" s="57"/>
      <x:c r="B14" s="57"/>
      <x:c r="C14" s="57"/>
      <x:c r="D14" s="57"/>
      <x:c r="E14" s="57"/>
      <x:c r="F14" s="57"/>
      <x:c r="G14" s="57"/>
      <x:c r="H14" s="57"/>
      <x:c r="I14" s="57"/>
    </x:row>
    <x:row r="15" ht="15" hidden="0" customHeight="1">
      <x:c r="A15" s="57"/>
      <x:c r="B15" s="57"/>
      <x:c r="C15" s="57"/>
      <x:c r="D15" s="57"/>
      <x:c r="E15" s="57"/>
      <x:c r="F15" s="57"/>
      <x:c r="G15" s="57"/>
      <x:c r="H15" s="57"/>
      <x:c r="I15" s="57"/>
    </x:row>
    <x:row r="16" ht="15" hidden="0" customHeight="1">
      <x:c r="A16" s="58" t="str">
        <x:v>二、为什么使材就是药引</x:v>
      </x:c>
      <x:c r="B16" s="59" t="str">
        <x:v>二、为什么不再另设“药引”第五角色</x:v>
      </x:c>
      <x:c r="C16" s="59" t="str">
        <x:v>二、为什么不再另设“药引”第五角色</x:v>
      </x:c>
      <x:c r="D16" s="59" t="str">
        <x:v>二、为什么不再另设“药引”第五角色</x:v>
      </x:c>
      <x:c r="E16" s="59" t="str">
        <x:v>二、为什么不再另设“药引”第五角色</x:v>
      </x:c>
      <x:c r="F16" s="59" t="str">
        <x:v>二、为什么不再另设“药引”第五角色</x:v>
      </x:c>
      <x:c r="G16" s="59" t="str">
        <x:v>二、为什么不再另设“药引”第五角色</x:v>
      </x:c>
      <x:c r="H16" s="59" t="str">
        <x:v>二、为什么不再另设“药引”第五角色</x:v>
      </x:c>
      <x:c r="I16" s="60" t="str">
        <x:v>二、为什么不再另设“药引”第五角色</x:v>
      </x:c>
    </x:row>
    <x:row r="17" ht="15" hidden="0" customHeight="1">
      <x:c r="A17" s="49" t="str">
        <x:v>材品</x:v>
      </x:c>
      <x:c r="B17" s="49" t="str">
        <x:v>主职字段</x:v>
      </x:c>
      <x:c r="C17" s="49" t="str">
        <x:v>具体作用</x:v>
      </x:c>
      <x:c r="D17" s="49" t="str">
        <x:v>与君药关系</x:v>
      </x:c>
      <x:c r="E17" s="49" t="str">
        <x:v>是否决定丹名</x:v>
      </x:c>
      <x:c r="F17" s="49" t="str">
        <x:v>是否决定归处</x:v>
      </x:c>
      <x:c r="G17" s="49" t="str">
        <x:v>是否计总药力</x:v>
      </x:c>
      <x:c r="H17" s="49" t="str">
        <x:v>是否有五性</x:v>
      </x:c>
      <x:c r="I17" s="49" t="str">
        <x:v>UI称呼</x:v>
      </x:c>
    </x:row>
    <x:row r="18" ht="24" hidden="0" customHeight="1">
      <x:c r="A18" s="28" t="str">
        <x:v>佐材</x:v>
      </x:c>
      <x:c r="B18" s="28" t="str">
        <x:v>五性</x:v>
      </x:c>
      <x:c r="C18" s="28" t="str">
        <x:v>调寒热、制偏、压杂</x:v>
      </x:c>
      <x:c r="D18" s="28" t="str">
        <x:v>不改变君核，只调成丹之性</x:v>
      </x:c>
      <x:c r="E18" s="28" t="str">
        <x:v>否</x:v>
      </x:c>
      <x:c r="F18" s="28" t="str">
        <x:v>否</x:v>
      </x:c>
      <x:c r="G18" s="28" t="str">
        <x:v>是</x:v>
      </x:c>
      <x:c r="H18" s="28" t="str">
        <x:v>是</x:v>
      </x:c>
      <x:c r="I18" s="28" t="str">
        <x:v>佐</x:v>
      </x:c>
    </x:row>
    <x:row r="19" ht="48" hidden="0" customHeight="1">
      <x:c r="A19" s="28" t="str">
        <x:v>使材</x:v>
      </x:c>
      <x:c r="B19" s="28" t="str">
        <x:v>五味＋五性</x:v>
      </x:c>
      <x:c r="C19" s="28" t="str">
        <x:v>把整炉药力引入丹田、气脉、根基、心神或血肉，并带入寒热</x:v>
      </x:c>
      <x:c r="D19" s="28" t="str">
        <x:v>不改变君核，只定药力归处</x:v>
      </x:c>
      <x:c r="E19" s="28" t="str">
        <x:v>否</x:v>
      </x:c>
      <x:c r="F19" s="28" t="str">
        <x:v>是</x:v>
      </x:c>
      <x:c r="G19" s="28" t="str">
        <x:v>是</x:v>
      </x:c>
      <x:c r="H19" s="28" t="str">
        <x:v>是</x:v>
      </x:c>
      <x:c r="I19" s="28" t="str">
        <x:v>使（药引）</x:v>
      </x:c>
    </x:row>
    <x:row r="20" ht="15" hidden="0" customHeight="1">
      <x:c r="A20" s="57"/>
      <x:c r="B20" s="57"/>
      <x:c r="C20" s="57"/>
      <x:c r="D20" s="57"/>
      <x:c r="E20" s="57"/>
      <x:c r="F20" s="57"/>
      <x:c r="G20" s="57"/>
      <x:c r="H20" s="57"/>
      <x:c r="I20" s="57"/>
    </x:row>
    <x:row r="21" ht="15" hidden="0" customHeight="1">
      <x:c r="A21" s="57"/>
      <x:c r="B21" s="57"/>
      <x:c r="C21" s="57"/>
      <x:c r="D21" s="57"/>
      <x:c r="E21" s="57"/>
      <x:c r="F21" s="57"/>
      <x:c r="G21" s="57"/>
      <x:c r="H21" s="57"/>
      <x:c r="I21" s="57"/>
    </x:row>
    <x:row r="22" ht="15" hidden="0" customHeight="1">
      <x:c r="A22" s="58" t="str">
        <x:v>三、固定四职槽与总药力模型</x:v>
      </x:c>
      <x:c r="B22" s="59" t="str">
        <x:v>三、固定角色槽与随炉境增长格数的分歧</x:v>
      </x:c>
      <x:c r="C22" s="59" t="str">
        <x:v>三、固定角色槽与随炉境增长格数的分歧</x:v>
      </x:c>
      <x:c r="D22" s="59" t="str">
        <x:v>三、固定角色槽与随炉境增长格数的分歧</x:v>
      </x:c>
      <x:c r="E22" s="59" t="str">
        <x:v>三、固定角色槽与随炉境增长格数的分歧</x:v>
      </x:c>
      <x:c r="F22" s="59" t="str">
        <x:v>三、固定角色槽与随炉境增长格数的分歧</x:v>
      </x:c>
      <x:c r="G22" s="59" t="str">
        <x:v>三、固定角色槽与随炉境增长格数的分歧</x:v>
      </x:c>
      <x:c r="H22" s="59" t="str">
        <x:v>三、固定角色槽与随炉境增长格数的分歧</x:v>
      </x:c>
      <x:c r="I22" s="60" t="str">
        <x:v>三、固定角色槽与随炉境增长格数的分歧</x:v>
      </x:c>
    </x:row>
    <x:row r="23" ht="15" hidden="0" customHeight="1">
      <x:c r="A23" s="49" t="str">
        <x:v>方案</x:v>
      </x:c>
      <x:c r="B23" s="49" t="str">
        <x:v>学习成本</x:v>
      </x:c>
      <x:c r="C23" s="49" t="str">
        <x:v>字段利用</x:v>
      </x:c>
      <x:c r="D23" s="49" t="str">
        <x:v>丹方辨识</x:v>
      </x:c>
      <x:c r="E23" s="49" t="str">
        <x:v>辅材替代</x:v>
      </x:c>
      <x:c r="F23" s="49" t="str">
        <x:v>UI复杂度</x:v>
      </x:c>
      <x:c r="G23" s="49" t="str">
        <x:v>药力计算</x:v>
      </x:c>
      <x:c r="H23" s="49" t="str">
        <x:v>主要风险</x:v>
      </x:c>
      <x:c r="I23" s="49" t="str">
        <x:v>第17轮结论</x:v>
      </x:c>
    </x:row>
    <x:row r="24" ht="24" hidden="0" customHeight="1">
      <x:c r="A24" s="28" t="str">
        <x:v>一职一主轴＋四材皆有性＋固定六槽</x:v>
      </x:c>
      <x:c r="B24" s="28" t="str">
        <x:v>最低</x:v>
      </x:c>
      <x:c r="C24" s="28" t="str">
        <x:v>所有字段都被读取</x:v>
      </x:c>
      <x:c r="D24" s="28" t="str">
        <x:v>一方一君，最强</x:v>
      </x:c>
      <x:c r="E24" s="28" t="str">
        <x:v>臣佐使自由</x:v>
      </x:c>
      <x:c r="F24" s="28" t="str">
        <x:v>低</x:v>
      </x:c>
      <x:c r="G24" s="28" t="str">
        <x:v>四材统一累加</x:v>
      </x:c>
      <x:c r="H24" s="28" t="str">
        <x:v>需要约121味君材</x:v>
      </x:c>
      <x:c r="I24" s="75" t="str">
        <x:v>正式采用</x:v>
      </x:c>
    </x:row>
    <x:row r="25" ht="24" hidden="0" customHeight="1">
      <x:c r="A25" s="28" t="str">
        <x:v>旧：每材行味性力＋按位忽略</x:v>
      </x:c>
      <x:c r="B25" s="28" t="str">
        <x:v>高</x:v>
      </x:c>
      <x:c r="C25" s="28" t="str">
        <x:v>存在无效字段</x:v>
      </x:c>
      <x:c r="D25" s="28" t="str">
        <x:v>依赖行味推导</x:v>
      </x:c>
      <x:c r="E25" s="28" t="str">
        <x:v>很强</x:v>
      </x:c>
      <x:c r="F25" s="28" t="str">
        <x:v>高</x:v>
      </x:c>
      <x:c r="G25" s="28" t="str">
        <x:v>角色门槛分开</x:v>
      </x:c>
      <x:c r="H25" s="28" t="str">
        <x:v>玩家难理解哪些属性有效</x:v>
      </x:c>
      <x:c r="I25" s="42" t="str">
        <x:v>废止</x:v>
      </x:c>
    </x:row>
    <x:row r="26" ht="15" hidden="0" customHeight="1">
      <x:c r="A26" s="57"/>
      <x:c r="B26" s="57"/>
      <x:c r="C26" s="57"/>
      <x:c r="D26" s="57"/>
      <x:c r="E26" s="57"/>
      <x:c r="F26" s="57"/>
      <x:c r="G26" s="57"/>
      <x:c r="H26" s="57"/>
      <x:c r="I26" s="57"/>
    </x:row>
    <x:row r="27" ht="15" hidden="0" customHeight="1">
      <x:c r="A27" s="57"/>
      <x:c r="B27" s="57"/>
      <x:c r="C27" s="57"/>
      <x:c r="D27" s="57"/>
      <x:c r="E27" s="57"/>
      <x:c r="F27" s="57"/>
      <x:c r="G27" s="57"/>
      <x:c r="H27" s="57"/>
      <x:c r="I27" s="57"/>
    </x:row>
    <x:row r="28">
      <x:c r="A28" s="74" t="str">
        <x:v>最终口诀：君定丹，臣定行，佐和性，使定味；四材皆有性，四材共同力。金苦丹方中的金来自臣材、苦来自使材；君药没有金苦属性，只以丹核区分具体丹名。</x:v>
      </x:c>
      <x:c r="B28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C28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D28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E28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F28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G28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H28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I28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</x:row>
    <x:row r="29">
      <x:c r="A29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B29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C29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D29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E29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F29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G29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H29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I29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</x:row>
    <x:row r="30">
      <x:c r="A30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B30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C30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D30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E30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F30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G30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H30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  <x:c r="I30" s="74" t="str">
        <x:v>建议把高境成长放在“同样六个角色槽能承载更高总药力、容许更复杂的属性偏差、成功率更高、品质池更好”，而不是不断加格子。这样八境仍用同一套交互语言，玩家只需学一次。</x:v>
      </x:c>
    </x:row>
  </x:sheetData>
  <x:mergeCells>
    <x:mergeCell ref="A1:I1"/>
    <x:mergeCell ref="A2:I2"/>
    <x:mergeCell ref="A4:I4"/>
    <x:mergeCell ref="A11:I13"/>
    <x:mergeCell ref="A16:I16"/>
    <x:mergeCell ref="A22:I22"/>
    <x:mergeCell ref="A28:I3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7" hidden="0" customWidth="1"/>
    <x:col min="5" max="5" width="18" hidden="0" customWidth="1"/>
    <x:col min="6" max="6" width="24" hidden="0" customWidth="1"/>
    <x:col min="7" max="7" width="23" hidden="0" customWidth="1"/>
    <x:col min="8" max="8" width="16" hidden="0" customWidth="1"/>
    <x:col min="9" max="9" width="32" hidden="0" customWidth="1"/>
  </x:cols>
  <x:sheetData>
    <x:row r="1" ht="15" hidden="0" customHeight="1">
      <x:c r="A1" s="55" t="str">
        <x:v>四材灵植表｜字段与规模重算</x:v>
      </x:c>
      <x:c r="B1" s="55" t="str">
        <x:v>丹方反推灵植：字段与内容规模</x:v>
      </x:c>
      <x:c r="C1" s="55" t="str">
        <x:v>丹方反推灵植：字段与内容规模</x:v>
      </x:c>
      <x:c r="D1" s="55" t="str">
        <x:v>丹方反推灵植：字段与内容规模</x:v>
      </x:c>
      <x:c r="E1" s="55" t="str">
        <x:v>丹方反推灵植：字段与内容规模</x:v>
      </x:c>
      <x:c r="F1" s="55" t="str">
        <x:v>丹方反推灵植：字段与内容规模</x:v>
      </x:c>
      <x:c r="G1" s="55" t="str">
        <x:v>丹方反推灵植：字段与内容规模</x:v>
      </x:c>
      <x:c r="H1" s="55" t="str">
        <x:v>丹方反推灵植：字段与内容规模</x:v>
      </x:c>
      <x:c r="I1" s="55" t="str">
        <x:v>丹方反推灵植：字段与内容规模</x:v>
      </x:c>
    </x:row>
    <x:row r="2" ht="15" hidden="0" customHeight="1">
      <x:c r="A2" s="56" t="str">
        <x:v>旧的“所有灵植都有完整五行、五味、五性、药力”废止。新结构是四材皆有五性和药力，君另有丹核、臣另有五行、使另有五味，佐无行无味而专司调和。</x:v>
      </x:c>
      <x:c r="B2" s="56" t="str">
        <x:v>灵植种数不能直接等于丹方数；先算角色覆盖与多解覆盖，再去重形成生态池</x:v>
      </x:c>
      <x:c r="C2" s="56" t="str">
        <x:v>灵植种数不能直接等于丹方数；先算角色覆盖与多解覆盖，再去重形成生态池</x:v>
      </x:c>
      <x:c r="D2" s="56" t="str">
        <x:v>灵植种数不能直接等于丹方数；先算角色覆盖与多解覆盖，再去重形成生态池</x:v>
      </x:c>
      <x:c r="E2" s="56" t="str">
        <x:v>灵植种数不能直接等于丹方数；先算角色覆盖与多解覆盖，再去重形成生态池</x:v>
      </x:c>
      <x:c r="F2" s="56" t="str">
        <x:v>灵植种数不能直接等于丹方数；先算角色覆盖与多解覆盖，再去重形成生态池</x:v>
      </x:c>
      <x:c r="G2" s="56" t="str">
        <x:v>灵植种数不能直接等于丹方数；先算角色覆盖与多解覆盖，再去重形成生态池</x:v>
      </x:c>
      <x:c r="H2" s="56" t="str">
        <x:v>灵植种数不能直接等于丹方数；先算角色覆盖与多解覆盖，再去重形成生态池</x:v>
      </x:c>
      <x:c r="I2" s="56" t="str">
        <x:v>灵植种数不能直接等于丹方数；先算角色覆盖与多解覆盖，再去重形成生态池</x:v>
      </x:c>
    </x:row>
    <x:row r="3" ht="15" hidden="0" customHeight="1">
      <x:c r="A3" s="57"/>
      <x:c r="B3" s="57"/>
      <x:c r="C3" s="57"/>
      <x:c r="D3" s="57"/>
      <x:c r="E3" s="57"/>
      <x:c r="F3" s="57"/>
      <x:c r="G3" s="57"/>
      <x:c r="H3" s="57"/>
      <x:c r="I3" s="57"/>
    </x:row>
    <x:row r="4" ht="15" hidden="0" customHeight="1">
      <x:c r="A4" s="58" t="str">
        <x:v>一、物种表与采集实例表</x:v>
      </x:c>
      <x:c r="B4" s="59" t="str">
        <x:v>一、物种表与采集实例表必须分开</x:v>
      </x:c>
      <x:c r="C4" s="59" t="str">
        <x:v>一、物种表与采集实例表必须分开</x:v>
      </x:c>
      <x:c r="D4" s="59" t="str">
        <x:v>一、物种表与采集实例表必须分开</x:v>
      </x:c>
      <x:c r="E4" s="59" t="str">
        <x:v>一、物种表与采集实例表必须分开</x:v>
      </x:c>
      <x:c r="F4" s="59" t="str">
        <x:v>一、物种表与采集实例表必须分开</x:v>
      </x:c>
      <x:c r="G4" s="59" t="str">
        <x:v>一、物种表与采集实例表必须分开</x:v>
      </x:c>
      <x:c r="H4" s="59" t="str">
        <x:v>一、物种表与采集实例表必须分开</x:v>
      </x:c>
      <x:c r="I4" s="60" t="str">
        <x:v>一、物种表与采集实例表必须分开</x:v>
      </x:c>
    </x:row>
    <x:row r="5" ht="15" hidden="0" customHeight="1">
      <x:c r="A5" s="49" t="str">
        <x:v>层级</x:v>
      </x:c>
      <x:c r="B5" s="49" t="str">
        <x:v>字段</x:v>
      </x:c>
      <x:c r="C5" s="49" t="str">
        <x:v>是否固定</x:v>
      </x:c>
      <x:c r="D5" s="49" t="str">
        <x:v>受境界影响</x:v>
      </x:c>
      <x:c r="E5" s="49" t="str">
        <x:v>受品质影响</x:v>
      </x:c>
      <x:c r="F5" s="49" t="str">
        <x:v>受灵植术影响</x:v>
      </x:c>
      <x:c r="G5" s="49" t="str">
        <x:v>进入丹方判定</x:v>
      </x:c>
      <x:c r="H5" s="49" t="str">
        <x:v>进入经济</x:v>
      </x:c>
      <x:c r="I5" s="49" t="str">
        <x:v>说明</x:v>
      </x:c>
    </x:row>
    <x:row r="6" ht="36" hidden="0" customHeight="1">
      <x:c r="A6" s="28" t="str">
        <x:v>灵植物种</x:v>
      </x:c>
      <x:c r="B6" s="28" t="str">
        <x:v>ID、名、图标、材品、境界、基础药力、五性；另按材品只填君核/五行/五味之一</x:v>
      </x:c>
      <x:c r="C6" s="28" t="str">
        <x:v>是</x:v>
      </x:c>
      <x:c r="D6" s="28" t="str">
        <x:v>是</x:v>
      </x:c>
      <x:c r="E6" s="28" t="str">
        <x:v>只写常见区间</x:v>
      </x:c>
      <x:c r="F6" s="28" t="str">
        <x:v>识别后显示本材品字段</x:v>
      </x:c>
      <x:c r="G6" s="28" t="str">
        <x:v>提供丹核或臣行/使味，并提供五性与基础药力</x:v>
      </x:c>
      <x:c r="H6" s="28" t="str">
        <x:v>决定基础供给与价格</x:v>
      </x:c>
      <x:c r="I6" s="28" t="str">
        <x:v>这是设计师定义的“它是什么”</x:v>
      </x:c>
    </x:row>
    <x:row r="7" ht="36" hidden="0" customHeight="1">
      <x:c r="A7" s="28" t="str">
        <x:v>灵植实例</x:v>
      </x:c>
      <x:c r="B7" s="28" t="str">
        <x:v>物种ID、实际品质、鲜度、完整度、实得药力、纯净度、地点/时间、已识别字段</x:v>
      </x:c>
      <x:c r="C7" s="28" t="str">
        <x:v>否</x:v>
      </x:c>
      <x:c r="D7" s="28" t="str">
        <x:v>继承物种</x:v>
      </x:c>
      <x:c r="E7" s="28" t="str">
        <x:v>是</x:v>
      </x:c>
      <x:c r="F7" s="28" t="str">
        <x:v>采收时决定保留率与可见度</x:v>
      </x:c>
      <x:c r="G7" s="28" t="str">
        <x:v>提供本炉实际总药力贡献</x:v>
      </x:c>
      <x:c r="H7" s="28" t="str">
        <x:v>决定本次成本与价值</x:v>
      </x:c>
      <x:c r="I7" s="28" t="str">
        <x:v>这是玩家拿到的“这一株怎么样”</x:v>
      </x:c>
    </x:row>
    <x:row r="8" ht="15" hidden="0" customHeight="1">
      <x:c r="A8" s="57"/>
      <x:c r="B8" s="57"/>
      <x:c r="C8" s="57"/>
      <x:c r="D8" s="57"/>
      <x:c r="E8" s="57"/>
      <x:c r="F8" s="57"/>
      <x:c r="G8" s="57"/>
      <x:c r="H8" s="57"/>
      <x:c r="I8" s="57"/>
    </x:row>
    <x:row r="9" ht="15" hidden="0" customHeight="1">
      <x:c r="A9" s="57"/>
      <x:c r="B9" s="57"/>
      <x:c r="C9" s="57"/>
      <x:c r="D9" s="57"/>
      <x:c r="E9" s="57"/>
      <x:c r="F9" s="57"/>
      <x:c r="G9" s="57"/>
      <x:c r="H9" s="57"/>
      <x:c r="I9" s="57"/>
    </x:row>
    <x:row r="10" ht="15" hidden="0" customHeight="1">
      <x:c r="A10" s="58" t="str">
        <x:v>二、品质能改变什么，不能改变什么</x:v>
      </x:c>
      <x:c r="B10" s="59" t="str">
        <x:v>二、灵植品质的影响边界</x:v>
      </x:c>
      <x:c r="C10" s="59" t="str">
        <x:v>二、灵植品质的影响边界</x:v>
      </x:c>
      <x:c r="D10" s="59" t="str">
        <x:v>二、灵植品质的影响边界</x:v>
      </x:c>
      <x:c r="E10" s="59" t="str">
        <x:v>二、灵植品质的影响边界</x:v>
      </x:c>
      <x:c r="F10" s="59" t="str">
        <x:v>二、灵植品质的影响边界</x:v>
      </x:c>
      <x:c r="G10" s="59" t="str">
        <x:v>二、灵植品质的影响边界</x:v>
      </x:c>
      <x:c r="H10" s="59" t="str">
        <x:v>二、灵植品质的影响边界</x:v>
      </x:c>
      <x:c r="I10" s="60" t="str">
        <x:v>二、灵植品质的影响边界</x:v>
      </x:c>
    </x:row>
    <x:row r="11" ht="15" hidden="0" customHeight="1">
      <x:c r="A11" s="49" t="str">
        <x:v>影响项</x:v>
      </x:c>
      <x:c r="B11" s="49" t="str">
        <x:v>是否影响</x:v>
      </x:c>
      <x:c r="C11" s="49" t="str">
        <x:v>建议强度</x:v>
      </x:c>
      <x:c r="D11" s="49" t="str">
        <x:v>原因</x:v>
      </x:c>
      <x:c r="E11" s="49" t="str">
        <x:v>计算位置</x:v>
      </x:c>
      <x:c r="F11" s="49" t="str">
        <x:v>玩家反馈</x:v>
      </x:c>
      <x:c r="G11" s="49" t="str">
        <x:v>是否可能越境</x:v>
      </x:c>
      <x:c r="H11" s="49" t="str">
        <x:v>是否改变身份</x:v>
      </x:c>
      <x:c r="I11" s="49" t="str">
        <x:v>状态</x:v>
      </x:c>
    </x:row>
    <x:row r="12" ht="24" hidden="0" customHeight="1">
      <x:c r="A12" s="28" t="str">
        <x:v>实得药力</x:v>
      </x:c>
      <x:c r="B12" s="28" t="str">
        <x:v>是</x:v>
      </x:c>
      <x:c r="C12" s="28" t="str">
        <x:v>强</x:v>
      </x:c>
      <x:c r="D12" s="28" t="str">
        <x:v>品质首先体现有效成分密度</x:v>
      </x:c>
      <x:c r="E12" s="28" t="str">
        <x:v>总药力</x:v>
      </x:c>
      <x:c r="F12" s="28" t="str">
        <x:v>药力条上升</x:v>
      </x:c>
      <x:c r="G12" s="28" t="str">
        <x:v>配合数量最多越一境</x:v>
      </x:c>
      <x:c r="H12" s="28" t="str">
        <x:v>否</x:v>
      </x:c>
      <x:c r="I12" s="28" t="str">
        <x:v>建议冻结</x:v>
      </x:c>
    </x:row>
    <x:row r="13" ht="24" hidden="0" customHeight="1">
      <x:c r="A13" s="28" t="str">
        <x:v>纯净度/丹毒</x:v>
      </x:c>
      <x:c r="B13" s="28" t="str">
        <x:v>是</x:v>
      </x:c>
      <x:c r="C13" s="28" t="str">
        <x:v>中</x:v>
      </x:c>
      <x:c r="D13" s="28" t="str">
        <x:v>杂质与副反应应有区别</x:v>
      </x:c>
      <x:c r="E13" s="28" t="str">
        <x:v>成功后副作用</x:v>
      </x:c>
      <x:c r="F13" s="28" t="str">
        <x:v>杂质预览</x:v>
      </x:c>
      <x:c r="G13" s="28" t="str">
        <x:v>否</x:v>
      </x:c>
      <x:c r="H13" s="28" t="str">
        <x:v>否</x:v>
      </x:c>
      <x:c r="I13" s="28" t="str">
        <x:v>建议冻结</x:v>
      </x:c>
    </x:row>
    <x:row r="14" ht="15" hidden="0" customHeight="1">
      <x:c r="A14" s="28" t="str">
        <x:v>成品品质概率</x:v>
      </x:c>
      <x:c r="B14" s="28" t="str">
        <x:v>是</x:v>
      </x:c>
      <x:c r="C14" s="28" t="str">
        <x:v>中</x:v>
      </x:c>
      <x:c r="D14" s="28" t="str">
        <x:v>好材料提高丹胚潜力</x:v>
      </x:c>
      <x:c r="E14" s="28" t="str">
        <x:v>品质池位移/上限</x:v>
      </x:c>
      <x:c r="F14" s="28" t="str">
        <x:v>预计品质区间改善</x:v>
      </x:c>
      <x:c r="G14" s="28" t="str">
        <x:v>不单独突破上限</x:v>
      </x:c>
      <x:c r="H14" s="28" t="str">
        <x:v>否</x:v>
      </x:c>
      <x:c r="I14" s="28" t="str">
        <x:v>建议冻结</x:v>
      </x:c>
    </x:row>
    <x:row r="15" ht="15" hidden="0" customHeight="1">
      <x:c r="A15" s="28" t="str">
        <x:v>材品</x:v>
      </x:c>
      <x:c r="B15" s="28" t="str">
        <x:v>否</x:v>
      </x:c>
      <x:c r="C15" s="28" t="str">
        <x:v>—</x:v>
      </x:c>
      <x:c r="D15" s="28" t="str">
        <x:v>君臣佐使是物种本职</x:v>
      </x:c>
      <x:c r="E15" s="28" t="str">
        <x:v>—</x:v>
      </x:c>
      <x:c r="F15" s="28" t="str">
        <x:v>不变</x:v>
      </x:c>
      <x:c r="G15" s="28" t="str">
        <x:v>—</x:v>
      </x:c>
      <x:c r="H15" s="28" t="str">
        <x:v>否</x:v>
      </x:c>
      <x:c r="I15" s="28" t="str">
        <x:v>已共识</x:v>
      </x:c>
    </x:row>
    <x:row r="16" ht="24" hidden="0" customHeight="1">
      <x:c r="A16" s="28" t="str">
        <x:v>物种字段</x:v>
      </x:c>
      <x:c r="B16" s="28" t="str">
        <x:v>否</x:v>
      </x:c>
      <x:c r="C16" s="28" t="str">
        <x:v>—</x:v>
      </x:c>
      <x:c r="D16" s="28" t="str">
        <x:v>品质不改君核、臣行、五性或使味</x:v>
      </x:c>
      <x:c r="E16" s="28" t="str">
        <x:v>—</x:v>
      </x:c>
      <x:c r="F16" s="28" t="str">
        <x:v>不变</x:v>
      </x:c>
      <x:c r="G16" s="28" t="str">
        <x:v>—</x:v>
      </x:c>
      <x:c r="H16" s="28" t="str">
        <x:v>否</x:v>
      </x:c>
      <x:c r="I16" s="28" t="str">
        <x:v>已共识</x:v>
      </x:c>
    </x:row>
    <x:row r="17" ht="24" hidden="0" customHeight="1">
      <x:c r="A17" s="28" t="str">
        <x:v>君核</x:v>
      </x:c>
      <x:c r="B17" s="28" t="str">
        <x:v>否</x:v>
      </x:c>
      <x:c r="C17" s="28" t="str">
        <x:v>—</x:v>
      </x:c>
      <x:c r="D17" s="28" t="str">
        <x:v>君核决定独特丹方身份</x:v>
      </x:c>
      <x:c r="E17" s="28" t="str">
        <x:v>—</x:v>
      </x:c>
      <x:c r="F17" s="28" t="str">
        <x:v>不变</x:v>
      </x:c>
      <x:c r="G17" s="28" t="str">
        <x:v>—</x:v>
      </x:c>
      <x:c r="H17" s="28" t="str">
        <x:v>否</x:v>
      </x:c>
      <x:c r="I17" s="28" t="str">
        <x:v>已共识</x:v>
      </x:c>
    </x:row>
    <x:row r="18" ht="24" hidden="0" customHeight="1">
      <x:c r="A18" s="28" t="str">
        <x:v>灵植境界</x:v>
      </x:c>
      <x:c r="B18" s="28" t="str">
        <x:v>否</x:v>
      </x:c>
      <x:c r="C18" s="28" t="str">
        <x:v>—</x:v>
      </x:c>
      <x:c r="D18" s="28" t="str">
        <x:v>品质不把低境物种变成高境物种</x:v>
      </x:c>
      <x:c r="E18" s="28" t="str">
        <x:v>—</x:v>
      </x:c>
      <x:c r="F18" s="28" t="str">
        <x:v>不变</x:v>
      </x:c>
      <x:c r="G18" s="28" t="str">
        <x:v>—</x:v>
      </x:c>
      <x:c r="H18" s="28" t="str">
        <x:v>否</x:v>
      </x:c>
      <x:c r="I18" s="28" t="str">
        <x:v>建议冻结</x:v>
      </x:c>
    </x:row>
    <x:row r="19" ht="15" hidden="0" customHeight="1">
      <x:c r="A19" s="57"/>
      <x:c r="B19" s="57"/>
      <x:c r="C19" s="57"/>
      <x:c r="D19" s="57"/>
      <x:c r="E19" s="57"/>
      <x:c r="F19" s="57"/>
      <x:c r="G19" s="57"/>
      <x:c r="H19" s="57"/>
      <x:c r="I19" s="57"/>
    </x:row>
    <x:row r="20" ht="15" hidden="0" customHeight="1">
      <x:c r="A20" s="57"/>
      <x:c r="B20" s="57"/>
      <x:c r="C20" s="57"/>
      <x:c r="D20" s="57"/>
      <x:c r="E20" s="57"/>
      <x:c r="F20" s="57"/>
      <x:c r="G20" s="57"/>
      <x:c r="H20" s="57"/>
      <x:c r="I20" s="57"/>
    </x:row>
    <x:row r="21" ht="15" hidden="0" customHeight="1">
      <x:c r="A21" s="58" t="str">
        <x:v>三、由121张丹方反推四材规模：旧估算作废</x:v>
      </x:c>
      <x:c r="B21" s="59" t="str">
        <x:v>三、由137条丹方反推灵植规模：当前只能给区间</x:v>
      </x:c>
      <x:c r="C21" s="59" t="str">
        <x:v>三、由137条丹方反推灵植规模：当前只能给区间</x:v>
      </x:c>
      <x:c r="D21" s="59" t="str">
        <x:v>三、由137条丹方反推灵植规模：当前只能给区间</x:v>
      </x:c>
      <x:c r="E21" s="59" t="str">
        <x:v>三、由137条丹方反推灵植规模：当前只能给区间</x:v>
      </x:c>
      <x:c r="F21" s="59" t="str">
        <x:v>三、由137条丹方反推灵植规模：当前只能给区间</x:v>
      </x:c>
      <x:c r="G21" s="59" t="str">
        <x:v>三、由137条丹方反推灵植规模：当前只能给区间</x:v>
      </x:c>
      <x:c r="H21" s="59" t="str">
        <x:v>三、由137条丹方反推灵植规模：当前只能给区间</x:v>
      </x:c>
      <x:c r="I21" s="60" t="str">
        <x:v>三、由137条丹方反推灵植规模：当前只能给区间</x:v>
      </x:c>
    </x:row>
    <x:row r="22" ht="15" hidden="0" customHeight="1">
      <x:c r="A22" s="49" t="str">
        <x:v>角色池</x:v>
      </x:c>
      <x:c r="B22" s="49" t="str">
        <x:v>每境建议独特物种</x:v>
      </x:c>
      <x:c r="C22" s="49" t="str">
        <x:v>为什么需要</x:v>
      </x:c>
      <x:c r="D22" s="49" t="str">
        <x:v>可跨丹方复用</x:v>
      </x:c>
      <x:c r="E22" s="49" t="str">
        <x:v>可跨角色复用</x:v>
      </x:c>
      <x:c r="F22" s="49" t="str">
        <x:v>与3—6解法关系</x:v>
      </x:c>
      <x:c r="G22" s="49" t="str">
        <x:v>主要稀有度</x:v>
      </x:c>
      <x:c r="H22" s="49" t="str">
        <x:v>当前精度</x:v>
      </x:c>
      <x:c r="I22" s="49" t="str">
        <x:v>备注</x:v>
      </x:c>
    </x:row>
    <x:row r="23" ht="36" hidden="0" customHeight="1">
      <x:c r="A23" s="28" t="str">
        <x:v>君材池</x:v>
      </x:c>
      <x:c r="B23" s="28" t="str">
        <x:v>原则上121味全局；约15味/常规境界</x:v>
      </x:c>
      <x:c r="C23" s="28" t="str">
        <x:v>一方一君，承担丹名、稀有资源、生态与剧情锚点</x:v>
      </x:c>
      <x:c r="D23" s="28" t="str">
        <x:v>不跨丹方复用</x:v>
      </x:c>
      <x:c r="E23" s="28" t="str">
        <x:v>不可跨材品</x:v>
      </x:c>
      <x:c r="F23" s="28" t="str">
        <x:v>每方3—6解固定同一君药</x:v>
      </x:c>
      <x:c r="G23" s="28" t="str">
        <x:v>少见至极稀有</x:v>
      </x:c>
      <x:c r="H23" s="28" t="str">
        <x:v>结构已定</x:v>
      </x:c>
      <x:c r="I23" s="28" t="str">
        <x:v>最终命名与生态仍待设计</x:v>
      </x:c>
    </x:row>
    <x:row r="24" ht="24" hidden="0" customHeight="1">
      <x:c r="A24" s="28" t="str">
        <x:v>臣材池</x:v>
      </x:c>
      <x:c r="B24" s="28" t="str">
        <x:v>每境至少覆盖金木水火土</x:v>
      </x:c>
      <x:c r="C24" s="28" t="str">
        <x:v>为所有丹方提供五行运行方式</x:v>
      </x:c>
      <x:c r="D24" s="28" t="str">
        <x:v>很高</x:v>
      </x:c>
      <x:c r="E24" s="28" t="str">
        <x:v>不可跨材品</x:v>
      </x:c>
      <x:c r="F24" s="28" t="str">
        <x:v>同一臣行需有不同成本/药力解</x:v>
      </x:c>
      <x:c r="G24" s="28" t="str">
        <x:v>常见至少见</x:v>
      </x:c>
      <x:c r="H24" s="28" t="str">
        <x:v>待测</x:v>
      </x:c>
      <x:c r="I24" s="28" t="str">
        <x:v>建议每行至少准备多个价位</x:v>
      </x:c>
    </x:row>
    <x:row r="25" ht="24" hidden="0" customHeight="1">
      <x:c r="A25" s="28" t="str">
        <x:v>佐材池</x:v>
      </x:c>
      <x:c r="B25" s="28" t="str">
        <x:v>每境至少覆盖寒凉平温热</x:v>
      </x:c>
      <x:c r="C25" s="28" t="str">
        <x:v>在君臣使既有寒热上提供调和与压杂能力</x:v>
      </x:c>
      <x:c r="D25" s="28" t="str">
        <x:v>很高</x:v>
      </x:c>
      <x:c r="E25" s="28" t="str">
        <x:v>不可跨材品</x:v>
      </x:c>
      <x:c r="F25" s="28" t="str">
        <x:v>两佐槽形成主要配平组合</x:v>
      </x:c>
      <x:c r="G25" s="28" t="str">
        <x:v>常见为主</x:v>
      </x:c>
      <x:c r="H25" s="28" t="str">
        <x:v>待测</x:v>
      </x:c>
      <x:c r="I25" s="28" t="str">
        <x:v>是低价替代与经营核心</x:v>
      </x:c>
    </x:row>
    <x:row r="26" ht="24" hidden="0" customHeight="1">
      <x:c r="A26" s="28" t="str">
        <x:v>使材池</x:v>
      </x:c>
      <x:c r="B26" s="28" t="str">
        <x:v>每境至少覆盖甘辛咸苦酸</x:v>
      </x:c>
      <x:c r="C26" s="28" t="str">
        <x:v>为所有丹方提供五味归处</x:v>
      </x:c>
      <x:c r="D26" s="28" t="str">
        <x:v>很高</x:v>
      </x:c>
      <x:c r="E26" s="28" t="str">
        <x:v>不可跨材品</x:v>
      </x:c>
      <x:c r="F26" s="28" t="str">
        <x:v>同一味需有不同成本/药力解</x:v>
      </x:c>
      <x:c r="G26" s="28" t="str">
        <x:v>常见至少见</x:v>
      </x:c>
      <x:c r="H26" s="28" t="str">
        <x:v>待测</x:v>
      </x:c>
      <x:c r="I26" s="28" t="str">
        <x:v>药引就是使材</x:v>
      </x:c>
    </x:row>
    <x:row r="27" ht="36" hidden="0" customHeight="1">
      <x:c r="A27" s="28" t="str">
        <x:v>总量</x:v>
      </x:c>
      <x:c r="B27" s="28" t="str">
        <x:v>第18轮用单境切片重算</x:v>
      </x:c>
      <x:c r="C27" s="28" t="str">
        <x:v>旧23—30种/境界未包含一方一君，已经失效</x:v>
      </x:c>
      <x:c r="D27" s="28" t="str">
        <x:v>—</x:v>
      </x:c>
      <x:c r="E27" s="28" t="str">
        <x:v>—</x:v>
      </x:c>
      <x:c r="F27" s="28" t="str">
        <x:v>以每方3—6套有解为通过标准</x:v>
      </x:c>
      <x:c r="G27" s="28" t="str">
        <x:v>混合</x:v>
      </x:c>
      <x:c r="H27" s="28" t="str">
        <x:v>待验证</x:v>
      </x:c>
      <x:c r="I27" s="28" t="str">
        <x:v>先做筑基境四材表</x:v>
      </x:c>
    </x:row>
    <x:row r="28" ht="15" hidden="0" customHeight="1">
      <x:c r="A28" s="57"/>
      <x:c r="B28" s="57"/>
      <x:c r="C28" s="57"/>
      <x:c r="D28" s="57"/>
      <x:c r="E28" s="57"/>
      <x:c r="F28" s="57"/>
      <x:c r="G28" s="57"/>
      <x:c r="H28" s="57"/>
      <x:c r="I28" s="57"/>
    </x:row>
    <x:row r="29">
      <x:c r="A29" s="32" t="str">
        <x:v>下一步不再先猜全游戏灵植总量。第18轮先做筑基境约15味独特君材，再建立至少覆盖五行、五性、五味的通用臣佐使池；用求解器验证每张丹方有3—6套认证解后，才能外推八境总量。</x:v>
      </x:c>
      <x:c r="B29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C29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D29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E29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F29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G29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H29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I29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</x:row>
    <x:row r="30">
      <x:c r="A30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B30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C30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D30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E30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F30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G30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H30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I30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</x:row>
    <x:row r="31">
      <x:c r="A31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B31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C31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D31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E31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F31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G31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H31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  <x:c r="I31" s="32" t="str">
        <x:v>“第一批32—40种灵植”更适合作为一个区域/一个境界段的垂直切片，而不是八境完整灵植总量。真正定量前必须先冻结：战斗丹4/5/6种、清毒口径、君材复用规则，以及3—6到底是认证解法还是所有合法解法上限。</x:v>
      </x:c>
    </x:row>
  </x:sheetData>
  <x:mergeCells>
    <x:mergeCell ref="A1:I1"/>
    <x:mergeCell ref="A2:I2"/>
    <x:mergeCell ref="A4:I4"/>
    <x:mergeCell ref="A10:I10"/>
    <x:mergeCell ref="A21:I21"/>
    <x:mergeCell ref="A29:I31"/>
  </x:mergeCells>
  <x:conditionalFormatting sqref="I12:I18">
    <x:cfRule type="containsText" dxfId="28" priority="1" operator="containsText" text="已共识"/>
    <x:cfRule type="containsText" dxfId="29" priority="2" operator="containsText" text="建议冻结"/>
    <x:cfRule type="containsText" dxfId="30" priority="3" operator="containsText" text="待裁"/>
    <x:cfRule type="containsText" dxfId="31" priority="4" operator="containsText" text="风险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31" hidden="0" customWidth="1"/>
    <x:col min="5" max="5" width="22" hidden="0" customWidth="1"/>
    <x:col min="6" max="6" width="35" hidden="0" customWidth="1"/>
    <x:col min="7" max="7" width="23" hidden="0" customWidth="1"/>
    <x:col min="8" max="8" width="14" hidden="0" customWidth="1"/>
    <x:col min="9" max="9" width="31" hidden="0" customWidth="1"/>
  </x:cols>
  <x:sheetData>
    <x:row r="1" ht="15" hidden="0" customHeight="1">
      <x:c r="A1" s="55" t="str">
        <x:v>第17轮待裁清单</x:v>
      </x:c>
      <x:c r="B1" s="55" t="str">
        <x:v>第17轮待裁清单</x:v>
      </x:c>
      <x:c r="C1" s="55" t="str">
        <x:v>第17轮待裁清单</x:v>
      </x:c>
      <x:c r="D1" s="55" t="str">
        <x:v>第17轮待裁清单</x:v>
      </x:c>
      <x:c r="E1" s="55" t="str">
        <x:v>第17轮待裁清单</x:v>
      </x:c>
      <x:c r="F1" s="55" t="str">
        <x:v>第17轮待裁清单</x:v>
      </x:c>
      <x:c r="G1" s="55" t="str">
        <x:v>第17轮待裁清单</x:v>
      </x:c>
      <x:c r="H1" s="55" t="str">
        <x:v>第17轮待裁清单</x:v>
      </x:c>
      <x:c r="I1" s="55" t="str">
        <x:v>第17轮待裁清单</x:v>
      </x:c>
    </x:row>
    <x:row r="2" ht="15" hidden="0" customHeight="1">
      <x:c r="A2" s="56" t="str">
        <x:v>优先裁会改变丹方总数与灵植规模的事项；纯数值项可在纸推后冻结</x:v>
      </x:c>
      <x:c r="B2" s="56" t="str">
        <x:v>优先裁会改变丹方总数与灵植规模的事项；纯数值项可在纸推后冻结</x:v>
      </x:c>
      <x:c r="C2" s="56" t="str">
        <x:v>优先裁会改变丹方总数与灵植规模的事项；纯数值项可在纸推后冻结</x:v>
      </x:c>
      <x:c r="D2" s="56" t="str">
        <x:v>优先裁会改变丹方总数与灵植规模的事项；纯数值项可在纸推后冻结</x:v>
      </x:c>
      <x:c r="E2" s="56" t="str">
        <x:v>优先裁会改变丹方总数与灵植规模的事项；纯数值项可在纸推后冻结</x:v>
      </x:c>
      <x:c r="F2" s="56" t="str">
        <x:v>优先裁会改变丹方总数与灵植规模的事项；纯数值项可在纸推后冻结</x:v>
      </x:c>
      <x:c r="G2" s="56" t="str">
        <x:v>优先裁会改变丹方总数与灵植规模的事项；纯数值项可在纸推后冻结</x:v>
      </x:c>
      <x:c r="H2" s="56" t="str">
        <x:v>优先裁会改变丹方总数与灵植规模的事项；纯数值项可在纸推后冻结</x:v>
      </x:c>
      <x:c r="I2" s="56" t="str">
        <x:v>优先裁会改变丹方总数与灵植规模的事项；纯数值项可在纸推后冻结</x:v>
      </x:c>
    </x:row>
    <x:row r="3" ht="15" hidden="0" customHeight="1">
      <x:c r="A3" s="57"/>
      <x:c r="B3" s="57"/>
      <x:c r="C3" s="57"/>
      <x:c r="D3" s="57"/>
      <x:c r="E3" s="57"/>
      <x:c r="F3" s="57"/>
      <x:c r="G3" s="57"/>
      <x:c r="H3" s="57"/>
      <x:c r="I3" s="57"/>
    </x:row>
    <x:row r="4" ht="15" hidden="0" customHeight="1">
      <x:c r="A4" s="58" t="str">
        <x:v>P0｜第17轮已经收敛的结构决定</x:v>
      </x:c>
      <x:c r="B4" s="59" t="str">
        <x:v>P0｜不裁就无法稳定批量出丹方与灵植</x:v>
      </x:c>
      <x:c r="C4" s="59" t="str">
        <x:v>P0｜不裁就无法稳定批量出丹方与灵植</x:v>
      </x:c>
      <x:c r="D4" s="59" t="str">
        <x:v>P0｜不裁就无法稳定批量出丹方与灵植</x:v>
      </x:c>
      <x:c r="E4" s="59" t="str">
        <x:v>P0｜不裁就无法稳定批量出丹方与灵植</x:v>
      </x:c>
      <x:c r="F4" s="59" t="str">
        <x:v>P0｜不裁就无法稳定批量出丹方与灵植</x:v>
      </x:c>
      <x:c r="G4" s="59" t="str">
        <x:v>P0｜不裁就无法稳定批量出丹方与灵植</x:v>
      </x:c>
      <x:c r="H4" s="59" t="str">
        <x:v>P0｜不裁就无法稳定批量出丹方与灵植</x:v>
      </x:c>
      <x:c r="I4" s="60" t="str">
        <x:v>P0｜不裁就无法稳定批量出丹方与灵植</x:v>
      </x:c>
    </x:row>
    <x:row r="5" ht="15" hidden="0" customHeight="1">
      <x:c r="A5" s="49" t="str">
        <x:v>编号</x:v>
      </x:c>
      <x:c r="B5" s="49" t="str">
        <x:v>问题</x:v>
      </x:c>
      <x:c r="C5" s="49" t="str">
        <x:v>选项A</x:v>
      </x:c>
      <x:c r="D5" s="49" t="str">
        <x:v>选项B</x:v>
      </x:c>
      <x:c r="E5" s="49" t="str">
        <x:v>小G建议</x:v>
      </x:c>
      <x:c r="F5" s="49" t="str">
        <x:v>理由</x:v>
      </x:c>
      <x:c r="G5" s="49" t="str">
        <x:v>影响范围</x:v>
      </x:c>
      <x:c r="H5" s="49" t="str">
        <x:v>当前状态</x:v>
      </x:c>
      <x:c r="I5" s="49" t="str">
        <x:v>一句话裁法</x:v>
      </x:c>
    </x:row>
    <x:row r="6" ht="15" hidden="0" customHeight="1">
      <x:c r="A6" s="28" t="str">
        <x:v>P0-1</x:v>
      </x:c>
      <x:c r="B6" s="28" t="str">
        <x:v>谁决定具体丹药</x:v>
      </x:c>
      <x:c r="C6" s="28" t="str">
        <x:v>旧：君行＋君味</x:v>
      </x:c>
      <x:c r="D6" s="28" t="str">
        <x:v>新：独特君核</x:v>
      </x:c>
      <x:c r="E6" s="28" t="str">
        <x:v>独特君核</x:v>
      </x:c>
      <x:c r="F6" s="28" t="str">
        <x:v>同一金苦结构可有不同具体丹，靠君核区分</x:v>
      </x:c>
      <x:c r="G6" s="28" t="str">
        <x:v>丹方/君材</x:v>
      </x:c>
      <x:c r="H6" s="28" t="str">
        <x:v>已共识</x:v>
      </x:c>
      <x:c r="I6" s="28" t="str">
        <x:v>君定丹</x:v>
      </x:c>
    </x:row>
    <x:row r="7" ht="24" hidden="0" customHeight="1">
      <x:c r="A7" s="28" t="str">
        <x:v>P0-2</x:v>
      </x:c>
      <x:c r="B7" s="28" t="str">
        <x:v>五行、五性、五味由谁提供</x:v>
      </x:c>
      <x:c r="C7" s="28" t="str">
        <x:v>旧：所有材料都有完整行味性</x:v>
      </x:c>
      <x:c r="D7" s="28" t="str">
        <x:v>新：臣定行、使定味、四材皆有性且佐和性</x:v>
      </x:c>
      <x:c r="E7" s="28" t="str">
        <x:v>一职一主轴、四材皆有性</x:v>
      </x:c>
      <x:c r="F7" s="28" t="str">
        <x:v>不存在有但不读取的属性</x:v>
      </x:c>
      <x:c r="G7" s="28" t="str">
        <x:v>四材表/UI</x:v>
      </x:c>
      <x:c r="H7" s="28" t="str">
        <x:v>已共识</x:v>
      </x:c>
      <x:c r="I7" s="28" t="str">
        <x:v>臣定行、佐和性、使定味</x:v>
      </x:c>
    </x:row>
    <x:row r="8" ht="15" hidden="0" customHeight="1">
      <x:c r="A8" s="28" t="str">
        <x:v>P0-3</x:v>
      </x:c>
      <x:c r="B8" s="28" t="str">
        <x:v>清毒丹数量</x:v>
      </x:c>
      <x:c r="C8" s="28" t="str">
        <x:v>修为清毒1/境界</x:v>
      </x:c>
      <x:c r="D8" s="28" t="str">
        <x:v>灵根清毒全局1</x:v>
      </x:c>
      <x:c r="E8" s="28" t="str">
        <x:v>两者同时采用</x:v>
      </x:c>
      <x:c r="F8" s="28" t="str">
        <x:v>修为毒在丹田，灵根毒在根基</x:v>
      </x:c>
      <x:c r="G8" s="28" t="str">
        <x:v>总方121</x:v>
      </x:c>
      <x:c r="H8" s="28" t="str">
        <x:v>已共识</x:v>
      </x:c>
      <x:c r="I8" s="28" t="str">
        <x:v>金由臣、甘咸由使</x:v>
      </x:c>
    </x:row>
    <x:row r="9" ht="15" hidden="0" customHeight="1">
      <x:c r="A9" s="28" t="str">
        <x:v>P0-4</x:v>
      </x:c>
      <x:c r="B9" s="28" t="str">
        <x:v>战斗丹初版数量</x:v>
      </x:c>
      <x:c r="C9" s="28" t="str">
        <x:v>4种</x:v>
      </x:c>
      <x:c r="D9" s="28" t="str">
        <x:v>5或6种</x:v>
      </x:c>
      <x:c r="E9" s="28" t="str">
        <x:v>先4</x:v>
      </x:c>
      <x:c r="F9" s="28" t="str">
        <x:v>攻防速神识先覆盖核心向量</x:v>
      </x:c>
      <x:c r="G9" s="28" t="str">
        <x:v>每多1种增加8方/君材</x:v>
      </x:c>
      <x:c r="H9" s="28" t="str">
        <x:v>待裁</x:v>
      </x:c>
      <x:c r="I9" s="28" t="str">
        <x:v>战斗丹先做4种</x:v>
      </x:c>
    </x:row>
    <x:row r="10" ht="24" hidden="0" customHeight="1">
      <x:c r="A10" s="28" t="str">
        <x:v>P0-5</x:v>
      </x:c>
      <x:c r="B10" s="28" t="str">
        <x:v>槽位与药力</x:v>
      </x:c>
      <x:c r="C10" s="28" t="str">
        <x:v>固定君1臣2佐2使1</x:v>
      </x:c>
      <x:c r="D10" s="28" t="str">
        <x:v>随炉境加格</x:v>
      </x:c>
      <x:c r="E10" s="28" t="str">
        <x:v>固定六槽＋总药力＋全炉方性</x:v>
      </x:c>
      <x:c r="F10" s="28" t="str">
        <x:v>八境交互一致，所有材料共同供力</x:v>
      </x:c>
      <x:c r="G10" s="28" t="str">
        <x:v>UI/求解器</x:v>
      </x:c>
      <x:c r="H10" s="28" t="str">
        <x:v>结构已共识</x:v>
      </x:c>
      <x:c r="I10" s="28" t="str">
        <x:v>具体堆量待纸推</x:v>
      </x:c>
    </x:row>
    <x:row r="11" ht="15" hidden="0" customHeight="1">
      <x:c r="A11" s="28" t="str">
        <x:v>P0-6</x:v>
      </x:c>
      <x:c r="B11" s="28" t="str">
        <x:v>3—6的含义</x:v>
      </x:c>
      <x:c r="C11" s="28" t="str">
        <x:v>全部组合≤6</x:v>
      </x:c>
      <x:c r="D11" s="28" t="str">
        <x:v>固定君药，认证3—6套辅材解</x:v>
      </x:c>
      <x:c r="E11" s="28" t="str">
        <x:v>认证解法</x:v>
      </x:c>
      <x:c r="F11" s="28" t="str">
        <x:v>保留臣佐使替代与经营空间</x:v>
      </x:c>
      <x:c r="G11" s="28" t="str">
        <x:v>解法表/灵植量</x:v>
      </x:c>
      <x:c r="H11" s="28" t="str">
        <x:v>待最终确认</x:v>
      </x:c>
      <x:c r="I11" s="28" t="str">
        <x:v>君不换，辅材可多解</x:v>
      </x:c>
    </x:row>
    <x:row r="12" ht="15" hidden="0" customHeight="1">
      <x:c r="A12" s="57"/>
      <x:c r="B12" s="57"/>
      <x:c r="C12" s="57"/>
      <x:c r="D12" s="57"/>
      <x:c r="E12" s="57"/>
      <x:c r="F12" s="57"/>
      <x:c r="G12" s="57"/>
      <x:c r="H12" s="57"/>
      <x:c r="I12" s="57"/>
    </x:row>
    <x:row r="13" ht="15" hidden="0" customHeight="1">
      <x:c r="A13" s="57"/>
      <x:c r="B13" s="57"/>
      <x:c r="C13" s="57"/>
      <x:c r="D13" s="57"/>
      <x:c r="E13" s="57"/>
      <x:c r="F13" s="57"/>
      <x:c r="G13" s="57"/>
      <x:c r="H13" s="57"/>
      <x:c r="I13" s="57"/>
    </x:row>
    <x:row r="14" ht="15" hidden="0" customHeight="1">
      <x:c r="A14" s="58" t="str">
        <x:v>P1｜第18轮垂直切片需要纸推的数值</x:v>
      </x:c>
      <x:c r="B14" s="59" t="str">
        <x:v>P1｜结构可先走，随后用纸推冻结</x:v>
      </x:c>
      <x:c r="C14" s="59" t="str">
        <x:v>P1｜结构可先走，随后用纸推冻结</x:v>
      </x:c>
      <x:c r="D14" s="59" t="str">
        <x:v>P1｜结构可先走，随后用纸推冻结</x:v>
      </x:c>
      <x:c r="E14" s="59" t="str">
        <x:v>P1｜结构可先走，随后用纸推冻结</x:v>
      </x:c>
      <x:c r="F14" s="59" t="str">
        <x:v>P1｜结构可先走，随后用纸推冻结</x:v>
      </x:c>
      <x:c r="G14" s="59" t="str">
        <x:v>P1｜结构可先走，随后用纸推冻结</x:v>
      </x:c>
      <x:c r="H14" s="59" t="str">
        <x:v>P1｜结构可先走，随后用纸推冻结</x:v>
      </x:c>
      <x:c r="I14" s="60" t="str">
        <x:v>P1｜结构可先走，随后用纸推冻结</x:v>
      </x:c>
    </x:row>
    <x:row r="15" ht="15" hidden="0" customHeight="1">
      <x:c r="A15" s="49" t="str">
        <x:v>编号</x:v>
      </x:c>
      <x:c r="B15" s="49" t="str">
        <x:v>问题</x:v>
      </x:c>
      <x:c r="C15" s="49" t="str">
        <x:v>当前试算</x:v>
      </x:c>
      <x:c r="D15" s="49" t="str">
        <x:v>要验证什么</x:v>
      </x:c>
      <x:c r="E15" s="49" t="str">
        <x:v>小G建议</x:v>
      </x:c>
      <x:c r="F15" s="49" t="str">
        <x:v>通过标准</x:v>
      </x:c>
      <x:c r="G15" s="49" t="str">
        <x:v>影响范围</x:v>
      </x:c>
      <x:c r="H15" s="49" t="str">
        <x:v>当前状态</x:v>
      </x:c>
      <x:c r="I15" s="49" t="str">
        <x:v>下一步</x:v>
      </x:c>
    </x:row>
    <x:row r="16" ht="15" hidden="0" customHeight="1">
      <x:c r="A16" s="28" t="str">
        <x:v>P1-1</x:v>
      </x:c>
      <x:c r="B16" s="28" t="str">
        <x:v>代表境界</x:v>
      </x:c>
      <x:c r="C16" s="28" t="str">
        <x:v>推荐筑基</x:v>
      </x:c>
      <x:c r="D16" s="28" t="str">
        <x:v>是否能覆盖完整炼丹需求</x:v>
      </x:c>
      <x:c r="E16" s="28" t="str">
        <x:v>筑基</x:v>
      </x:c>
      <x:c r="F16" s="28" t="str">
        <x:v>约15方，机制比炼气完整</x:v>
      </x:c>
      <x:c r="G16" s="28" t="str">
        <x:v>第18轮范围</x:v>
      </x:c>
      <x:c r="H16" s="28" t="str">
        <x:v>待执行</x:v>
      </x:c>
      <x:c r="I16" s="28" t="str">
        <x:v>确认后开表</x:v>
      </x:c>
    </x:row>
    <x:row r="17" ht="15" hidden="0" customHeight="1">
      <x:c r="A17" s="28" t="str">
        <x:v>P1-2</x:v>
      </x:c>
      <x:c r="B17" s="28" t="str">
        <x:v>总药力曲线</x:v>
      </x:c>
      <x:c r="C17" s="28" t="str">
        <x:v>旧：角色门槛×3</x:v>
      </x:c>
      <x:c r="D17" s="28" t="str">
        <x:v>新：四材统一总门槛</x:v>
      </x:c>
      <x:c r="E17" s="28" t="str">
        <x:v>重做单境基准</x:v>
      </x:c>
      <x:c r="F17" s="28" t="str">
        <x:v>低境满品质满容量能+1，绝不能+2</x:v>
      </x:c>
      <x:c r="G17" s="28" t="str">
        <x:v>所有药力</x:v>
      </x:c>
      <x:c r="H17" s="28" t="str">
        <x:v>待纸推</x:v>
      </x:c>
      <x:c r="I17" s="28" t="str">
        <x:v>先定筑基基准</x:v>
      </x:c>
    </x:row>
    <x:row r="18" ht="15" hidden="0" customHeight="1">
      <x:c r="A18" s="28" t="str">
        <x:v>P1-3</x:v>
      </x:c>
      <x:c r="B18" s="28" t="str">
        <x:v>单槽/总投料上限</x:v>
      </x:c>
      <x:c r="C18" s="28" t="str">
        <x:v>9份/24份</x:v>
      </x:c>
      <x:c r="D18" s="28" t="str">
        <x:v>在总药力模型下是否仍合理</x:v>
      </x:c>
      <x:c r="E18" s="28" t="str">
        <x:v>作为首轮参数</x:v>
      </x:c>
      <x:c r="F18" s="28" t="str">
        <x:v>廉价堆量可用但不越两境</x:v>
      </x:c>
      <x:c r="G18" s="28" t="str">
        <x:v>槽位/经济</x:v>
      </x:c>
      <x:c r="H18" s="28" t="str">
        <x:v>待纸推</x:v>
      </x:c>
      <x:c r="I18" s="28" t="str">
        <x:v>与总力联调</x:v>
      </x:c>
    </x:row>
    <x:row r="19" ht="15" hidden="0" customHeight="1">
      <x:c r="A19" s="28" t="str">
        <x:v>P1-4</x:v>
      </x:c>
      <x:c r="B19" s="28" t="str">
        <x:v>丹炉品质概率表</x:v>
      </x:c>
      <x:c r="C19" s="28" t="str">
        <x:v>未定</x:v>
      </x:c>
      <x:c r="D19" s="28" t="str">
        <x:v>同境炉品质如何影响出品</x:v>
      </x:c>
      <x:c r="E19" s="28" t="str">
        <x:v>5档炉×5档丹</x:v>
      </x:c>
      <x:c r="F19" s="28" t="str">
        <x:v>升级有感、材料仍重要</x:v>
      </x:c>
      <x:c r="G19" s="28" t="str">
        <x:v>出品品质</x:v>
      </x:c>
      <x:c r="H19" s="28" t="str">
        <x:v>待数值</x:v>
      </x:c>
      <x:c r="I19" s="28" t="str">
        <x:v>纸推或模拟</x:v>
      </x:c>
    </x:row>
    <x:row r="20" ht="24" hidden="0" customHeight="1">
      <x:c r="A20" s="28" t="str">
        <x:v>P1-5</x:v>
      </x:c>
      <x:c r="B20" s="28" t="str">
        <x:v>两类长期丹毒</x:v>
      </x:c>
      <x:c r="C20" s="28" t="str">
        <x:v>修为毒、灵根毒</x:v>
      </x:c>
      <x:c r="D20" s="28" t="str">
        <x:v>自然衰减、清毒稀有度与防软锁</x:v>
      </x:c>
      <x:c r="E20" s="28" t="str">
        <x:v>修为毒可慢退；灵根清毒极稀有</x:v>
      </x:c>
      <x:c r="F20" s="28" t="str">
        <x:v>无不可逆软锁</x:v>
      </x:c>
      <x:c r="G20" s="28" t="str">
        <x:v>消耗循环</x:v>
      </x:c>
      <x:c r="H20" s="28" t="str">
        <x:v>待纸推</x:v>
      </x:c>
      <x:c r="I20" s="28" t="str">
        <x:v>随丹方切片验证</x:v>
      </x:c>
    </x:row>
    <x:row r="21" ht="15" hidden="0" customHeight="1">
      <x:c r="A21" s="28" t="str">
        <x:v>P1-6</x:v>
      </x:c>
      <x:c r="B21" s="28" t="str">
        <x:v>四材灵植总量</x:v>
      </x:c>
      <x:c r="C21" s="28" t="str">
        <x:v>旧估算作废</x:v>
      </x:c>
      <x:c r="D21" s="28" t="str">
        <x:v>15君材＋三类通用池需多少物种</x:v>
      </x:c>
      <x:c r="E21" s="28" t="str">
        <x:v>用筑基切片反推</x:v>
      </x:c>
      <x:c r="F21" s="28" t="str">
        <x:v>每方有3套以上认证解且成本分层</x:v>
      </x:c>
      <x:c r="G21" s="28" t="str">
        <x:v>内容规模</x:v>
      </x:c>
      <x:c r="H21" s="28" t="str">
        <x:v>待验证</x:v>
      </x:c>
      <x:c r="I21" s="28" t="str">
        <x:v>产出四材灵植表</x:v>
      </x:c>
    </x:row>
    <x:row r="22" ht="15" hidden="0" customHeight="1">
      <x:c r="A22" s="57"/>
      <x:c r="B22" s="57"/>
      <x:c r="C22" s="57"/>
      <x:c r="D22" s="57"/>
      <x:c r="E22" s="57"/>
      <x:c r="F22" s="57"/>
      <x:c r="G22" s="57"/>
      <x:c r="H22" s="57"/>
      <x:c r="I22" s="57"/>
    </x:row>
    <x:row r="23" ht="15" hidden="0" customHeight="1">
      <x:c r="A23" s="57"/>
      <x:c r="B23" s="57"/>
      <x:c r="C23" s="57"/>
      <x:c r="D23" s="57"/>
      <x:c r="E23" s="57"/>
      <x:c r="F23" s="57"/>
      <x:c r="G23" s="57"/>
      <x:c r="H23" s="57"/>
      <x:c r="I23" s="57"/>
    </x:row>
    <x:row r="24" ht="15" hidden="0" customHeight="1">
      <x:c r="A24" s="58" t="str">
        <x:v>第18轮启动条件</x:v>
      </x:c>
      <x:c r="B24" s="59" t="str">
        <x:v>本轮建议冻结包</x:v>
      </x:c>
      <x:c r="C24" s="59" t="str">
        <x:v>本轮建议冻结包</x:v>
      </x:c>
      <x:c r="D24" s="59" t="str">
        <x:v>本轮建议冻结包</x:v>
      </x:c>
      <x:c r="E24" s="59" t="str">
        <x:v>本轮建议冻结包</x:v>
      </x:c>
      <x:c r="F24" s="59" t="str">
        <x:v>本轮建议冻结包</x:v>
      </x:c>
      <x:c r="G24" s="59" t="str">
        <x:v>本轮建议冻结包</x:v>
      </x:c>
      <x:c r="H24" s="59" t="str">
        <x:v>本轮建议冻结包</x:v>
      </x:c>
      <x:c r="I24" s="60" t="str">
        <x:v>本轮建议冻结包</x:v>
      </x:c>
    </x:row>
    <x:row r="25">
      <x:c r="A25" s="18" t="str">
        <x:v>结构已足够启动下一轮：以筑基为代表境界，列出约15张丹方；为每方配置唯一君材、臣行、目标方性、使味和总药力；再建立通用臣佐使池，并为每方验算3—6套固定君药的辅材解法。</x:v>
      </x:c>
      <x:c r="B25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C25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D25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E25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F25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G25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H25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I25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</x:row>
    <x:row r="26">
      <x:c r="A26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B26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C26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D26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E26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F26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G26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H26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I26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</x:row>
    <x:row r="27">
      <x:c r="A27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B27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C27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D27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E27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F27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G27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H27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I27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</x:row>
    <x:row r="28">
      <x:c r="A28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B28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C28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D28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E28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F28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G28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H28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  <x:c r="I28" s="18" t="str">
        <x:v>如果只裁一组，建议直接冻结：①矩阵只作母表、丹方直接配置；②寒热默认0、特方可偏；③清毒3/境界＋洗灵根毒全局1；④战斗先4种；⑤固定君1臣2佐2使1；⑥3—6是认证解法。这样下一轮就能按137条模板的规模，先做一个境界的完整丹方与灵植垂直切片。</x:v>
      </x:c>
    </x:row>
    <x:row r="29" ht="15" hidden="0" customHeight="1">
      <x:c r="A29" s="57"/>
      <x:c r="B29" s="57"/>
      <x:c r="C29" s="57"/>
      <x:c r="D29" s="57"/>
      <x:c r="E29" s="57"/>
      <x:c r="F29" s="57"/>
      <x:c r="G29" s="57"/>
      <x:c r="H29" s="57"/>
      <x:c r="I29" s="57"/>
    </x:row>
    <x:row r="30">
      <x:c r="A30" s="42" t="str">
        <x:v>署名：小G｜第17轮最终结论：君定丹，臣定行，佐和性，使定味；四材皆有性，四材共同力。下一轮不再讨论属性归属，直接做筑基境丹方、四材灵植与认证解法三张表。</x:v>
      </x:c>
      <x:c r="B30" s="42" t="str">
        <x:v>署名：小G｜第17轮结论：系统结构已经基本收敛，剩余核心不是继续发散概念，而是裁六个P0口径后开始单境批量制表与求解验证。</x:v>
      </x:c>
      <x:c r="C30" s="42" t="str">
        <x:v>署名：小G｜第17轮结论：系统结构已经基本收敛，剩余核心不是继续发散概念，而是裁六个P0口径后开始单境批量制表与求解验证。</x:v>
      </x:c>
      <x:c r="D30" s="42" t="str">
        <x:v>署名：小G｜第17轮结论：系统结构已经基本收敛，剩余核心不是继续发散概念，而是裁六个P0口径后开始单境批量制表与求解验证。</x:v>
      </x:c>
      <x:c r="E30" s="42" t="str">
        <x:v>署名：小G｜第17轮结论：系统结构已经基本收敛，剩余核心不是继续发散概念，而是裁六个P0口径后开始单境批量制表与求解验证。</x:v>
      </x:c>
      <x:c r="F30" s="42" t="str">
        <x:v>署名：小G｜第17轮结论：系统结构已经基本收敛，剩余核心不是继续发散概念，而是裁六个P0口径后开始单境批量制表与求解验证。</x:v>
      </x:c>
      <x:c r="G30" s="42" t="str">
        <x:v>署名：小G｜第17轮结论：系统结构已经基本收敛，剩余核心不是继续发散概念，而是裁六个P0口径后开始单境批量制表与求解验证。</x:v>
      </x:c>
      <x:c r="H30" s="42" t="str">
        <x:v>署名：小G｜第17轮结论：系统结构已经基本收敛，剩余核心不是继续发散概念，而是裁六个P0口径后开始单境批量制表与求解验证。</x:v>
      </x:c>
      <x:c r="I30" s="42" t="str">
        <x:v>署名：小G｜第17轮结论：系统结构已经基本收敛，剩余核心不是继续发散概念，而是裁六个P0口径后开始单境批量制表与求解验证。</x:v>
      </x:c>
    </x:row>
    <x:row r="31">
      <x:c r="A31" s="42" t="str">
        <x:v>署名：小G｜第17轮结论：系统结构已经基本收敛，剩余核心不是继续发散概念，而是裁六个P0口径后开始单境批量制表与求解验证。</x:v>
      </x:c>
      <x:c r="B31" s="42" t="str">
        <x:v>署名：小G｜第17轮结论：系统结构已经基本收敛，剩余核心不是继续发散概念，而是裁六个P0口径后开始单境批量制表与求解验证。</x:v>
      </x:c>
      <x:c r="C31" s="42" t="str">
        <x:v>署名：小G｜第17轮结论：系统结构已经基本收敛，剩余核心不是继续发散概念，而是裁六个P0口径后开始单境批量制表与求解验证。</x:v>
      </x:c>
      <x:c r="D31" s="42" t="str">
        <x:v>署名：小G｜第17轮结论：系统结构已经基本收敛，剩余核心不是继续发散概念，而是裁六个P0口径后开始单境批量制表与求解验证。</x:v>
      </x:c>
      <x:c r="E31" s="42" t="str">
        <x:v>署名：小G｜第17轮结论：系统结构已经基本收敛，剩余核心不是继续发散概念，而是裁六个P0口径后开始单境批量制表与求解验证。</x:v>
      </x:c>
      <x:c r="F31" s="42" t="str">
        <x:v>署名：小G｜第17轮结论：系统结构已经基本收敛，剩余核心不是继续发散概念，而是裁六个P0口径后开始单境批量制表与求解验证。</x:v>
      </x:c>
      <x:c r="G31" s="42" t="str">
        <x:v>署名：小G｜第17轮结论：系统结构已经基本收敛，剩余核心不是继续发散概念，而是裁六个P0口径后开始单境批量制表与求解验证。</x:v>
      </x:c>
      <x:c r="H31" s="42" t="str">
        <x:v>署名：小G｜第17轮结论：系统结构已经基本收敛，剩余核心不是继续发散概念，而是裁六个P0口径后开始单境批量制表与求解验证。</x:v>
      </x:c>
      <x:c r="I31" s="42" t="str">
        <x:v>署名：小G｜第17轮结论：系统结构已经基本收敛，剩余核心不是继续发散概念，而是裁六个P0口径后开始单境批量制表与求解验证。</x:v>
      </x:c>
    </x:row>
  </x:sheetData>
  <x:mergeCells>
    <x:mergeCell ref="A1:I1"/>
    <x:mergeCell ref="A2:I2"/>
    <x:mergeCell ref="A4:I4"/>
    <x:mergeCell ref="A14:I14"/>
    <x:mergeCell ref="A24:I24"/>
    <x:mergeCell ref="A25:I28"/>
    <x:mergeCell ref="A30:I31"/>
  </x:mergeCells>
  <x:conditionalFormatting sqref="H6:H11">
    <x:cfRule type="containsText" dxfId="32" priority="1" operator="containsText" text="已共识"/>
    <x:cfRule type="containsText" dxfId="33" priority="2" operator="containsText" text="建议冻结"/>
    <x:cfRule type="containsText" dxfId="34" priority="3" operator="containsText" text="待裁"/>
    <x:cfRule type="containsText" dxfId="35" priority="4" operator="containsText" text="风险"/>
  </x:conditionalFormatting>
  <x:conditionalFormatting sqref="H16:H21">
    <x:cfRule type="containsText" dxfId="36" priority="5" operator="containsText" text="已共识"/>
    <x:cfRule type="containsText" dxfId="37" priority="6" operator="containsText" text="建议冻结"/>
    <x:cfRule type="containsText" dxfId="38" priority="7" operator="containsText" text="待裁"/>
    <x:cfRule type="containsText" dxfId="39" priority="8" operator="containsText" text="风险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1" hidden="0" customWidth="1"/>
    <x:col min="3" max="3" width="25" hidden="0" customWidth="1"/>
    <x:col min="4" max="4" width="42" hidden="0" customWidth="1"/>
    <x:col min="5" max="5" width="25" hidden="0" customWidth="1"/>
    <x:col min="6" max="6" width="32" hidden="0" customWidth="1"/>
    <x:col min="7" max="7" width="16" hidden="0" customWidth="1"/>
    <x:col min="8" max="8" width="15" hidden="0" customWidth="1"/>
  </x:cols>
  <x:sheetData>
    <x:row r="1" ht="38" customHeight="1">
      <x:c r="A1" s="82" t="str">
        <x:v>第18轮入口｜单境炼丹垂直切片</x:v>
      </x:c>
      <x:c r="B1" s="82"/>
      <x:c r="C1" s="82"/>
      <x:c r="D1" s="82"/>
      <x:c r="E1" s="82"/>
      <x:c r="F1" s="82"/>
      <x:c r="G1" s="82"/>
      <x:c r="H1" s="82"/>
    </x:row>
    <x:row r="2" ht="27" customHeight="1">
      <x:c r="A2" s="85" t="str">
        <x:v>建议选择筑基境：先完成约15张丹方、四材灵植池与3—6套认证解法，再向八境外推</x:v>
      </x:c>
      <x:c r="B2" s="85"/>
      <x:c r="C2" s="85"/>
      <x:c r="D2" s="85"/>
      <x:c r="E2" s="85"/>
      <x:c r="F2" s="85"/>
      <x:c r="G2" s="85"/>
      <x:c r="H2" s="85"/>
    </x:row>
    <x:row r="4" ht="15" hidden="0" customHeight="1">
      <x:c r="A4" s="88" t="str">
        <x:v>一、第18轮只做六件事</x:v>
      </x:c>
      <x:c r="B4" s="89"/>
      <x:c r="C4" s="89"/>
      <x:c r="D4" s="89"/>
      <x:c r="E4" s="89"/>
      <x:c r="F4" s="89"/>
      <x:c r="G4" s="89"/>
      <x:c r="H4" s="90"/>
    </x:row>
    <x:row r="5" ht="15" hidden="0" customHeight="1">
      <x:c r="A5" s="95" t="str">
        <x:v>序号</x:v>
      </x:c>
      <x:c r="B5" s="95" t="str">
        <x:v>任务</x:v>
      </x:c>
      <x:c r="C5" s="95" t="str">
        <x:v>输入</x:v>
      </x:c>
      <x:c r="D5" s="95" t="str">
        <x:v>具体动作</x:v>
      </x:c>
      <x:c r="E5" s="95" t="str">
        <x:v>输出</x:v>
      </x:c>
      <x:c r="F5" s="95" t="str">
        <x:v>通过标准</x:v>
      </x:c>
      <x:c r="G5" s="95" t="str">
        <x:v>是否涉及数值</x:v>
      </x:c>
      <x:c r="H5" s="95" t="str">
        <x:v>状态</x:v>
      </x:c>
    </x:row>
    <x:row r="6" ht="15" hidden="0" customHeight="1">
      <x:c r="A6" s="100" t="n">
        <x:v>1</x:v>
      </x:c>
      <x:c r="B6" s="100" t="str">
        <x:v>列丹方</x:v>
      </x:c>
      <x:c r="C6" s="100" t="str">
        <x:v>筑基境九类结构</x:v>
      </x:c>
      <x:c r="D6" s="100" t="str">
        <x:v>列出约15张丹方，不乘品质</x:v>
      </x:c>
      <x:c r="E6" s="100" t="str">
        <x:v>筑基境丹方清单</x:v>
      </x:c>
      <x:c r="F6" s="100" t="str">
        <x:v>无缺类、无重复</x:v>
      </x:c>
      <x:c r="G6" s="100" t="str">
        <x:v>否</x:v>
      </x:c>
      <x:c r="H6" s="100" t="str">
        <x:v>待执行</x:v>
      </x:c>
    </x:row>
    <x:row r="7" ht="24" hidden="0" customHeight="1">
      <x:c r="A7" s="100" t="n">
        <x:v>2</x:v>
      </x:c>
      <x:c r="B7" s="100" t="str">
        <x:v>立君材</x:v>
      </x:c>
      <x:c r="C7" s="100" t="str">
        <x:v>丹方清单</x:v>
      </x:c>
      <x:c r="D7" s="100" t="str">
        <x:v>每方建立唯一君材占位名、丹核、五性、境界、基础药力</x:v>
      </x:c>
      <x:c r="E7" s="100" t="str">
        <x:v>约15味君材</x:v>
      </x:c>
      <x:c r="F7" s="100" t="str">
        <x:v>一方一君，主效明确</x:v>
      </x:c>
      <x:c r="G7" s="100" t="str">
        <x:v>部分</x:v>
      </x:c>
      <x:c r="H7" s="100" t="str">
        <x:v>待执行</x:v>
      </x:c>
    </x:row>
    <x:row r="8" ht="24" hidden="0" customHeight="1">
      <x:c r="A8" s="100" t="n">
        <x:v>3</x:v>
      </x:c>
      <x:c r="B8" s="100" t="str">
        <x:v>配三辅属性</x:v>
      </x:c>
      <x:c r="C8" s="100" t="str">
        <x:v>五行/五性/五味语义</x:v>
      </x:c>
      <x:c r="D8" s="100" t="str">
        <x:v>逐方确定臣行、目标方性、使味；再按君臣使本性反推佐材配平</x:v>
      </x:c>
      <x:c r="E8" s="100" t="str">
        <x:v>完整丹方结构</x:v>
      </x:c>
      <x:c r="F8" s="100" t="str">
        <x:v>古意与白话均可读通</x:v>
      </x:c>
      <x:c r="G8" s="100" t="str">
        <x:v>否</x:v>
      </x:c>
      <x:c r="H8" s="100" t="str">
        <x:v>待执行</x:v>
      </x:c>
    </x:row>
    <x:row r="9" ht="15" hidden="0" customHeight="1">
      <x:c r="A9" s="100" t="n">
        <x:v>4</x:v>
      </x:c>
      <x:c r="B9" s="100" t="str">
        <x:v>定总药力</x:v>
      </x:c>
      <x:c r="C9" s="100" t="str">
        <x:v>筑基药力基准</x:v>
      </x:c>
      <x:c r="D9" s="100" t="str">
        <x:v>给15张丹方分档并设置总门槛</x:v>
      </x:c>
      <x:c r="E9" s="100" t="str">
        <x:v>总药力列</x:v>
      </x:c>
      <x:c r="F9" s="100" t="str">
        <x:v>低境最多越一境</x:v>
      </x:c>
      <x:c r="G9" s="100" t="str">
        <x:v>是</x:v>
      </x:c>
      <x:c r="H9" s="100" t="str">
        <x:v>待纸推</x:v>
      </x:c>
    </x:row>
    <x:row r="10" ht="15" hidden="0" customHeight="1">
      <x:c r="A10" s="100" t="n">
        <x:v>5</x:v>
      </x:c>
      <x:c r="B10" s="100" t="str">
        <x:v>建通用池</x:v>
      </x:c>
      <x:c r="C10" s="100" t="str">
        <x:v>臣行、目标方性、使味需求</x:v>
      </x:c>
      <x:c r="D10" s="100" t="str">
        <x:v>设计筑基臣材池、佐材池、使材池</x:v>
      </x:c>
      <x:c r="E10" s="100" t="str">
        <x:v>四材灵植表</x:v>
      </x:c>
      <x:c r="F10" s="100" t="str">
        <x:v>所有属性有多价位替代</x:v>
      </x:c>
      <x:c r="G10" s="100" t="str">
        <x:v>部分</x:v>
      </x:c>
      <x:c r="H10" s="100" t="str">
        <x:v>待设计</x:v>
      </x:c>
    </x:row>
    <x:row r="11" ht="15" hidden="0" customHeight="1">
      <x:c r="A11" s="100" t="n">
        <x:v>6</x:v>
      </x:c>
      <x:c r="B11" s="100" t="str">
        <x:v>验算解法</x:v>
      </x:c>
      <x:c r="C11" s="100" t="str">
        <x:v>丹方表＋四材表＋价格</x:v>
      </x:c>
      <x:c r="D11" s="100" t="str">
        <x:v>每方生成3—6套固定君药的辅材组合</x:v>
      </x:c>
      <x:c r="E11" s="100" t="str">
        <x:v>认证解法与成本表</x:v>
      </x:c>
      <x:c r="F11" s="100" t="str">
        <x:v>能炼、能学、能盈利且不越界</x:v>
      </x:c>
      <x:c r="G11" s="100" t="str">
        <x:v>是</x:v>
      </x:c>
      <x:c r="H11" s="100" t="str">
        <x:v>待验证</x:v>
      </x:c>
    </x:row>
    <x:row r="12"/>
    <x:row r="13" ht="15" hidden="0" customHeight="1">
      <x:c r="A13" s="88" t="str">
        <x:v>二、第18轮三张正式交付表</x:v>
      </x:c>
      <x:c r="B13" s="89"/>
      <x:c r="C13" s="89"/>
      <x:c r="D13" s="89"/>
      <x:c r="E13" s="89"/>
      <x:c r="F13" s="89"/>
      <x:c r="G13" s="89"/>
      <x:c r="H13" s="90"/>
    </x:row>
    <x:row r="14" ht="15" hidden="0" customHeight="1">
      <x:c r="A14" s="95" t="str">
        <x:v>交付表</x:v>
      </x:c>
      <x:c r="B14" s="95" t="str">
        <x:v>主键</x:v>
      </x:c>
      <x:c r="C14" s="95" t="str">
        <x:v>必须字段</x:v>
      </x:c>
      <x:c r="D14" s="95" t="str">
        <x:v>不应出现</x:v>
      </x:c>
      <x:c r="E14" s="95" t="str">
        <x:v>数量级</x:v>
      </x:c>
      <x:c r="F14" s="95" t="str">
        <x:v>依赖</x:v>
      </x:c>
      <x:c r="G14" s="95" t="str">
        <x:v>用途</x:v>
      </x:c>
      <x:c r="H14" s="95" t="str">
        <x:v>完成标准</x:v>
      </x:c>
    </x:row>
    <x:row r="15" ht="24" hidden="0" customHeight="1">
      <x:c r="A15" s="100" t="str">
        <x:v>筑基境丹方表</x:v>
      </x:c>
      <x:c r="B15" s="100" t="str">
        <x:v>丹方ID</x:v>
      </x:c>
      <x:c r="C15" s="100" t="str">
        <x:v>君材ID、臣行、目标方性、使味、总药力、槽位、效果、价格</x:v>
      </x:c>
      <x:c r="D15" s="100" t="str">
        <x:v>臣佐使具体材料ID</x:v>
      </x:c>
      <x:c r="E15" s="100" t="str">
        <x:v>约15行</x:v>
      </x:c>
      <x:c r="F15" s="100" t="str">
        <x:v>第17轮结构</x:v>
      </x:c>
      <x:c r="G15" s="100" t="str">
        <x:v>定义能炼什么</x:v>
      </x:c>
      <x:c r="H15" s="100" t="str">
        <x:v>每方字段完整且古意可读</x:v>
      </x:c>
    </x:row>
    <x:row r="16" ht="24" hidden="0" customHeight="1">
      <x:c r="A16" s="100" t="str">
        <x:v>筑基境四材灵植表</x:v>
      </x:c>
      <x:c r="B16" s="100" t="str">
        <x:v>灵植ID</x:v>
      </x:c>
      <x:c r="C16" s="100" t="str">
        <x:v>材品、境界、基础药力、五性、品质区间；主职字段按材品填写</x:v>
      </x:c>
      <x:c r="D16" s="100" t="str">
        <x:v>跨材品废属性</x:v>
      </x:c>
      <x:c r="E16" s="100" t="str">
        <x:v>待反推</x:v>
      </x:c>
      <x:c r="F16" s="100" t="str">
        <x:v>丹方属性需求</x:v>
      </x:c>
      <x:c r="G16" s="100" t="str">
        <x:v>定义用什么炼</x:v>
      </x:c>
      <x:c r="H16" s="100" t="str">
        <x:v>属性覆盖且有成本层次</x:v>
      </x:c>
    </x:row>
    <x:row r="17" ht="24" hidden="0" customHeight="1">
      <x:c r="A17" s="100" t="str">
        <x:v>认证解法与成本表</x:v>
      </x:c>
      <x:c r="B17" s="100" t="str">
        <x:v>丹方ID＋解法号</x:v>
      </x:c>
      <x:c r="C17" s="100" t="str">
        <x:v>固定君材、臣佐使ID/数量、总力、成本、成功率、售价、利润</x:v>
      </x:c>
      <x:c r="D17" s="100" t="str">
        <x:v>替换君药</x:v>
      </x:c>
      <x:c r="E17" s="100" t="str">
        <x:v>45—90行</x:v>
      </x:c>
      <x:c r="F17" s="100" t="str">
        <x:v>前两表＋经济参数</x:v>
      </x:c>
      <x:c r="G17" s="100" t="str">
        <x:v>证明系统可落地</x:v>
      </x:c>
      <x:c r="H17" s="100" t="str">
        <x:v>每方至少3套且存在正利润解</x:v>
      </x:c>
    </x:row>
    <x:row r="18"/>
    <x:row r="19">
      <x:c r="A19" s="105" t="str">
        <x:v>第18轮禁止重新打开的议题：君是否有五行五味、臣佐使分别承担什么主职、药力是否分角色门槛、四材是否都有五性。这四项已经在第17轮冻结。下一轮只做内容配置与数值纸推。</x:v>
      </x:c>
      <x:c r="B19" s="105"/>
      <x:c r="C19" s="105"/>
      <x:c r="D19" s="105"/>
      <x:c r="E19" s="105"/>
      <x:c r="F19" s="105"/>
      <x:c r="G19" s="105"/>
      <x:c r="H19" s="105"/>
    </x:row>
    <x:row r="20">
      <x:c r="A20" s="105"/>
      <x:c r="B20" s="105"/>
      <x:c r="C20" s="105"/>
      <x:c r="D20" s="105"/>
      <x:c r="E20" s="105"/>
      <x:c r="F20" s="105"/>
      <x:c r="G20" s="105"/>
      <x:c r="H20" s="105"/>
    </x:row>
    <x:row r="21">
      <x:c r="A21" s="105"/>
      <x:c r="B21" s="105"/>
      <x:c r="C21" s="105"/>
      <x:c r="D21" s="105"/>
      <x:c r="E21" s="105"/>
      <x:c r="F21" s="105"/>
      <x:c r="G21" s="105"/>
      <x:c r="H21" s="105"/>
    </x:row>
    <x:row r="22"/>
    <x:row r="23">
      <x:c r="A23" s="110" t="str">
        <x:v>署名：小G｜第18轮入口已准备｜建议起点：筑基境垂直切片</x:v>
      </x:c>
      <x:c r="B23" s="110"/>
      <x:c r="C23" s="110"/>
      <x:c r="D23" s="110"/>
      <x:c r="E23" s="110"/>
      <x:c r="F23" s="110"/>
      <x:c r="G23" s="110"/>
      <x:c r="H23" s="110"/>
    </x:row>
    <x:row r="24">
      <x:c r="A24" s="110"/>
      <x:c r="B24" s="110"/>
      <x:c r="C24" s="110"/>
      <x:c r="D24" s="110"/>
      <x:c r="E24" s="110"/>
      <x:c r="F24" s="110"/>
      <x:c r="G24" s="110"/>
      <x:c r="H24" s="110"/>
    </x:row>
  </x:sheetData>
  <x:mergeCells>
    <x:mergeCell ref="A1:H1"/>
    <x:mergeCell ref="A2:H2"/>
    <x:mergeCell ref="A4:H4"/>
    <x:mergeCell ref="A13:H13"/>
    <x:mergeCell ref="A19:H21"/>
    <x:mergeCell ref="A23:H24"/>
  </x:mergeCells>
  <x:pageMargins left="0.7" right="0.7" top="0.75" bottom="0.75" header="0.3" footer="0.3"/>
</x:worksheet>
</file>