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96aef618b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第18轮发言" sheetId="1" r:id="R4e65937a4fdb44bf"/>
    <x:sheet xmlns:r="http://schemas.openxmlformats.org/officeDocument/2006/relationships" name="01_参数与词典" sheetId="2" r:id="R7a510a42f9c44f50"/>
    <x:sheet xmlns:r="http://schemas.openxmlformats.org/officeDocument/2006/relationships" name="02_筑基丹方表" sheetId="3" r:id="R6cac255c30764c3d"/>
    <x:sheet xmlns:r="http://schemas.openxmlformats.org/officeDocument/2006/relationships" name="03_筑基灵植表" sheetId="4" r:id="R8b8e6b6f3f1145c4"/>
    <x:sheet xmlns:r="http://schemas.openxmlformats.org/officeDocument/2006/relationships" name="04_认证组合表" sheetId="5" r:id="Rf70c1bb8fed14af5"/>
    <x:sheet xmlns:r="http://schemas.openxmlformats.org/officeDocument/2006/relationships" name="05_玩家学习与N规则" sheetId="6" r:id="Rc62150e527284808"/>
    <x:sheet xmlns:r="http://schemas.openxmlformats.org/officeDocument/2006/relationships" name="06_完整性核验" sheetId="7" r:id="Rc710288758bc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#,##0"/>
    <x:numFmt numFmtId="203" formatCode="#,##0.0"/>
  </x:numFmts>
  <x:fonts count="12">
    <x:font>
      <x:sz val="11"/>
      <x:name val="Carlito"/>
    </x:font>
    <x:font>
      <x:b/>
      <x:sz val="18"/>
      <x:color rgb="FFFFFFFF"/>
      <x:name val="Microsoft YaHei"/>
    </x:font>
    <x:font>
      <x:sz val="10"/>
      <x:color rgb="FFFFFFFF"/>
      <x:name val="Microsoft YaHei"/>
    </x:font>
    <x:font>
      <x:b/>
      <x:sz val="11"/>
      <x:color rgb="FF17212B"/>
      <x:name val="Microsoft YaHei"/>
    </x:font>
    <x:font>
      <x:b/>
      <x:sz val="9"/>
      <x:color rgb="FFFFFFFF"/>
      <x:name val="Microsoft YaHei"/>
    </x:font>
    <x:font>
      <x:sz val="9"/>
      <x:color rgb="FF17212B"/>
      <x:name val="Microsoft YaHei"/>
    </x:font>
    <x:font>
      <x:b/>
      <x:sz val="10"/>
      <x:color rgb="FF2F6B63"/>
      <x:name val="Microsoft YaHei"/>
    </x:font>
    <x:font>
      <x:b/>
      <x:sz val="14"/>
      <x:color rgb="FF2F6B63"/>
      <x:name val="Microsoft YaHei"/>
    </x:font>
    <x:font>
      <x:b/>
      <x:sz val="12"/>
      <x:color rgb="FF17212B"/>
      <x:name val="Microsoft YaHei"/>
    </x:font>
    <x:font>
      <x:sz val="10"/>
      <x:color rgb="FF5E6A73"/>
      <x:name val="Microsoft YaHei"/>
    </x:font>
    <x:font>
      <x:sz val="10"/>
      <x:color rgb="FF2F6B63"/>
      <x:name val="Microsoft YaHei"/>
    </x:font>
    <x:font>
      <x:b/>
      <x:sz val="10"/>
      <x:color rgb="FF17212B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203647"/>
      </x:patternFill>
    </x:fill>
    <x:fill>
      <x:patternFill patternType="solid">
        <x:fgColor rgb="FF2F6B63"/>
      </x:patternFill>
    </x:fill>
    <x:fill>
      <x:patternFill patternType="solid">
        <x:fgColor rgb="FFF7EED8"/>
      </x:patternFill>
    </x:fill>
    <x:fill>
      <x:patternFill patternType="solid">
        <x:fgColor rgb="FFFFFFFF"/>
      </x:patternFill>
    </x:fill>
    <x:fill>
      <x:patternFill patternType="solid">
        <x:fgColor rgb="FFDDEDE6"/>
      </x:patternFill>
    </x:fill>
    <x:fill>
      <x:patternFill patternType="solid">
        <x:fgColor rgb="FFFFF5D6"/>
      </x:patternFill>
    </x:fill>
    <x:fill>
      <x:patternFill patternType="solid">
        <x:fgColor rgb="FFE7F0F6"/>
      </x:patternFill>
    </x:fill>
    <x:fill>
      <x:patternFill patternType="solid">
        <x:fgColor rgb="FFEEF4F1"/>
      </x:patternFill>
    </x:fill>
    <x:fill>
      <x:patternFill patternType="solid">
        <x:fgColor rgb="FFF0EAF7"/>
      </x:patternFill>
    </x:fill>
    <x:fill>
      <x:patternFill patternType="solid">
        <x:fgColor rgb="FFEEF1F3"/>
      </x:patternFill>
    </x:fill>
  </x:fills>
  <x:borders count="6">
    <x:border/>
    <x:border>
      <x:left style="thin">
        <x:color rgb="FFCBD2D7"/>
      </x:left>
      <x:top style="thin">
        <x:color rgb="FFCBD2D7"/>
      </x:top>
      <x:bottom style="thin">
        <x:color rgb="FFCBD2D7"/>
      </x:bottom>
    </x:border>
    <x:border>
      <x:top style="thin">
        <x:color rgb="FFCBD2D7"/>
      </x:top>
      <x:bottom style="thin">
        <x:color rgb="FFCBD2D7"/>
      </x:bottom>
    </x:border>
    <x:border>
      <x:right style="thin">
        <x:color rgb="FFCBD2D7"/>
      </x:right>
      <x:top style="thin">
        <x:color rgb="FFCBD2D7"/>
      </x:top>
      <x:bottom style="thin">
        <x:color rgb="FFCBD2D7"/>
      </x:bottom>
    </x:border>
    <x:border>
      <x:left style="thin">
        <x:color rgb="FFCBD2D7"/>
      </x:left>
      <x:right style="thin">
        <x:color rgb="FFCBD2D7"/>
      </x:right>
      <x:top style="thin">
        <x:color rgb="FFCBD2D7"/>
      </x:top>
      <x:bottom style="thin">
        <x:color rgb="FFCBD2D7"/>
      </x:bottom>
    </x:border>
    <x:border>
      <x:left style="thin">
        <x:color rgb="FFE8B44A"/>
      </x:left>
      <x:right style="thin">
        <x:color rgb="FFE8B44A"/>
      </x:right>
      <x:top style="thin">
        <x:color rgb="FFE8B44A"/>
      </x:top>
      <x:bottom style="thin">
        <x:color rgb="FFE8B44A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200" fontId="5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201" fontId="5" fillId="5" borderId="4" xfId="0" applyNumberFormat="1" applyFont="1" applyFill="1" applyBorder="1" applyAlignment="1">
      <x:alignment vertical="center" wrapText="1"/>
    </x:xf>
    <x:xf numFmtId="202" fontId="5" fillId="7" borderId="4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center" wrapText="1"/>
    </x:xf>
    <x:xf numFmtId="202" fontId="5" fillId="8" borderId="4" xfId="0" applyNumberFormat="1" applyFont="1" applyFill="1" applyBorder="1" applyAlignment="1">
      <x:alignment vertical="center" wrapText="1"/>
    </x:xf>
    <x:xf numFmtId="202" fontId="5" fillId="9" borderId="4" xfId="0" applyNumberFormat="1" applyFont="1" applyFill="1" applyBorder="1" applyAlignment="1">
      <x:alignment vertical="center" wrapText="1"/>
    </x:xf>
    <x:xf numFmtId="202" fontId="5" fillId="10" borderId="4" xfId="0" applyNumberFormat="1" applyFont="1" applyFill="1" applyBorder="1" applyAlignment="1">
      <x:alignment vertical="center" wrapText="1"/>
    </x:xf>
    <x:xf numFmtId="203" fontId="5" fillId="5" borderId="4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4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4" xfId="0" applyNumberFormat="1" applyFont="1" applyFill="1" applyBorder="1"/>
    <x:xf numFmtId="0" fontId="5" fillId="9" borderId="4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5" xfId="0" applyNumberFormat="1" applyFont="1" applyFill="1" applyBorder="1"/>
    <x:xf numFmtId="0" fontId="8" fillId="4" borderId="5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4" xfId="0" applyNumberFormat="1" applyFont="1" applyFill="1" applyBorder="1"/>
    <x:xf numFmtId="0" fontId="9" fillId="11" borderId="4" xfId="0" applyNumberFormat="1" applyFont="1" applyFill="1" applyBorder="1" applyAlignment="1">
      <x:alignment wrapText="1"/>
    </x:xf>
    <x:xf numFmtId="0" fontId="9" fillId="11" borderId="4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4" xfId="0" applyNumberFormat="1" applyFont="1" applyFill="1" applyBorder="1"/>
    <x:xf numFmtId="0" fontId="10" fillId="6" borderId="4" xfId="0" applyNumberFormat="1" applyFont="1" applyFill="1" applyBorder="1" applyAlignment="1">
      <x:alignment wrapText="1"/>
    </x:xf>
    <x:xf numFmtId="0" fontId="10" fillId="6" borderId="4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/>
    <x:xf numFmtId="0" fontId="11" fillId="4" borderId="5" xfId="0" applyNumberFormat="1" applyFont="1" applyFill="1" applyBorder="1"/>
    <x:xf numFmtId="0" fontId="11" fillId="4" borderId="5" xfId="0" applyNumberFormat="1" applyFont="1" applyFill="1" applyBorder="1" applyAlignment="1">
      <x:alignment wrapText="1"/>
    </x:xf>
    <x:xf numFmtId="0" fontId="11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A33A32"/>
      </x:font>
      <x:fill>
        <x:patternFill patternType="solid">
          <x:bgColor rgb="FFF5DDDA"/>
        </x:patternFill>
      </x:fill>
    </x:dxf>
    <x:dxf>
      <x:font>
        <x:b/>
        <x:color rgb="FFA33A32"/>
      </x:font>
      <x:fill>
        <x:patternFill patternType="solid">
          <x:bgColor rgb="FFF5DDDA"/>
        </x:patternFill>
      </x:fill>
    </x:dxf>
    <x:dxf>
      <x:font>
        <x:b/>
        <x:color rgb="FFA33A32"/>
      </x:font>
      <x:fill>
        <x:patternFill patternType="solid">
          <x:bgColor rgb="FFF5DDDA"/>
        </x:patternFill>
      </x:fill>
    </x:dxf>
    <x:dxf>
      <x:font>
        <x:b/>
        <x:color rgb="FFA33A32"/>
      </x:font>
      <x:fill>
        <x:patternFill patternType="solid">
          <x:bgColor rgb="FFF5DDDA"/>
        </x:patternFill>
      </x:fill>
    </x:dxf>
    <x:dxf>
      <x:font>
        <x:b/>
        <x:color rgb="FF2F6B63"/>
      </x:font>
      <x:fill>
        <x:patternFill patternType="solid">
          <x:bgColor rgb="FFDDEDE6"/>
        </x:patternFill>
      </x:fill>
    </x:dxf>
    <x:dxf>
      <x:font>
        <x:color rgb="FFA33A32"/>
      </x:font>
      <x:fill>
        <x:patternFill patternType="solid">
          <x:bgColor rgb="FFF5DDDA"/>
        </x:patternFill>
      </x:fill>
    </x:dxf>
    <x:dxf>
      <x:font>
        <x:b/>
        <x:color rgb="FF2F6B63"/>
      </x:font>
      <x:fill>
        <x:patternFill patternType="solid">
          <x:bgColor rgb="FFDDEDE6"/>
        </x:patternFill>
      </x:fill>
    </x:dxf>
    <x:dxf>
      <x:font>
        <x:b/>
        <x:color rgb="FF2F6B63"/>
      </x:font>
      <x:fill>
        <x:patternFill patternType="solid">
          <x:bgColor rgb="FFDDEDE6"/>
        </x:patternFill>
      </x:fill>
    </x:dxf>
    <x:dxf>
      <x:font>
        <x:b/>
        <x:color rgb="FF2F6B63"/>
      </x:font>
      <x:fill>
        <x:patternFill patternType="solid">
          <x:bgColor rgb="FFDDED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474e09e064d6f" /><Relationship Type="http://schemas.openxmlformats.org/officeDocument/2006/relationships/theme" Target="/xl/theme/theme1.xml" Id="R6442551befc04bfd" /><Relationship Type="http://schemas.openxmlformats.org/officeDocument/2006/relationships/sharedStrings" Target="/xl/sharedStrings.xml" Id="R7f7b8f0da27b4d7b" /><Relationship Type="http://schemas.openxmlformats.org/officeDocument/2006/relationships/worksheet" Target="/xl/worksheets/sheet1.xml" Id="R4e65937a4fdb44bf" /><Relationship Type="http://schemas.openxmlformats.org/officeDocument/2006/relationships/worksheet" Target="/xl/worksheets/sheet2.xml" Id="R7a510a42f9c44f50" /><Relationship Type="http://schemas.openxmlformats.org/officeDocument/2006/relationships/worksheet" Target="/xl/worksheets/sheet3.xml" Id="R6cac255c30764c3d" /><Relationship Type="http://schemas.openxmlformats.org/officeDocument/2006/relationships/worksheet" Target="/xl/worksheets/sheet4.xml" Id="R8b8e6b6f3f1145c4" /><Relationship Type="http://schemas.openxmlformats.org/officeDocument/2006/relationships/worksheet" Target="/xl/worksheets/sheet5.xml" Id="Rf70c1bb8fed14af5" /><Relationship Type="http://schemas.openxmlformats.org/officeDocument/2006/relationships/worksheet" Target="/xl/worksheets/sheet6.xml" Id="Rc62150e527284808" /><Relationship Type="http://schemas.openxmlformats.org/officeDocument/2006/relationships/worksheet" Target="/xl/worksheets/sheet7.xml" Id="Rc710288758bc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33" hidden="0" customWidth="1"/>
    <x:col min="4" max="4" width="23" hidden="0" customWidth="1"/>
    <x:col min="5" max="5" width="25" hidden="0" customWidth="1"/>
    <x:col min="6" max="6" width="25" hidden="0" customWidth="1"/>
    <x:col min="7" max="7" width="25" hidden="0" customWidth="1"/>
    <x:col min="8" max="8" width="14" hidden="0" customWidth="1"/>
  </x:cols>
  <x:sheetData>
    <x:row r="1" ht="21.600000381469727" hidden="0" customHeight="1">
      <x:c r="A1" s="3" t="str">
        <x:v>第18轮发言｜灵植表、丹方表与有限认证组合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小G｜底层规则已足够，本轮把规则压成玩家能学会、策划能维护、程序能验算的正式数据结构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3" t="str">
        <x:v>一、本轮核心结论</x:v>
      </x:c>
      <x:c r="B4" s="14"/>
      <x:c r="C4" s="14"/>
      <x:c r="D4" s="14"/>
      <x:c r="E4" s="14"/>
      <x:c r="F4" s="14"/>
      <x:c r="G4" s="14"/>
      <x:c r="H4" s="15"/>
    </x:row>
    <x:row r="5" ht="15" hidden="0" customHeight="1">
      <x:c r="A5" s="20" t="str">
        <x:v>结论</x:v>
      </x:c>
      <x:c r="B5" s="20" t="str">
        <x:v>定义</x:v>
      </x:c>
      <x:c r="C5" s="20" t="str">
        <x:v>为什么</x:v>
      </x:c>
      <x:c r="D5" s="20" t="str">
        <x:v>玩家看到什么</x:v>
      </x:c>
      <x:c r="E5" s="20" t="str">
        <x:v>策划维护什么</x:v>
      </x:c>
      <x:c r="F5" s="20" t="str">
        <x:v>程序校验什么</x:v>
      </x:c>
      <x:c r="G5" s="20" t="str">
        <x:v>本轮处理</x:v>
      </x:c>
      <x:c r="H5" s="20" t="str">
        <x:v>状态</x:v>
      </x:c>
    </x:row>
    <x:row r="6" ht="21.600000381469727" hidden="0" customHeight="1">
      <x:c r="A6" s="25" t="str">
        <x:v>每方有明确N套组合</x:v>
      </x:c>
      <x:c r="B6" s="25" t="str">
        <x:v>N只数不同灵植物种集合</x:v>
      </x:c>
      <x:c r="C6" s="25" t="str">
        <x:v>品质与数量不再把答案无限放大</x:v>
      </x:c>
      <x:c r="D6" s="25" t="str">
        <x:v>已知组合1/N</x:v>
      </x:c>
      <x:c r="E6" s="25" t="str">
        <x:v>每方3—6条组合子表</x:v>
      </x:c>
      <x:c r="F6" s="25" t="str">
        <x:v>组合归属</x:v>
      </x:c>
      <x:c r="G6" s="25" t="str">
        <x:v>筑基每方先做3套</x:v>
      </x:c>
      <x:c r="H6" s="25" t="str">
        <x:v>建议冻结</x:v>
      </x:c>
    </x:row>
    <x:row r="7" ht="21.600000381469727" hidden="0" customHeight="1">
      <x:c r="A7" s="25" t="str">
        <x:v>两张主表＋一张子表</x:v>
      </x:c>
      <x:c r="B7" s="25" t="str">
        <x:v>灵植主表／丹方主表／认证组合子表</x:v>
      </x:c>
      <x:c r="C7" s="25" t="str">
        <x:v>多对多关系不能塞在一行</x:v>
      </x:c>
      <x:c r="D7" s="25" t="str">
        <x:v>只看丹方与已学组合</x:v>
      </x:c>
      <x:c r="E7" s="25" t="str">
        <x:v>三表可独立批量维护</x:v>
      </x:c>
      <x:c r="F7" s="25" t="str">
        <x:v>主键与引用</x:v>
      </x:c>
      <x:c r="G7" s="25" t="str">
        <x:v>已完整落表</x:v>
      </x:c>
      <x:c r="H7" s="25" t="str">
        <x:v>建议冻结</x:v>
      </x:c>
    </x:row>
    <x:row r="8" ht="15" hidden="0" customHeight="1">
      <x:c r="A8" s="25" t="str">
        <x:v>一方一君</x:v>
      </x:c>
      <x:c r="B8" s="25" t="str">
        <x:v>每张丹方绑定唯一君材ID</x:v>
      </x:c>
      <x:c r="C8" s="25" t="str">
        <x:v>确保丹药有内容锚点与成本底座</x:v>
      </x:c>
      <x:c r="D8" s="25" t="str">
        <x:v>君药就是这颗丹</x:v>
      </x:c>
      <x:c r="E8" s="25" t="str">
        <x:v>逐方设计君材</x:v>
      </x:c>
      <x:c r="F8" s="25" t="str">
        <x:v>君材ID一致</x:v>
      </x:c>
      <x:c r="G8" s="25" t="str">
        <x:v>15方15君</x:v>
      </x:c>
      <x:c r="H8" s="25" t="str">
        <x:v>已冻结</x:v>
      </x:c>
    </x:row>
    <x:row r="9" ht="21.600000381469727" hidden="0" customHeight="1">
      <x:c r="A9" s="25" t="str">
        <x:v>四材皆有性</x:v>
      </x:c>
      <x:c r="B9" s="25" t="str">
        <x:v>物种各计一次，数量不叠寒热</x:v>
      </x:c>
      <x:c r="C9" s="25" t="str">
        <x:v>佐必须有对象可调和</x:v>
      </x:c>
      <x:c r="D9" s="25" t="str">
        <x:v>方性灯</x:v>
      </x:c>
      <x:c r="E9" s="25" t="str">
        <x:v>为每个物种填性值</x:v>
      </x:c>
      <x:c r="F9" s="25" t="str">
        <x:v>全炉性值等于目标</x:v>
      </x:c>
      <x:c r="G9" s="25" t="str">
        <x:v>45套全部验算</x:v>
      </x:c>
      <x:c r="H9" s="25" t="str">
        <x:v>已冻结</x:v>
      </x:c>
    </x:row>
    <x:row r="10" ht="21.600000381469727" hidden="0" customHeight="1">
      <x:c r="A10" s="25" t="str">
        <x:v>四材共同力</x:v>
      </x:c>
      <x:c r="B10" s="25" t="str">
        <x:v>药力＝单份有效药力×数量之和</x:v>
      </x:c>
      <x:c r="C10" s="25" t="str">
        <x:v>数量只解决强弱与境界</x:v>
      </x:c>
      <x:c r="D10" s="25" t="str">
        <x:v>药力灯</x:v>
      </x:c>
      <x:c r="E10" s="25" t="str">
        <x:v>只配总门槛</x:v>
      </x:c>
      <x:c r="F10" s="25" t="str">
        <x:v>总力达到门槛</x:v>
      </x:c>
      <x:c r="G10" s="25" t="str">
        <x:v>24/30/36三档纸推</x:v>
      </x:c>
      <x:c r="H10" s="25" t="str">
        <x:v>结构冻结</x:v>
      </x:c>
    </x:row>
    <x:row r="11" ht="21.600000381469727" hidden="0" customHeight="1">
      <x:c r="A11" s="25" t="str">
        <x:v>V1只认认证组合</x:v>
      </x:c>
      <x:c r="B11" s="25" t="str">
        <x:v>同职同轴替换先不开放</x:v>
      </x:c>
      <x:c r="C11" s="25" t="str">
        <x:v>有限答案更容易学习、收集与平衡</x:v>
      </x:c>
      <x:c r="D11" s="25" t="str">
        <x:v>先选组合再调数量</x:v>
      </x:c>
      <x:c r="E11" s="25" t="str">
        <x:v>逐条保证成本与产区</x:v>
      </x:c>
      <x:c r="F11" s="25" t="str">
        <x:v>物种集合命中</x:v>
      </x:c>
      <x:c r="G11" s="25" t="str">
        <x:v>宗师改方后续扩展</x:v>
      </x:c>
      <x:c r="H11" s="25" t="str">
        <x:v>本轮新建议</x:v>
      </x:c>
    </x:row>
    <x:row r="12"/>
    <x:row r="13"/>
    <x:row r="14" ht="15" hidden="0" customHeight="1">
      <x:c r="A14" s="13" t="str">
        <x:v>二、筑基纵切规模</x:v>
      </x:c>
      <x:c r="B14" s="14"/>
      <x:c r="C14" s="14"/>
      <x:c r="D14" s="14"/>
      <x:c r="E14" s="14"/>
      <x:c r="F14" s="14"/>
      <x:c r="G14" s="14"/>
      <x:c r="H14" s="15"/>
    </x:row>
    <x:row r="15" ht="15" hidden="0" customHeight="1">
      <x:c r="A15" s="20" t="str">
        <x:v>丹方数</x:v>
      </x:c>
      <x:c r="B15" s="20" t="str">
        <x:v>君材数</x:v>
      </x:c>
      <x:c r="C15" s="20" t="str">
        <x:v>臣材数</x:v>
      </x:c>
      <x:c r="D15" s="20" t="str">
        <x:v>佐材数</x:v>
      </x:c>
      <x:c r="E15" s="20" t="str">
        <x:v>使材数</x:v>
      </x:c>
      <x:c r="F15" s="20" t="str">
        <x:v>灵植总数</x:v>
      </x:c>
      <x:c r="G15" s="20" t="str">
        <x:v>认证组合数</x:v>
      </x:c>
      <x:c r="H15" s="20" t="str">
        <x:v>综合通过数</x:v>
      </x:c>
    </x:row>
    <x:row r="16" ht="16.799999237060547" hidden="0" customHeight="1">
      <x:c r="A16" s="45" t="n">
        <x:f>COUNTA('02_筑基丹方表'!$A$5:$A$19)</x:f>
        <x:v>15</x:v>
      </x:c>
      <x:c r="B16" s="45" t="n">
        <x:f>COUNTIF('03_筑基灵植表'!$C$5:$C$49,"君")</x:f>
        <x:v>15</x:v>
      </x:c>
      <x:c r="C16" s="45" t="n">
        <x:f>COUNTIF('03_筑基灵植表'!$C$5:$C$49,"臣")</x:f>
        <x:v>15</x:v>
      </x:c>
      <x:c r="D16" s="45" t="n">
        <x:f>COUNTIF('03_筑基灵植表'!$C$5:$C$49,"佐")</x:f>
        <x:v>5</x:v>
      </x:c>
      <x:c r="E16" s="45" t="n">
        <x:f>COUNTIF('03_筑基灵植表'!$C$5:$C$49,"使")</x:f>
        <x:v>10</x:v>
      </x:c>
      <x:c r="F16" s="45" t="n">
        <x:f>COUNTA('03_筑基灵植表'!$A$5:$A$49)</x:f>
        <x:v>45</x:v>
      </x:c>
      <x:c r="G16" s="45" t="n">
        <x:f>COUNTA('04_认证组合表'!$A$5:$A$49)</x:f>
        <x:v>45</x:v>
      </x:c>
      <x:c r="H16" s="45" t="n">
        <x:f>COUNTIF('04_认证组合表'!$AA$5:$AA$49,"通过")</x:f>
        <x:v>45</x:v>
      </x:c>
    </x:row>
    <x:row r="17"/>
    <x:row r="18"/>
    <x:row r="19" ht="15" hidden="0" customHeight="1">
      <x:c r="A19" s="13" t="str">
        <x:v>三、玩家最终只做四步</x:v>
      </x:c>
      <x:c r="B19" s="14"/>
      <x:c r="C19" s="14"/>
      <x:c r="D19" s="14"/>
      <x:c r="E19" s="14"/>
      <x:c r="F19" s="14"/>
      <x:c r="G19" s="14"/>
      <x:c r="H19" s="15"/>
    </x:row>
    <x:row r="20" ht="15" hidden="0" customHeight="1">
      <x:c r="A20" s="36" t="n">
        <x:v>1</x:v>
      </x:c>
      <x:c r="B20" s="36" t="str">
        <x:v>选丹方</x:v>
      </x:c>
      <x:c r="C20" s="36" t="str">
        <x:v>丹方决定君材、臣行、使味、目标方性与总药力</x:v>
      </x:c>
      <x:c r="D20" s="36" t="str"/>
      <x:c r="E20" s="36" t="str"/>
      <x:c r="F20" s="36" t="str"/>
      <x:c r="G20" s="36" t="str"/>
      <x:c r="H20" s="36" t="str"/>
    </x:row>
    <x:row r="21" ht="15" hidden="0" customHeight="1">
      <x:c r="A21" s="36" t="n">
        <x:v>2</x:v>
      </x:c>
      <x:c r="B21" s="36" t="str">
        <x:v>选已知组合</x:v>
      </x:c>
      <x:c r="C21" s="36" t="str">
        <x:v>廉价／标准／精炼；显示已知组合数量</x:v>
      </x:c>
      <x:c r="D21" s="36" t="str"/>
      <x:c r="E21" s="36" t="str"/>
      <x:c r="F21" s="36" t="str"/>
      <x:c r="G21" s="36" t="str"/>
      <x:c r="H21" s="36" t="str"/>
    </x:row>
    <x:row r="22" ht="15" hidden="0" customHeight="1">
      <x:c r="A22" s="36" t="n">
        <x:v>3</x:v>
      </x:c>
      <x:c r="B22" s="36" t="str">
        <x:v>调品质与数量</x:v>
      </x:c>
      <x:c r="C22" s="36" t="str">
        <x:v>物种不换；品质与数量决定药力、成本和出品潜力</x:v>
      </x:c>
      <x:c r="D22" s="36" t="str"/>
      <x:c r="E22" s="36" t="str"/>
      <x:c r="F22" s="36" t="str"/>
      <x:c r="G22" s="36" t="str"/>
      <x:c r="H22" s="36" t="str"/>
    </x:row>
    <x:row r="23" ht="15" hidden="0" customHeight="1">
      <x:c r="A23" s="36" t="n">
        <x:v>4</x:v>
      </x:c>
      <x:c r="B23" s="36" t="str">
        <x:v>看三盏灯开炉</x:v>
      </x:c>
      <x:c r="C23" s="36" t="str">
        <x:v>方性、总药力、总份数全部通过即可进入成功率与品质结算</x:v>
      </x:c>
      <x:c r="D23" s="36" t="str"/>
      <x:c r="E23" s="36" t="str"/>
      <x:c r="F23" s="36" t="str"/>
      <x:c r="G23" s="36" t="str"/>
      <x:c r="H23" s="36" t="str"/>
    </x:row>
    <x:row r="24"/>
    <x:row r="25"/>
    <x:row r="26">
      <x:c r="A26" s="53" t="str">
        <x:v>一句话收束：丹方不是一个答案，也不是无限答案；它是一组有限、可学、可收集、可经营的正确答案。</x:v>
      </x:c>
      <x:c r="B26" s="53"/>
      <x:c r="C26" s="53"/>
      <x:c r="D26" s="53"/>
      <x:c r="E26" s="53"/>
      <x:c r="F26" s="53"/>
      <x:c r="G26" s="53"/>
      <x:c r="H26" s="53"/>
    </x:row>
    <x:row r="27">
      <x:c r="A27" s="53"/>
      <x:c r="B27" s="53"/>
      <x:c r="C27" s="53"/>
      <x:c r="D27" s="53"/>
      <x:c r="E27" s="53"/>
      <x:c r="F27" s="53"/>
      <x:c r="G27" s="53"/>
      <x:c r="H27" s="53"/>
    </x:row>
    <x:row r="28">
      <x:c r="A28" s="53"/>
      <x:c r="B28" s="53"/>
      <x:c r="C28" s="53"/>
      <x:c r="D28" s="53"/>
      <x:c r="E28" s="53"/>
      <x:c r="F28" s="53"/>
      <x:c r="G28" s="53"/>
      <x:c r="H28" s="53"/>
    </x:row>
    <x:row r="29"/>
    <x:row r="30"/>
    <x:row r="31">
      <x:c r="A31" s="58" t="str">
        <x:v>署名：小G｜第18轮｜下一轮只需根据各家第18轮意见调整N值、字段和筑基纸推参数，然后批量展开八境</x:v>
      </x:c>
      <x:c r="B31" s="58"/>
      <x:c r="C31" s="58"/>
      <x:c r="D31" s="58"/>
      <x:c r="E31" s="58"/>
      <x:c r="F31" s="58"/>
      <x:c r="G31" s="58"/>
      <x:c r="H31" s="58"/>
    </x:row>
    <x:row r="32">
      <x:c r="A32" s="58"/>
      <x:c r="B32" s="58"/>
      <x:c r="C32" s="58"/>
      <x:c r="D32" s="58"/>
      <x:c r="E32" s="58"/>
      <x:c r="F32" s="58"/>
      <x:c r="G32" s="58"/>
      <x:c r="H32" s="58"/>
    </x:row>
  </x:sheetData>
  <x:mergeCells>
    <x:mergeCell ref="A1:H1"/>
    <x:mergeCell ref="A2:H2"/>
    <x:mergeCell ref="A4:H4"/>
    <x:mergeCell ref="A14:H14"/>
    <x:mergeCell ref="A19:H19"/>
    <x:mergeCell ref="C20:H20"/>
    <x:mergeCell ref="C21:H21"/>
    <x:mergeCell ref="C22:H22"/>
    <x:mergeCell ref="C23:H23"/>
    <x:mergeCell ref="A26:H28"/>
    <x:mergeCell ref="A31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2" hidden="0" customWidth="1"/>
    <x:col min="4" max="4" width="13" hidden="0" customWidth="1"/>
    <x:col min="5" max="5" width="3" hidden="0" customWidth="1"/>
    <x:col min="6" max="6" width="10" hidden="0" customWidth="1"/>
    <x:col min="7" max="7" width="8" hidden="0" customWidth="1"/>
    <x:col min="8" max="8" width="25" hidden="0" customWidth="1"/>
    <x:col min="9" max="9" width="14" hidden="0" customWidth="1"/>
    <x:col min="10" max="10" width="10" hidden="0" customWidth="1"/>
    <x:col min="11" max="11" width="9" hidden="0" customWidth="1"/>
    <x:col min="12" max="12" width="26" hidden="0" customWidth="1"/>
    <x:col min="13" max="13" width="3" hidden="0" customWidth="1"/>
    <x:col min="14" max="14" width="10" hidden="0" customWidth="1"/>
    <x:col min="15" max="15" width="12" hidden="0" customWidth="1"/>
    <x:col min="16" max="16" width="28" hidden="0" customWidth="1"/>
  </x:cols>
  <x:sheetData>
    <x:row r="1" ht="21.600000381469727" hidden="0" customHeight="1">
      <x:c r="A1" s="3" t="str">
        <x:v>第18轮参数与词典｜属性只做一件事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15" hidden="0" customHeight="1">
      <x:c r="A2" s="7" t="str">
        <x:v>所有灵植共有五性与药力；君另有丹核，臣另有五行，使另有五味，佐无行无味而专司调和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/>
    <x:row r="4" ht="15" hidden="0" customHeight="1">
      <x:c r="A4" s="13" t="str">
        <x:v>品质参数（纸推值，可统一调整）</x:v>
      </x:c>
      <x:c r="B4" s="14"/>
      <x:c r="C4" s="14"/>
      <x:c r="D4" s="15"/>
      <x:c r="F4" s="13" t="str">
        <x:v>五性：全炉按物种各计一次</x:v>
      </x:c>
      <x:c r="G4" s="14"/>
      <x:c r="H4" s="15"/>
      <x:c r="J4" s="13" t="str">
        <x:v>五行：臣材决定怎么做</x:v>
      </x:c>
      <x:c r="K4" s="14"/>
      <x:c r="L4" s="15"/>
      <x:c r="N4" s="13" t="str">
        <x:v>五味：使材决定往哪去</x:v>
      </x:c>
      <x:c r="O4" s="14"/>
      <x:c r="P4" s="15"/>
    </x:row>
    <x:row r="5" ht="15" hidden="0" customHeight="1">
      <x:c r="A5" s="20" t="str">
        <x:v>品质</x:v>
      </x:c>
      <x:c r="B5" s="20" t="str">
        <x:v>药力系数</x:v>
      </x:c>
      <x:c r="C5" s="20" t="str">
        <x:v>成本系数</x:v>
      </x:c>
      <x:c r="D5" s="20" t="str">
        <x:v>成品售价系数</x:v>
      </x:c>
      <x:c r="F5" s="20" t="str">
        <x:v>五性</x:v>
      </x:c>
      <x:c r="G5" s="20" t="str">
        <x:v>性值</x:v>
      </x:c>
      <x:c r="H5" s="20" t="str">
        <x:v>古意</x:v>
      </x:c>
      <x:c r="J5" s="20" t="str">
        <x:v>五行</x:v>
      </x:c>
      <x:c r="K5" s="20" t="str">
        <x:v>一字诀</x:v>
      </x:c>
      <x:c r="L5" s="20" t="str">
        <x:v>古意</x:v>
      </x:c>
      <x:c r="N5" s="20" t="str">
        <x:v>五味</x:v>
      </x:c>
      <x:c r="O5" s="20" t="str">
        <x:v>落点</x:v>
      </x:c>
      <x:c r="P5" s="20" t="str">
        <x:v>古意</x:v>
      </x:c>
    </x:row>
    <x:row r="6" ht="15" hidden="0" customHeight="1">
      <x:c r="A6" s="25" t="str">
        <x:v>凡</x:v>
      </x:c>
      <x:c r="B6" s="26" t="n">
        <x:v>1</x:v>
      </x:c>
      <x:c r="C6" s="26" t="n">
        <x:v>1</x:v>
      </x:c>
      <x:c r="D6" s="26" t="n">
        <x:v>1</x:v>
      </x:c>
      <x:c r="F6" s="25" t="str">
        <x:v>寒</x:v>
      </x:c>
      <x:c r="G6" s="25" t="n">
        <x:v>-2</x:v>
      </x:c>
      <x:c r="H6" s="25" t="str">
        <x:v>寒主凝息，收亢势</x:v>
      </x:c>
      <x:c r="J6" s="25" t="str">
        <x:v>金</x:v>
      </x:c>
      <x:c r="K6" s="25" t="str">
        <x:v>挑</x:v>
      </x:c>
      <x:c r="L6" s="25" t="str">
        <x:v>金主离，辨清浊而裁其余</x:v>
      </x:c>
      <x:c r="N6" s="25" t="str">
        <x:v>甘</x:v>
      </x:c>
      <x:c r="O6" s="25" t="str">
        <x:v>丹田</x:v>
      </x:c>
      <x:c r="P6" s="25" t="str">
        <x:v>甘主丹田，入中宫而养气海</x:v>
      </x:c>
    </x:row>
    <x:row r="7" ht="15" hidden="0" customHeight="1">
      <x:c r="A7" s="25" t="str">
        <x:v>灵</x:v>
      </x:c>
      <x:c r="B7" s="26" t="n">
        <x:v>2</x:v>
      </x:c>
      <x:c r="C7" s="26" t="n">
        <x:v>1.7</x:v>
      </x:c>
      <x:c r="D7" s="26" t="n">
        <x:v>2</x:v>
      </x:c>
      <x:c r="F7" s="25" t="str">
        <x:v>凉</x:v>
      </x:c>
      <x:c r="G7" s="25" t="n">
        <x:v>-1</x:v>
      </x:c>
      <x:c r="H7" s="25" t="str">
        <x:v>凉主清缓，退偏热</x:v>
      </x:c>
      <x:c r="J7" s="25" t="str">
        <x:v>木</x:v>
      </x:c>
      <x:c r="K7" s="25" t="str">
        <x:v>长</x:v>
      </x:c>
      <x:c r="L7" s="25" t="str">
        <x:v>木主生，续断绝而长新机</x:v>
      </x:c>
      <x:c r="N7" s="25" t="str">
        <x:v>辛</x:v>
      </x:c>
      <x:c r="O7" s="25" t="str">
        <x:v>气脉</x:v>
      </x:c>
      <x:c r="P7" s="25" t="str">
        <x:v>辛主气脉，走经络而行灵机</x:v>
      </x:c>
    </x:row>
    <x:row r="8" ht="15" hidden="0" customHeight="1">
      <x:c r="A8" s="25" t="str">
        <x:v>玄</x:v>
      </x:c>
      <x:c r="B8" s="26" t="n">
        <x:v>3</x:v>
      </x:c>
      <x:c r="C8" s="26" t="n">
        <x:v>3.2</x:v>
      </x:c>
      <x:c r="D8" s="26" t="n">
        <x:v>3</x:v>
      </x:c>
      <x:c r="F8" s="25" t="str">
        <x:v>平</x:v>
      </x:c>
      <x:c r="G8" s="25" t="n">
        <x:v>0</x:v>
      </x:c>
      <x:c r="H8" s="25" t="str">
        <x:v>平主和中，无所偏</x:v>
      </x:c>
      <x:c r="J8" s="25" t="str">
        <x:v>水</x:v>
      </x:c>
      <x:c r="K8" s="25" t="str">
        <x:v>送</x:v>
      </x:c>
      <x:c r="L8" s="25" t="str">
        <x:v>水主行，载药力而润诸窍</x:v>
      </x:c>
      <x:c r="N8" s="25" t="str">
        <x:v>咸</x:v>
      </x:c>
      <x:c r="O8" s="25" t="str">
        <x:v>根基</x:v>
      </x:c>
      <x:c r="P8" s="25" t="str">
        <x:v>咸主根基，入骨底而动先天</x:v>
      </x:c>
    </x:row>
    <x:row r="9" ht="15" hidden="0" customHeight="1">
      <x:c r="A9" s="25" t="str">
        <x:v>仙</x:v>
      </x:c>
      <x:c r="B9" s="26" t="n">
        <x:v>4</x:v>
      </x:c>
      <x:c r="C9" s="26" t="n">
        <x:v>6</x:v>
      </x:c>
      <x:c r="D9" s="26" t="n">
        <x:v>5</x:v>
      </x:c>
      <x:c r="F9" s="25" t="str">
        <x:v>温</x:v>
      </x:c>
      <x:c r="G9" s="25" t="n">
        <x:v>1</x:v>
      </x:c>
      <x:c r="H9" s="25" t="str">
        <x:v>温主通养，畅药行</x:v>
      </x:c>
      <x:c r="J9" s="25" t="str">
        <x:v>火</x:v>
      </x:c>
      <x:c r="K9" s="25" t="str">
        <x:v>烧</x:v>
      </x:c>
      <x:c r="L9" s="25" t="str">
        <x:v>火主化，启沉滞而解旧结</x:v>
      </x:c>
      <x:c r="N9" s="25" t="str">
        <x:v>苦</x:v>
      </x:c>
      <x:c r="O9" s="25" t="str">
        <x:v>心神</x:v>
      </x:c>
      <x:c r="P9" s="25" t="str">
        <x:v>苦主心神，入识海而澄神明</x:v>
      </x:c>
    </x:row>
    <x:row r="10" ht="15" hidden="0" customHeight="1">
      <x:c r="A10" s="25" t="str">
        <x:v>神</x:v>
      </x:c>
      <x:c r="B10" s="26" t="n">
        <x:v>5</x:v>
      </x:c>
      <x:c r="C10" s="26" t="n">
        <x:v>12</x:v>
      </x:c>
      <x:c r="D10" s="26" t="n">
        <x:v>8</x:v>
      </x:c>
      <x:c r="F10" s="25" t="str">
        <x:v>热</x:v>
      </x:c>
      <x:c r="G10" s="25" t="n">
        <x:v>2</x:v>
      </x:c>
      <x:c r="H10" s="25" t="str">
        <x:v>热主发烈，催药势</x:v>
      </x:c>
      <x:c r="J10" s="25" t="str">
        <x:v>土</x:v>
      </x:c>
      <x:c r="K10" s="25" t="str">
        <x:v>存</x:v>
      </x:c>
      <x:c r="L10" s="25" t="str">
        <x:v>土主藏，承诸力而固根本</x:v>
      </x:c>
      <x:c r="N10" s="25" t="str">
        <x:v>酸</x:v>
      </x:c>
      <x:c r="O10" s="25" t="str">
        <x:v>血肉</x:v>
      </x:c>
      <x:c r="P10" s="25" t="str">
        <x:v>酸主血肉，入筋络而续其断</x:v>
      </x:c>
    </x:row>
    <x:row r="11"/>
    <x:row r="12"/>
    <x:row r="13" ht="15" hidden="0" customHeight="1">
      <x:c r="A13" s="13" t="str">
        <x:v>四材最终字段</x:v>
      </x:c>
      <x:c r="B13" s="14"/>
      <x:c r="C13" s="14"/>
      <x:c r="D13" s="14"/>
      <x:c r="E13" s="14"/>
      <x:c r="F13" s="14"/>
      <x:c r="G13" s="15"/>
      <x:c r="I13" s="13" t="str">
        <x:v>N值与组合规则</x:v>
      </x:c>
      <x:c r="J13" s="14"/>
      <x:c r="K13" s="14"/>
      <x:c r="L13" s="14"/>
      <x:c r="M13" s="14"/>
      <x:c r="N13" s="14"/>
      <x:c r="O13" s="14"/>
      <x:c r="P13" s="15"/>
    </x:row>
    <x:row r="14" ht="64.80000305175781" hidden="0" customHeight="1">
      <x:c r="A14" s="20" t="str">
        <x:v>材品</x:v>
      </x:c>
      <x:c r="B14" s="20" t="str">
        <x:v>共有字段</x:v>
      </x:c>
      <x:c r="C14" s="20" t="str">
        <x:v>主职字段</x:v>
      </x:c>
      <x:c r="D14" s="20" t="str">
        <x:v>没有什么</x:v>
      </x:c>
      <x:c r="E14" s="20" t="str">
        <x:v>职责</x:v>
      </x:c>
      <x:c r="F14" s="20" t="str">
        <x:v>一句话</x:v>
      </x:c>
      <x:c r="G14" s="20" t="str">
        <x:v>玩家记法</x:v>
      </x:c>
      <x:c r="I14" s="20" t="str">
        <x:v>规则</x:v>
      </x:c>
      <x:c r="J14" s="20" t="str">
        <x:v>N的定义</x:v>
      </x:c>
      <x:c r="K14" s="20" t="str">
        <x:v>默认N</x:v>
      </x:c>
      <x:c r="L14" s="20" t="str">
        <x:v>品质是否另算</x:v>
      </x:c>
      <x:c r="M14" s="20" t="str">
        <x:v>数量是否另算</x:v>
      </x:c>
      <x:c r="N14" s="20" t="str">
        <x:v>V1是否自由替换</x:v>
      </x:c>
      <x:c r="O14" s="20" t="str">
        <x:v>后续扩展</x:v>
      </x:c>
      <x:c r="P14" s="20" t="str">
        <x:v>目的</x:v>
      </x:c>
    </x:row>
    <x:row r="15" ht="97.19999694824219" hidden="0" customHeight="1">
      <x:c r="A15" s="25" t="str">
        <x:v>君</x:v>
      </x:c>
      <x:c r="B15" s="25" t="str">
        <x:v>境界＋五性＋药力</x:v>
      </x:c>
      <x:c r="C15" s="25" t="str">
        <x:v>丹核</x:v>
      </x:c>
      <x:c r="D15" s="25" t="str">
        <x:v>五行、五味</x:v>
      </x:c>
      <x:c r="E15" s="25" t="str">
        <x:v>决定具体丹名与主效</x:v>
      </x:c>
      <x:c r="F15" s="25" t="str">
        <x:v>君自有核以立其方，亦带本性入炉</x:v>
      </x:c>
      <x:c r="G15" s="25" t="str">
        <x:v>君定丹</x:v>
      </x:c>
      <x:c r="I15" s="25" t="str">
        <x:v>日常丹</x:v>
      </x:c>
      <x:c r="J15" s="25" t="str">
        <x:v>不同灵植物种集合</x:v>
      </x:c>
      <x:c r="K15" s="25" t="n">
        <x:v>3</x:v>
      </x:c>
      <x:c r="L15" s="25" t="str">
        <x:v>否</x:v>
      </x:c>
      <x:c r="M15" s="25" t="str">
        <x:v>否</x:v>
      </x:c>
      <x:c r="N15" s="25" t="str">
        <x:v>否，只认认证组合</x:v>
      </x:c>
      <x:c r="O15" s="25" t="str">
        <x:v>宗师改方开放</x:v>
      </x:c>
      <x:c r="P15" s="25" t="str">
        <x:v>易学、易记、可经营</x:v>
      </x:c>
    </x:row>
    <x:row r="16" ht="86.4000015258789" hidden="0" customHeight="1">
      <x:c r="A16" s="25" t="str">
        <x:v>臣</x:v>
      </x:c>
      <x:c r="B16" s="25" t="str">
        <x:v>境界＋五性＋药力</x:v>
      </x:c>
      <x:c r="C16" s="25" t="str">
        <x:v>五行</x:v>
      </x:c>
      <x:c r="D16" s="25" t="str">
        <x:v>五味</x:v>
      </x:c>
      <x:c r="E16" s="25" t="str">
        <x:v>决定丹效如何运行</x:v>
      </x:c>
      <x:c r="F16" s="25" t="str">
        <x:v>臣有其行，知其所为</x:v>
      </x:c>
      <x:c r="G16" s="25" t="str">
        <x:v>臣定行</x:v>
      </x:c>
      <x:c r="I16" s="25" t="str">
        <x:v>结构丹</x:v>
      </x:c>
      <x:c r="J16" s="25" t="str">
        <x:v>不同灵植物种集合</x:v>
      </x:c>
      <x:c r="K16" s="25" t="n">
        <x:v>4</x:v>
      </x:c>
      <x:c r="L16" s="25" t="str">
        <x:v>否</x:v>
      </x:c>
      <x:c r="M16" s="25" t="str">
        <x:v>否</x:v>
      </x:c>
      <x:c r="N16" s="25" t="str">
        <x:v>否，只认认证组合</x:v>
      </x:c>
      <x:c r="O16" s="25" t="str">
        <x:v>本地解/低风险解</x:v>
      </x:c>
      <x:c r="P16" s="25" t="str">
        <x:v>突出稀有度与代价</x:v>
      </x:c>
    </x:row>
    <x:row r="17" ht="64.80000305175781" hidden="0" customHeight="1">
      <x:c r="A17" s="25" t="str">
        <x:v>佐</x:v>
      </x:c>
      <x:c r="B17" s="25" t="str">
        <x:v>境界＋五性＋药力</x:v>
      </x:c>
      <x:c r="C17" s="25" t="str">
        <x:v>—</x:v>
      </x:c>
      <x:c r="D17" s="25" t="str">
        <x:v>五行、五味</x:v>
      </x:c>
      <x:c r="E17" s="25" t="str">
        <x:v>调和全炉寒热</x:v>
      </x:c>
      <x:c r="F17" s="25" t="str">
        <x:v>佐无主无归，唯和其偏</x:v>
      </x:c>
      <x:c r="G17" s="25" t="str">
        <x:v>佐和性</x:v>
      </x:c>
      <x:c r="I17" s="25" t="str">
        <x:v>极稀有丹</x:v>
      </x:c>
      <x:c r="J17" s="25" t="str">
        <x:v>不同灵植物种集合</x:v>
      </x:c>
      <x:c r="K17" s="25" t="str">
        <x:v>4—6</x:v>
      </x:c>
      <x:c r="L17" s="25" t="str">
        <x:v>否</x:v>
      </x:c>
      <x:c r="M17" s="25" t="str">
        <x:v>否</x:v>
      </x:c>
      <x:c r="N17" s="25" t="str">
        <x:v>否，只认认证组合</x:v>
      </x:c>
      <x:c r="O17" s="25" t="str">
        <x:v>秘方与特殊资源解</x:v>
      </x:c>
      <x:c r="P17" s="25" t="str">
        <x:v>让稀有内容值得探索</x:v>
      </x:c>
    </x:row>
    <x:row r="18" ht="86.4000015258789" hidden="0" customHeight="1">
      <x:c r="A18" s="25" t="str">
        <x:v>使</x:v>
      </x:c>
      <x:c r="B18" s="25" t="str">
        <x:v>境界＋五性＋药力</x:v>
      </x:c>
      <x:c r="C18" s="25" t="str">
        <x:v>五味</x:v>
      </x:c>
      <x:c r="D18" s="25" t="str">
        <x:v>五行</x:v>
      </x:c>
      <x:c r="E18" s="25" t="str">
        <x:v>决定药力最终归处</x:v>
      </x:c>
      <x:c r="F18" s="25" t="str">
        <x:v>使有其归，专引其路</x:v>
      </x:c>
      <x:c r="G18" s="25" t="str">
        <x:v>使定味</x:v>
      </x:c>
    </x:row>
    <x:row r="19"/>
    <x:row r="20">
      <x:c r="A20" s="31" t="str">
        <x:v>总口诀：君定丹，臣定行，佐和性，使定味；四材皆有性，四材共同力。N只数物种组合，品质与份数只在组合内部调节。</x:v>
      </x:c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</x:row>
  </x:sheetData>
  <x:mergeCells>
    <x:mergeCell ref="A1:P1"/>
    <x:mergeCell ref="A2:P2"/>
    <x:mergeCell ref="A4:D4"/>
    <x:mergeCell ref="F4:H4"/>
    <x:mergeCell ref="J4:L4"/>
    <x:mergeCell ref="N4:P4"/>
    <x:mergeCell ref="A13:G13"/>
    <x:mergeCell ref="I13:P13"/>
    <x:mergeCell ref="A20:P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7" hidden="0" customWidth="1"/>
    <x:col min="4" max="4" width="14" hidden="0" customWidth="1"/>
    <x:col min="5" max="5" width="11" hidden="0" customWidth="1"/>
    <x:col min="6" max="6" width="9" hidden="0" customWidth="1"/>
    <x:col min="7" max="7" width="13" hidden="0" customWidth="1"/>
    <x:col min="8" max="8" width="8" hidden="0" customWidth="1"/>
    <x:col min="9" max="9" width="10" hidden="0" customWidth="1"/>
    <x:col min="10" max="10" width="9" hidden="0" customWidth="1"/>
    <x:col min="11" max="11" width="8" hidden="0" customWidth="1"/>
    <x:col min="12" max="12" width="12" hidden="0" customWidth="1"/>
    <x:col min="13" max="13" width="12" hidden="0" customWidth="1"/>
    <x:col min="14" max="14" width="11" hidden="0" customWidth="1"/>
    <x:col min="15" max="15" width="25" hidden="0" customWidth="1"/>
    <x:col min="16" max="16" width="11" hidden="0" customWidth="1"/>
    <x:col min="17" max="17" width="38" hidden="0" customWidth="1"/>
  </x:cols>
  <x:sheetData>
    <x:row r="1" ht="21.600000381469727" hidden="0" customHeight="1">
      <x:c r="A1" s="3" t="str">
        <x:v>筑基境丹方主表｜一行一张丹方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7" t="str">
        <x:v>本表定义炼什么；具体用哪几种灵植见认证组合子表。黄色字段是纸推参数，N由组合表自动统计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/>
    <x:row r="4" ht="15" hidden="0" customHeight="1">
      <x:c r="A4" s="20" t="str">
        <x:v>丹方ID</x:v>
      </x:c>
      <x:c r="B4" s="20" t="str">
        <x:v>丹名</x:v>
      </x:c>
      <x:c r="C4" s="20" t="str">
        <x:v>四族</x:v>
      </x:c>
      <x:c r="D4" s="20" t="str">
        <x:v>九类</x:v>
      </x:c>
      <x:c r="E4" s="20" t="str">
        <x:v>子功能</x:v>
      </x:c>
      <x:c r="F4" s="20" t="str">
        <x:v>境界</x:v>
      </x:c>
      <x:c r="G4" s="20" t="str">
        <x:v>唯一君材ID</x:v>
      </x:c>
      <x:c r="H4" s="20" t="str">
        <x:v>臣行</x:v>
      </x:c>
      <x:c r="I4" s="20" t="str">
        <x:v>目标方性</x:v>
      </x:c>
      <x:c r="J4" s="20" t="str">
        <x:v>目标性值</x:v>
      </x:c>
      <x:c r="K4" s="20" t="str">
        <x:v>使味</x:v>
      </x:c>
      <x:c r="L4" s="20" t="str">
        <x:v>总药力门槛</x:v>
      </x:c>
      <x:c r="M4" s="20" t="str">
        <x:v>总份数上限</x:v>
      </x:c>
      <x:c r="N4" s="20" t="str">
        <x:v>认证组合N</x:v>
      </x:c>
      <x:c r="O4" s="20" t="str">
        <x:v>效果摘要</x:v>
      </x:c>
      <x:c r="P4" s="20" t="str">
        <x:v>基础售价</x:v>
      </x:c>
      <x:c r="Q4" s="20" t="str">
        <x:v>古意说明</x:v>
      </x:c>
    </x:row>
    <x:row r="5" ht="15" hidden="0" customHeight="1">
      <x:c r="A5" s="25" t="str">
        <x:v>F-ZJ-01</x:v>
      </x:c>
      <x:c r="B5" s="25" t="str">
        <x:v>聚元丹</x:v>
      </x:c>
      <x:c r="C5" s="25" t="str">
        <x:v>养</x:v>
      </x:c>
      <x:c r="D5" s="25" t="str">
        <x:v>修为精进</x:v>
      </x:c>
      <x:c r="E5" s="25" t="str">
        <x:v>修为</x:v>
      </x:c>
      <x:c r="F5" s="25" t="str">
        <x:v>筑基</x:v>
      </x:c>
      <x:c r="G5" s="25" t="str">
        <x:v>J-ZJ-01</x:v>
      </x:c>
      <x:c r="H5" s="25" t="str">
        <x:v>土</x:v>
      </x:c>
      <x:c r="I5" s="25" t="str">
        <x:v>平</x:v>
      </x:c>
      <x:c r="J5" s="33" t="n">
        <x:v>0</x:v>
      </x:c>
      <x:c r="K5" s="25" t="str">
        <x:v>甘</x:v>
      </x:c>
      <x:c r="L5" s="34" t="n">
        <x:v>24</x:v>
      </x:c>
      <x:c r="M5" s="34" t="n">
        <x:v>8</x:v>
      </x:c>
      <x:c r="N5" s="34" t="n">
        <x:f>COUNTIF('04_认证组合表'!$A$5:$A$49,A5)</x:f>
        <x:v>3</x:v>
      </x:c>
      <x:c r="O5" s="34" t="str">
        <x:v>增加筑基期修为</x:v>
      </x:c>
      <x:c r="P5" s="34" t="n">
        <x:v>120</x:v>
      </x:c>
      <x:c r="Q5" s="25" t="str">
        <x:v>聚元芝立修为之本，土臣藏其力，甘使引入丹田</x:v>
      </x:c>
    </x:row>
    <x:row r="6" ht="15" hidden="0" customHeight="1">
      <x:c r="A6" s="25" t="str">
        <x:v>F-ZJ-02</x:v>
      </x:c>
      <x:c r="B6" s="25" t="str">
        <x:v>迅潮丹</x:v>
      </x:c>
      <x:c r="C6" s="25" t="str">
        <x:v>养</x:v>
      </x:c>
      <x:c r="D6" s="25" t="str">
        <x:v>灵力恢复</x:v>
      </x:c>
      <x:c r="E6" s="25" t="str">
        <x:v>瞬回</x:v>
      </x:c>
      <x:c r="F6" s="25" t="str">
        <x:v>筑基</x:v>
      </x:c>
      <x:c r="G6" s="25" t="str">
        <x:v>J-ZJ-02</x:v>
      </x:c>
      <x:c r="H6" s="25" t="str">
        <x:v>水</x:v>
      </x:c>
      <x:c r="I6" s="25" t="str">
        <x:v>温</x:v>
      </x:c>
      <x:c r="J6" s="33" t="n">
        <x:v>1</x:v>
      </x:c>
      <x:c r="K6" s="25" t="str">
        <x:v>辛</x:v>
      </x:c>
      <x:c r="L6" s="34" t="n">
        <x:v>30</x:v>
      </x:c>
      <x:c r="M6" s="34" t="n">
        <x:v>8</x:v>
      </x:c>
      <x:c r="N6" s="34" t="n">
        <x:f>COUNTIF('04_认证组合表'!$A$5:$A$49,A6)</x:f>
        <x:v>3</x:v>
      </x:c>
      <x:c r="O6" s="34" t="str">
        <x:v>立刻恢复大量灵力</x:v>
      </x:c>
      <x:c r="P6" s="34" t="n">
        <x:v>130</x:v>
      </x:c>
      <x:c r="Q6" s="25" t="str">
        <x:v>迅泉蕊立回灵之本，水臣行其力，辛使引入气脉</x:v>
      </x:c>
    </x:row>
    <x:row r="7" ht="15" hidden="0" customHeight="1">
      <x:c r="A7" s="25" t="str">
        <x:v>F-ZJ-03</x:v>
      </x:c>
      <x:c r="B7" s="25" t="str">
        <x:v>绵泉丹</x:v>
      </x:c>
      <x:c r="C7" s="25" t="str">
        <x:v>养</x:v>
      </x:c>
      <x:c r="D7" s="25" t="str">
        <x:v>灵力恢复</x:v>
      </x:c>
      <x:c r="E7" s="25" t="str">
        <x:v>缓回</x:v>
      </x:c>
      <x:c r="F7" s="25" t="str">
        <x:v>筑基</x:v>
      </x:c>
      <x:c r="G7" s="25" t="str">
        <x:v>J-ZJ-03</x:v>
      </x:c>
      <x:c r="H7" s="25" t="str">
        <x:v>水</x:v>
      </x:c>
      <x:c r="I7" s="25" t="str">
        <x:v>平</x:v>
      </x:c>
      <x:c r="J7" s="33" t="n">
        <x:v>0</x:v>
      </x:c>
      <x:c r="K7" s="25" t="str">
        <x:v>辛</x:v>
      </x:c>
      <x:c r="L7" s="34" t="n">
        <x:v>24</x:v>
      </x:c>
      <x:c r="M7" s="34" t="n">
        <x:v>8</x:v>
      </x:c>
      <x:c r="N7" s="34" t="n">
        <x:f>COUNTIF('04_认证组合表'!$A$5:$A$49,A7)</x:f>
        <x:v>3</x:v>
      </x:c>
      <x:c r="O7" s="34" t="str">
        <x:v>持续恢复灵力</x:v>
      </x:c>
      <x:c r="P7" s="34" t="n">
        <x:v>110</x:v>
      </x:c>
      <x:c r="Q7" s="25" t="str">
        <x:v>绵泉藻立缓复之本，水臣布其力，辛使引入气脉</x:v>
      </x:c>
    </x:row>
    <x:row r="8" ht="15" hidden="0" customHeight="1">
      <x:c r="A8" s="25" t="str">
        <x:v>F-ZJ-04</x:v>
      </x:c>
      <x:c r="B8" s="25" t="str">
        <x:v>续环丹</x:v>
      </x:c>
      <x:c r="C8" s="25" t="str">
        <x:v>改</x:v>
      </x:c>
      <x:c r="D8" s="25" t="str">
        <x:v>破境重构</x:v>
      </x:c>
      <x:c r="E8" s="25" t="str">
        <x:v>小突破</x:v>
      </x:c>
      <x:c r="F8" s="25" t="str">
        <x:v>筑基</x:v>
      </x:c>
      <x:c r="G8" s="25" t="str">
        <x:v>J-ZJ-04</x:v>
      </x:c>
      <x:c r="H8" s="25" t="str">
        <x:v>木</x:v>
      </x:c>
      <x:c r="I8" s="25" t="str">
        <x:v>温</x:v>
      </x:c>
      <x:c r="J8" s="33" t="n">
        <x:v>1</x:v>
      </x:c>
      <x:c r="K8" s="25" t="str">
        <x:v>甘</x:v>
      </x:c>
      <x:c r="L8" s="34" t="n">
        <x:v>30</x:v>
      </x:c>
      <x:c r="M8" s="34" t="n">
        <x:v>8</x:v>
      </x:c>
      <x:c r="N8" s="34" t="n">
        <x:f>COUNTIF('04_认证组合表'!$A$5:$A$49,A8)</x:f>
        <x:v>3</x:v>
      </x:c>
      <x:c r="O8" s="34" t="str">
        <x:v>提高筑基期小境界突破率</x:v>
      </x:c>
      <x:c r="P8" s="34" t="n">
        <x:v>180</x:v>
      </x:c>
      <x:c r="Q8" s="25" t="str">
        <x:v>续环芽立续构之本，木臣生其机，甘使引入丹田</x:v>
      </x:c>
    </x:row>
    <x:row r="9" ht="15" hidden="0" customHeight="1">
      <x:c r="A9" s="25" t="str">
        <x:v>F-ZJ-05</x:v>
      </x:c>
      <x:c r="B9" s="25" t="str">
        <x:v>开关丹</x:v>
      </x:c>
      <x:c r="C9" s="25" t="str">
        <x:v>改</x:v>
      </x:c>
      <x:c r="D9" s="25" t="str">
        <x:v>破境重构</x:v>
      </x:c>
      <x:c r="E9" s="25" t="str">
        <x:v>大突破</x:v>
      </x:c>
      <x:c r="F9" s="25" t="str">
        <x:v>筑基</x:v>
      </x:c>
      <x:c r="G9" s="25" t="str">
        <x:v>J-ZJ-05</x:v>
      </x:c>
      <x:c r="H9" s="25" t="str">
        <x:v>木</x:v>
      </x:c>
      <x:c r="I9" s="25" t="str">
        <x:v>热</x:v>
      </x:c>
      <x:c r="J9" s="33" t="n">
        <x:v>2</x:v>
      </x:c>
      <x:c r="K9" s="25" t="str">
        <x:v>甘</x:v>
      </x:c>
      <x:c r="L9" s="34" t="n">
        <x:v>36</x:v>
      </x:c>
      <x:c r="M9" s="34" t="n">
        <x:v>8</x:v>
      </x:c>
      <x:c r="N9" s="34" t="n">
        <x:f>COUNTIF('04_认证组合表'!$A$5:$A$49,A9)</x:f>
        <x:v>3</x:v>
      </x:c>
      <x:c r="O9" s="34" t="str">
        <x:v>辅助筑基突破金丹</x:v>
      </x:c>
      <x:c r="P9" s="34" t="n">
        <x:v>300</x:v>
      </x:c>
      <x:c r="Q9" s="25" t="str">
        <x:v>开关莲立破境之本，木臣生新环，甘使引入丹田</x:v>
      </x:c>
    </x:row>
    <x:row r="10" ht="15" hidden="0" customHeight="1">
      <x:c r="A10" s="25" t="str">
        <x:v>F-ZJ-06</x:v>
      </x:c>
      <x:c r="B10" s="25" t="str">
        <x:v>急生丹</x:v>
      </x:c>
      <x:c r="C10" s="25" t="str">
        <x:v>养</x:v>
      </x:c>
      <x:c r="D10" s="25" t="str">
        <x:v>疗伤复元</x:v>
      </x:c>
      <x:c r="E10" s="25" t="str">
        <x:v>瞬疗</x:v>
      </x:c>
      <x:c r="F10" s="25" t="str">
        <x:v>筑基</x:v>
      </x:c>
      <x:c r="G10" s="25" t="str">
        <x:v>J-ZJ-06</x:v>
      </x:c>
      <x:c r="H10" s="25" t="str">
        <x:v>木</x:v>
      </x:c>
      <x:c r="I10" s="25" t="str">
        <x:v>温</x:v>
      </x:c>
      <x:c r="J10" s="33" t="n">
        <x:v>1</x:v>
      </x:c>
      <x:c r="K10" s="25" t="str">
        <x:v>酸</x:v>
      </x:c>
      <x:c r="L10" s="34" t="n">
        <x:v>30</x:v>
      </x:c>
      <x:c r="M10" s="34" t="n">
        <x:v>8</x:v>
      </x:c>
      <x:c r="N10" s="34" t="n">
        <x:f>COUNTIF('04_认证组合表'!$A$5:$A$49,A10)</x:f>
        <x:v>3</x:v>
      </x:c>
      <x:c r="O10" s="34" t="str">
        <x:v>立刻恢复生命与伤势</x:v>
      </x:c>
      <x:c r="P10" s="34" t="n">
        <x:v>150</x:v>
      </x:c>
      <x:c r="Q10" s="25" t="str">
        <x:v>急生藤心立续伤之本，木臣接其断，酸使引入血肉</x:v>
      </x:c>
    </x:row>
    <x:row r="11" ht="15" hidden="0" customHeight="1">
      <x:c r="A11" s="25" t="str">
        <x:v>F-ZJ-07</x:v>
      </x:c>
      <x:c r="B11" s="25" t="str">
        <x:v>绵愈丹</x:v>
      </x:c>
      <x:c r="C11" s="25" t="str">
        <x:v>养</x:v>
      </x:c>
      <x:c r="D11" s="25" t="str">
        <x:v>疗伤复元</x:v>
      </x:c>
      <x:c r="E11" s="25" t="str">
        <x:v>缓疗</x:v>
      </x:c>
      <x:c r="F11" s="25" t="str">
        <x:v>筑基</x:v>
      </x:c>
      <x:c r="G11" s="25" t="str">
        <x:v>J-ZJ-07</x:v>
      </x:c>
      <x:c r="H11" s="25" t="str">
        <x:v>木</x:v>
      </x:c>
      <x:c r="I11" s="25" t="str">
        <x:v>平</x:v>
      </x:c>
      <x:c r="J11" s="33" t="n">
        <x:v>0</x:v>
      </x:c>
      <x:c r="K11" s="25" t="str">
        <x:v>酸</x:v>
      </x:c>
      <x:c r="L11" s="34" t="n">
        <x:v>24</x:v>
      </x:c>
      <x:c r="M11" s="34" t="n">
        <x:v>8</x:v>
      </x:c>
      <x:c r="N11" s="34" t="n">
        <x:f>COUNTIF('04_认证组合表'!$A$5:$A$49,A11)</x:f>
        <x:v>3</x:v>
      </x:c>
      <x:c r="O11" s="34" t="str">
        <x:v>持续恢复生命与伤势</x:v>
      </x:c>
      <x:c r="P11" s="34" t="n">
        <x:v>120</x:v>
      </x:c>
      <x:c r="Q11" s="25" t="str">
        <x:v>绵愈兰立养伤之本，木臣续其损，酸使引入血肉</x:v>
      </x:c>
    </x:row>
    <x:row r="12" ht="15" hidden="0" customHeight="1">
      <x:c r="A12" s="25" t="str">
        <x:v>F-ZJ-08</x:v>
      </x:c>
      <x:c r="B12" s="25" t="str">
        <x:v>涤元丹</x:v>
      </x:c>
      <x:c r="C12" s="25" t="str">
        <x:v>清</x:v>
      </x:c>
      <x:c r="D12" s="25" t="str">
        <x:v>清解排异</x:v>
      </x:c>
      <x:c r="E12" s="25" t="str">
        <x:v>修为清毒</x:v>
      </x:c>
      <x:c r="F12" s="25" t="str">
        <x:v>筑基</x:v>
      </x:c>
      <x:c r="G12" s="25" t="str">
        <x:v>J-ZJ-08</x:v>
      </x:c>
      <x:c r="H12" s="25" t="str">
        <x:v>金</x:v>
      </x:c>
      <x:c r="I12" s="25" t="str">
        <x:v>凉</x:v>
      </x:c>
      <x:c r="J12" s="33" t="n">
        <x:v>-1</x:v>
      </x:c>
      <x:c r="K12" s="25" t="str">
        <x:v>甘</x:v>
      </x:c>
      <x:c r="L12" s="34" t="n">
        <x:v>30</x:v>
      </x:c>
      <x:c r="M12" s="34" t="n">
        <x:v>8</x:v>
      </x:c>
      <x:c r="N12" s="34" t="n">
        <x:f>COUNTIF('04_认证组合表'!$A$5:$A$49,A12)</x:f>
        <x:v>3</x:v>
      </x:c>
      <x:c r="O12" s="34" t="str">
        <x:v>清除筑基修为丹毒</x:v>
      </x:c>
      <x:c r="P12" s="34" t="n">
        <x:v>260</x:v>
      </x:c>
      <x:c r="Q12" s="25" t="str">
        <x:v>涤元莲立清毒之本，金臣离其浊，甘使引入丹田</x:v>
      </x:c>
    </x:row>
    <x:row r="13" ht="15" hidden="0" customHeight="1">
      <x:c r="A13" s="25" t="str">
        <x:v>F-ZJ-09</x:v>
      </x:c>
      <x:c r="B13" s="25" t="str">
        <x:v>固本丹</x:v>
      </x:c>
      <x:c r="C13" s="25" t="str">
        <x:v>改</x:v>
      </x:c>
      <x:c r="D13" s="25" t="str">
        <x:v>永久强化</x:v>
      </x:c>
      <x:c r="E13" s="25" t="str">
        <x:v>固本</x:v>
      </x:c>
      <x:c r="F13" s="25" t="str">
        <x:v>筑基</x:v>
      </x:c>
      <x:c r="G13" s="25" t="str">
        <x:v>J-ZJ-09</x:v>
      </x:c>
      <x:c r="H13" s="25" t="str">
        <x:v>土</x:v>
      </x:c>
      <x:c r="I13" s="25" t="str">
        <x:v>温</x:v>
      </x:c>
      <x:c r="J13" s="33" t="n">
        <x:v>1</x:v>
      </x:c>
      <x:c r="K13" s="25" t="str">
        <x:v>咸</x:v>
      </x:c>
      <x:c r="L13" s="34" t="n">
        <x:v>30</x:v>
      </x:c>
      <x:c r="M13" s="34" t="n">
        <x:v>8</x:v>
      </x:c>
      <x:c r="N13" s="34" t="n">
        <x:f>COUNTIF('04_认证组合表'!$A$5:$A$49,A13)</x:f>
        <x:v>3</x:v>
      </x:c>
      <x:c r="O13" s="34" t="str">
        <x:v>永久强化肉身与根基</x:v>
      </x:c>
      <x:c r="P13" s="34" t="n">
        <x:v>320</x:v>
      </x:c>
      <x:c r="Q13" s="25" t="str">
        <x:v>镇骨薯立固本之本，土臣藏其力，咸使引入根基</x:v>
      </x:c>
    </x:row>
    <x:row r="14" ht="15" hidden="0" customHeight="1">
      <x:c r="A14" s="25" t="str">
        <x:v>F-ZJ-10</x:v>
      </x:c>
      <x:c r="B14" s="25" t="str">
        <x:v>养神丹</x:v>
      </x:c>
      <x:c r="C14" s="25" t="str">
        <x:v>改</x:v>
      </x:c>
      <x:c r="D14" s="25" t="str">
        <x:v>永久强化</x:v>
      </x:c>
      <x:c r="E14" s="25" t="str">
        <x:v>养神</x:v>
      </x:c>
      <x:c r="F14" s="25" t="str">
        <x:v>筑基</x:v>
      </x:c>
      <x:c r="G14" s="25" t="str">
        <x:v>J-ZJ-10</x:v>
      </x:c>
      <x:c r="H14" s="25" t="str">
        <x:v>土</x:v>
      </x:c>
      <x:c r="I14" s="25" t="str">
        <x:v>平</x:v>
      </x:c>
      <x:c r="J14" s="33" t="n">
        <x:v>0</x:v>
      </x:c>
      <x:c r="K14" s="25" t="str">
        <x:v>苦</x:v>
      </x:c>
      <x:c r="L14" s="34" t="n">
        <x:v>30</x:v>
      </x:c>
      <x:c r="M14" s="34" t="n">
        <x:v>8</x:v>
      </x:c>
      <x:c r="N14" s="34" t="n">
        <x:f>COUNTIF('04_认证组合表'!$A$5:$A$49,A14)</x:f>
        <x:v>3</x:v>
      </x:c>
      <x:c r="O14" s="34" t="str">
        <x:v>永久强化神识</x:v>
      </x:c>
      <x:c r="P14" s="34" t="n">
        <x:v>320</x:v>
      </x:c>
      <x:c r="Q14" s="25" t="str">
        <x:v>安识芝立养神之本，土臣藏其力，苦使引入心神</x:v>
      </x:c>
    </x:row>
    <x:row r="15" ht="15" hidden="0" customHeight="1">
      <x:c r="A15" s="25" t="str">
        <x:v>F-ZJ-11</x:v>
      </x:c>
      <x:c r="B15" s="25" t="str">
        <x:v>烈脉丹</x:v>
      </x:c>
      <x:c r="C15" s="25" t="str">
        <x:v>发</x:v>
      </x:c>
      <x:c r="D15" s="25" t="str">
        <x:v>战时状态</x:v>
      </x:c>
      <x:c r="E15" s="25" t="str">
        <x:v>爆发</x:v>
      </x:c>
      <x:c r="F15" s="25" t="str">
        <x:v>筑基</x:v>
      </x:c>
      <x:c r="G15" s="25" t="str">
        <x:v>J-ZJ-11</x:v>
      </x:c>
      <x:c r="H15" s="25" t="str">
        <x:v>火</x:v>
      </x:c>
      <x:c r="I15" s="25" t="str">
        <x:v>热</x:v>
      </x:c>
      <x:c r="J15" s="33" t="n">
        <x:v>2</x:v>
      </x:c>
      <x:c r="K15" s="25" t="str">
        <x:v>辛</x:v>
      </x:c>
      <x:c r="L15" s="34" t="n">
        <x:v>36</x:v>
      </x:c>
      <x:c r="M15" s="34" t="n">
        <x:v>8</x:v>
      </x:c>
      <x:c r="N15" s="34" t="n">
        <x:f>COUNTIF('04_认证组合表'!$A$5:$A$49,A15)</x:f>
        <x:v>3</x:v>
      </x:c>
      <x:c r="O15" s="34" t="str">
        <x:v>短时提高攻击与爆发</x:v>
      </x:c>
      <x:c r="P15" s="34" t="n">
        <x:v>180</x:v>
      </x:c>
      <x:c r="Q15" s="25" t="str">
        <x:v>烈脉花立爆发之本，火臣化其势，辛使引入气脉</x:v>
      </x:c>
    </x:row>
    <x:row r="16" ht="15" hidden="0" customHeight="1">
      <x:c r="A16" s="25" t="str">
        <x:v>F-ZJ-12</x:v>
      </x:c>
      <x:c r="B16" s="25" t="str">
        <x:v>守脉丹</x:v>
      </x:c>
      <x:c r="C16" s="25" t="str">
        <x:v>发</x:v>
      </x:c>
      <x:c r="D16" s="25" t="str">
        <x:v>战时状态</x:v>
      </x:c>
      <x:c r="E16" s="25" t="str">
        <x:v>抗性</x:v>
      </x:c>
      <x:c r="F16" s="25" t="str">
        <x:v>筑基</x:v>
      </x:c>
      <x:c r="G16" s="25" t="str">
        <x:v>J-ZJ-12</x:v>
      </x:c>
      <x:c r="H16" s="25" t="str">
        <x:v>金</x:v>
      </x:c>
      <x:c r="I16" s="25" t="str">
        <x:v>凉</x:v>
      </x:c>
      <x:c r="J16" s="33" t="n">
        <x:v>-1</x:v>
      </x:c>
      <x:c r="K16" s="25" t="str">
        <x:v>辛</x:v>
      </x:c>
      <x:c r="L16" s="34" t="n">
        <x:v>30</x:v>
      </x:c>
      <x:c r="M16" s="34" t="n">
        <x:v>8</x:v>
      </x:c>
      <x:c r="N16" s="34" t="n">
        <x:f>COUNTIF('04_认证组合表'!$A$5:$A$49,A16)</x:f>
        <x:v>3</x:v>
      </x:c>
      <x:c r="O16" s="34" t="str">
        <x:v>短时提高防御与异常抗性</x:v>
      </x:c>
      <x:c r="P16" s="34" t="n">
        <x:v>160</x:v>
      </x:c>
      <x:c r="Q16" s="25" t="str">
        <x:v>守脉蕨立护身之本，金臣守其界，辛使引入气脉</x:v>
      </x:c>
    </x:row>
    <x:row r="17" ht="15" hidden="0" customHeight="1">
      <x:c r="A17" s="25" t="str">
        <x:v>F-ZJ-13</x:v>
      </x:c>
      <x:c r="B17" s="25" t="str">
        <x:v>展脉丹</x:v>
      </x:c>
      <x:c r="C17" s="25" t="str">
        <x:v>发</x:v>
      </x:c>
      <x:c r="D17" s="25" t="str">
        <x:v>战时状态</x:v>
      </x:c>
      <x:c r="E17" s="25" t="str">
        <x:v>行遁</x:v>
      </x:c>
      <x:c r="F17" s="25" t="str">
        <x:v>筑基</x:v>
      </x:c>
      <x:c r="G17" s="25" t="str">
        <x:v>J-ZJ-13</x:v>
      </x:c>
      <x:c r="H17" s="25" t="str">
        <x:v>木</x:v>
      </x:c>
      <x:c r="I17" s="25" t="str">
        <x:v>温</x:v>
      </x:c>
      <x:c r="J17" s="33" t="n">
        <x:v>1</x:v>
      </x:c>
      <x:c r="K17" s="25" t="str">
        <x:v>辛</x:v>
      </x:c>
      <x:c r="L17" s="34" t="n">
        <x:v>24</x:v>
      </x:c>
      <x:c r="M17" s="34" t="n">
        <x:v>8</x:v>
      </x:c>
      <x:c r="N17" s="34" t="n">
        <x:f>COUNTIF('04_认证组合表'!$A$5:$A$49,A17)</x:f>
        <x:v>3</x:v>
      </x:c>
      <x:c r="O17" s="34" t="str">
        <x:v>短时提高移动与施法速度</x:v>
      </x:c>
      <x:c r="P17" s="34" t="n">
        <x:v>150</x:v>
      </x:c>
      <x:c r="Q17" s="25" t="str">
        <x:v>展脉藤立行遁之本，木臣拓其道，辛使引入气脉</x:v>
      </x:c>
    </x:row>
    <x:row r="18" ht="15" hidden="0" customHeight="1">
      <x:c r="A18" s="25" t="str">
        <x:v>F-ZJ-14</x:v>
      </x:c>
      <x:c r="B18" s="25" t="str">
        <x:v>明台丹</x:v>
      </x:c>
      <x:c r="C18" s="25" t="str">
        <x:v>发</x:v>
      </x:c>
      <x:c r="D18" s="25" t="str">
        <x:v>战时状态</x:v>
      </x:c>
      <x:c r="E18" s="25" t="str">
        <x:v>感知</x:v>
      </x:c>
      <x:c r="F18" s="25" t="str">
        <x:v>筑基</x:v>
      </x:c>
      <x:c r="G18" s="25" t="str">
        <x:v>J-ZJ-14</x:v>
      </x:c>
      <x:c r="H18" s="25" t="str">
        <x:v>火</x:v>
      </x:c>
      <x:c r="I18" s="25" t="str">
        <x:v>温</x:v>
      </x:c>
      <x:c r="J18" s="33" t="n">
        <x:v>1</x:v>
      </x:c>
      <x:c r="K18" s="25" t="str">
        <x:v>苦</x:v>
      </x:c>
      <x:c r="L18" s="34" t="n">
        <x:v>30</x:v>
      </x:c>
      <x:c r="M18" s="34" t="n">
        <x:v>8</x:v>
      </x:c>
      <x:c r="N18" s="34" t="n">
        <x:f>COUNTIF('04_认证组合表'!$A$5:$A$49,A18)</x:f>
        <x:v>3</x:v>
      </x:c>
      <x:c r="O18" s="34" t="str">
        <x:v>短时提高神识与感知</x:v>
      </x:c>
      <x:c r="P18" s="34" t="n">
        <x:v>170</x:v>
      </x:c>
      <x:c r="Q18" s="25" t="str">
        <x:v>明台菊立照见之本，火臣启其明，苦使引入心神</x:v>
      </x:c>
    </x:row>
    <x:row r="19" ht="15" hidden="0" customHeight="1">
      <x:c r="A19" s="25" t="str">
        <x:v>F-ZJ-15</x:v>
      </x:c>
      <x:c r="B19" s="25" t="str">
        <x:v>续元丹</x:v>
      </x:c>
      <x:c r="C19" s="25" t="str">
        <x:v>养</x:v>
      </x:c>
      <x:c r="D19" s="25" t="str">
        <x:v>养命延寿</x:v>
      </x:c>
      <x:c r="E19" s="25" t="str">
        <x:v>延寿</x:v>
      </x:c>
      <x:c r="F19" s="25" t="str">
        <x:v>筑基</x:v>
      </x:c>
      <x:c r="G19" s="25" t="str">
        <x:v>J-ZJ-15</x:v>
      </x:c>
      <x:c r="H19" s="25" t="str">
        <x:v>水</x:v>
      </x:c>
      <x:c r="I19" s="25" t="str">
        <x:v>平</x:v>
      </x:c>
      <x:c r="J19" s="33" t="n">
        <x:v>0</x:v>
      </x:c>
      <x:c r="K19" s="25" t="str">
        <x:v>咸</x:v>
      </x:c>
      <x:c r="L19" s="34" t="n">
        <x:v>36</x:v>
      </x:c>
      <x:c r="M19" s="34" t="n">
        <x:v>8</x:v>
      </x:c>
      <x:c r="N19" s="34" t="n">
        <x:f>COUNTIF('04_认证组合表'!$A$5:$A$49,A19)</x:f>
        <x:v>3</x:v>
      </x:c>
      <x:c r="O19" s="34" t="str">
        <x:v>修补异常寿损并延长寿元</x:v>
      </x:c>
      <x:c r="P19" s="34" t="n">
        <x:v>500</x:v>
      </x:c>
      <x:c r="Q19" s="25" t="str">
        <x:v>续元松脂立养命之本，水臣润其损，咸使引入根基</x:v>
      </x:c>
    </x:row>
  </x:sheetData>
  <x:mergeCells>
    <x:mergeCell ref="A1:Q1"/>
    <x:mergeCell ref="A2:Q2"/>
  </x:mergeCells>
  <x:dataValidations count="4">
    <x:dataValidation type="list" sqref="C5:C19">
      <x:formula1>"养,清,改,发"</x:formula1>
    </x:dataValidation>
    <x:dataValidation type="list" sqref="H5:H19">
      <x:formula1>"金,木,水,火,土"</x:formula1>
    </x:dataValidation>
    <x:dataValidation type="list" sqref="I5:I19">
      <x:formula1>"寒,凉,平,温,热"</x:formula1>
    </x:dataValidation>
    <x:dataValidation type="list" sqref="K5:K19">
      <x:formula1>"甘,辛,咸,苦,酸"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8" hidden="0" customWidth="1"/>
    <x:col min="4" max="4" width="9" hidden="0" customWidth="1"/>
    <x:col min="5" max="5" width="14" hidden="0" customWidth="1"/>
    <x:col min="6" max="6" width="10" hidden="0" customWidth="1"/>
    <x:col min="7" max="7" width="9" hidden="0" customWidth="1"/>
    <x:col min="8" max="8" width="8" hidden="0" customWidth="1"/>
    <x:col min="9" max="9" width="11" hidden="0" customWidth="1"/>
    <x:col min="10" max="10" width="11" hidden="0" customWidth="1"/>
    <x:col min="11" max="11" width="10" hidden="0" customWidth="1"/>
    <x:col min="12" max="12" width="11" hidden="0" customWidth="1"/>
    <x:col min="13" max="13" width="21" hidden="0" customWidth="1"/>
    <x:col min="14" max="14" width="34" hidden="0" customWidth="1"/>
  </x:cols>
  <x:sheetData>
    <x:row r="1" ht="21.600000381469727" hidden="0" customHeight="1">
      <x:c r="A1" s="3" t="str">
        <x:v>筑基境灵植主表｜一行一种物种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7" t="str">
        <x:v>15味独特君材＋15味臣材＋5味佐材＋10味使材。名字与数值为纸推占位，字段结构为正式生产结构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/>
    <x:row r="4" ht="15" hidden="0" customHeight="1">
      <x:c r="A4" s="20" t="str">
        <x:v>灵植ID</x:v>
      </x:c>
      <x:c r="B4" s="20" t="str">
        <x:v>名称</x:v>
      </x:c>
      <x:c r="C4" s="20" t="str">
        <x:v>材品</x:v>
      </x:c>
      <x:c r="D4" s="20" t="str">
        <x:v>境界</x:v>
      </x:c>
      <x:c r="E4" s="20" t="str">
        <x:v>丹核（君）</x:v>
      </x:c>
      <x:c r="F4" s="20" t="str">
        <x:v>五行（臣）</x:v>
      </x:c>
      <x:c r="G4" s="20" t="str">
        <x:v>五性</x:v>
      </x:c>
      <x:c r="H4" s="20" t="str">
        <x:v>性值</x:v>
      </x:c>
      <x:c r="I4" s="20" t="str">
        <x:v>五味（使）</x:v>
      </x:c>
      <x:c r="J4" s="20" t="str">
        <x:v>基础药力</x:v>
      </x:c>
      <x:c r="K4" s="20" t="str">
        <x:v>稀有度</x:v>
      </x:c>
      <x:c r="L4" s="20" t="str">
        <x:v>凡品基价</x:v>
      </x:c>
      <x:c r="M4" s="20" t="str">
        <x:v>产区/微生境</x:v>
      </x:c>
      <x:c r="N4" s="20" t="str">
        <x:v>古意说明</x:v>
      </x:c>
    </x:row>
    <x:row r="5" ht="15" hidden="0" customHeight="1">
      <x:c r="A5" s="32" t="str">
        <x:v>J-ZJ-01</x:v>
      </x:c>
      <x:c r="B5" s="32" t="str">
        <x:v>聚元芝</x:v>
      </x:c>
      <x:c r="C5" s="32" t="str">
        <x:v>君</x:v>
      </x:c>
      <x:c r="D5" s="32" t="str">
        <x:v>筑基</x:v>
      </x:c>
      <x:c r="E5" s="32" t="str">
        <x:v>修为</x:v>
      </x:c>
      <x:c r="F5" s="32" t="str"/>
      <x:c r="G5" s="32" t="str">
        <x:v>平</x:v>
      </x:c>
      <x:c r="H5" s="34" t="n">
        <x:v>0</x:v>
      </x:c>
      <x:c r="I5" s="34" t="str"/>
      <x:c r="J5" s="34" t="n">
        <x:v>3</x:v>
      </x:c>
      <x:c r="K5" s="34" t="str">
        <x:v>少见</x:v>
      </x:c>
      <x:c r="L5" s="34" t="n">
        <x:v>18</x:v>
      </x:c>
      <x:c r="M5" s="32" t="str">
        <x:v>R02·林缘阴坡</x:v>
      </x:c>
      <x:c r="N5" s="32" t="str">
        <x:v>混元立本，能承修为之丹核</x:v>
      </x:c>
    </x:row>
    <x:row r="6" ht="15" hidden="0" customHeight="1">
      <x:c r="A6" s="32" t="str">
        <x:v>J-ZJ-02</x:v>
      </x:c>
      <x:c r="B6" s="32" t="str">
        <x:v>迅泉蕊</x:v>
      </x:c>
      <x:c r="C6" s="32" t="str">
        <x:v>君</x:v>
      </x:c>
      <x:c r="D6" s="32" t="str">
        <x:v>筑基</x:v>
      </x:c>
      <x:c r="E6" s="32" t="str">
        <x:v>瞬回灵</x:v>
      </x:c>
      <x:c r="F6" s="32" t="str"/>
      <x:c r="G6" s="32" t="str">
        <x:v>温</x:v>
      </x:c>
      <x:c r="H6" s="34" t="n">
        <x:v>1</x:v>
      </x:c>
      <x:c r="I6" s="34" t="str"/>
      <x:c r="J6" s="34" t="n">
        <x:v>3</x:v>
      </x:c>
      <x:c r="K6" s="34" t="str">
        <x:v>少见</x:v>
      </x:c>
      <x:c r="L6" s="34" t="n">
        <x:v>14</x:v>
      </x:c>
      <x:c r="M6" s="32" t="str">
        <x:v>R02·裂壁暖泉</x:v>
      </x:c>
      <x:c r="N6" s="32" t="str">
        <x:v>泉机急发，能立瞬回之丹核</x:v>
      </x:c>
    </x:row>
    <x:row r="7" ht="15" hidden="0" customHeight="1">
      <x:c r="A7" s="32" t="str">
        <x:v>J-ZJ-03</x:v>
      </x:c>
      <x:c r="B7" s="32" t="str">
        <x:v>绵泉藻</x:v>
      </x:c>
      <x:c r="C7" s="32" t="str">
        <x:v>君</x:v>
      </x:c>
      <x:c r="D7" s="32" t="str">
        <x:v>筑基</x:v>
      </x:c>
      <x:c r="E7" s="32" t="str">
        <x:v>缓回灵</x:v>
      </x:c>
      <x:c r="F7" s="32" t="str"/>
      <x:c r="G7" s="32" t="str">
        <x:v>平</x:v>
      </x:c>
      <x:c r="H7" s="34" t="n">
        <x:v>0</x:v>
      </x:c>
      <x:c r="I7" s="34" t="str"/>
      <x:c r="J7" s="34" t="n">
        <x:v>3</x:v>
      </x:c>
      <x:c r="K7" s="34" t="str">
        <x:v>常见</x:v>
      </x:c>
      <x:c r="L7" s="34" t="n">
        <x:v>12</x:v>
      </x:c>
      <x:c r="M7" s="32" t="str">
        <x:v>R02·静水石潭</x:v>
      </x:c>
      <x:c r="N7" s="32" t="str">
        <x:v>水意绵长，能立缓回之丹核</x:v>
      </x:c>
    </x:row>
    <x:row r="8" ht="15" hidden="0" customHeight="1">
      <x:c r="A8" s="32" t="str">
        <x:v>J-ZJ-04</x:v>
      </x:c>
      <x:c r="B8" s="32" t="str">
        <x:v>续环芽</x:v>
      </x:c>
      <x:c r="C8" s="32" t="str">
        <x:v>君</x:v>
      </x:c>
      <x:c r="D8" s="32" t="str">
        <x:v>筑基</x:v>
      </x:c>
      <x:c r="E8" s="32" t="str">
        <x:v>小突破</x:v>
      </x:c>
      <x:c r="F8" s="32" t="str"/>
      <x:c r="G8" s="32" t="str">
        <x:v>温</x:v>
      </x:c>
      <x:c r="H8" s="34" t="n">
        <x:v>1</x:v>
      </x:c>
      <x:c r="I8" s="34" t="str"/>
      <x:c r="J8" s="34" t="n">
        <x:v>3</x:v>
      </x:c>
      <x:c r="K8" s="34" t="str">
        <x:v>少见</x:v>
      </x:c>
      <x:c r="L8" s="34" t="n">
        <x:v>20</x:v>
      </x:c>
      <x:c r="M8" s="32" t="str">
        <x:v>R02·旧根新隙</x:v>
      </x:c>
      <x:c r="N8" s="32" t="str">
        <x:v>芽含续环之式，能立小关之丹核</x:v>
      </x:c>
    </x:row>
    <x:row r="9" ht="15" hidden="0" customHeight="1">
      <x:c r="A9" s="32" t="str">
        <x:v>J-ZJ-05</x:v>
      </x:c>
      <x:c r="B9" s="32" t="str">
        <x:v>开关莲</x:v>
      </x:c>
      <x:c r="C9" s="32" t="str">
        <x:v>君</x:v>
      </x:c>
      <x:c r="D9" s="32" t="str">
        <x:v>筑基</x:v>
      </x:c>
      <x:c r="E9" s="32" t="str">
        <x:v>大突破</x:v>
      </x:c>
      <x:c r="F9" s="32" t="str"/>
      <x:c r="G9" s="32" t="str">
        <x:v>热</x:v>
      </x:c>
      <x:c r="H9" s="34" t="n">
        <x:v>2</x:v>
      </x:c>
      <x:c r="I9" s="34" t="str"/>
      <x:c r="J9" s="34" t="n">
        <x:v>3</x:v>
      </x:c>
      <x:c r="K9" s="34" t="str">
        <x:v>稀有</x:v>
      </x:c>
      <x:c r="L9" s="34" t="n">
        <x:v>30</x:v>
      </x:c>
      <x:c r="M9" s="32" t="str">
        <x:v>R02·地脉交口</x:v>
      </x:c>
      <x:c r="N9" s="32" t="str">
        <x:v>莲开内关，能立破大境之丹核</x:v>
      </x:c>
    </x:row>
    <x:row r="10" ht="15" hidden="0" customHeight="1">
      <x:c r="A10" s="32" t="str">
        <x:v>J-ZJ-06</x:v>
      </x:c>
      <x:c r="B10" s="32" t="str">
        <x:v>急生藤心</x:v>
      </x:c>
      <x:c r="C10" s="32" t="str">
        <x:v>君</x:v>
      </x:c>
      <x:c r="D10" s="32" t="str">
        <x:v>筑基</x:v>
      </x:c>
      <x:c r="E10" s="32" t="str">
        <x:v>瞬疗</x:v>
      </x:c>
      <x:c r="F10" s="32" t="str"/>
      <x:c r="G10" s="32" t="str">
        <x:v>温</x:v>
      </x:c>
      <x:c r="H10" s="34" t="n">
        <x:v>1</x:v>
      </x:c>
      <x:c r="I10" s="34" t="str"/>
      <x:c r="J10" s="34" t="n">
        <x:v>3</x:v>
      </x:c>
      <x:c r="K10" s="34" t="str">
        <x:v>少见</x:v>
      </x:c>
      <x:c r="L10" s="34" t="n">
        <x:v>14</x:v>
      </x:c>
      <x:c r="M10" s="32" t="str">
        <x:v>R02·向阳藤谷</x:v>
      </x:c>
      <x:c r="N10" s="32" t="str">
        <x:v>藤心生机骤发，能立急疗之丹核</x:v>
      </x:c>
    </x:row>
    <x:row r="11" ht="15" hidden="0" customHeight="1">
      <x:c r="A11" s="32" t="str">
        <x:v>J-ZJ-07</x:v>
      </x:c>
      <x:c r="B11" s="32" t="str">
        <x:v>绵愈兰</x:v>
      </x:c>
      <x:c r="C11" s="32" t="str">
        <x:v>君</x:v>
      </x:c>
      <x:c r="D11" s="32" t="str">
        <x:v>筑基</x:v>
      </x:c>
      <x:c r="E11" s="32" t="str">
        <x:v>缓疗</x:v>
      </x:c>
      <x:c r="F11" s="32" t="str"/>
      <x:c r="G11" s="32" t="str">
        <x:v>平</x:v>
      </x:c>
      <x:c r="H11" s="34" t="n">
        <x:v>0</x:v>
      </x:c>
      <x:c r="I11" s="34" t="str"/>
      <x:c r="J11" s="34" t="n">
        <x:v>3</x:v>
      </x:c>
      <x:c r="K11" s="34" t="str">
        <x:v>常见</x:v>
      </x:c>
      <x:c r="L11" s="34" t="n">
        <x:v>12</x:v>
      </x:c>
      <x:c r="M11" s="32" t="str">
        <x:v>R02·湿润林下</x:v>
      </x:c>
      <x:c r="N11" s="32" t="str">
        <x:v>兰气和缓，能立绵愈之丹核</x:v>
      </x:c>
    </x:row>
    <x:row r="12" ht="15" hidden="0" customHeight="1">
      <x:c r="A12" s="32" t="str">
        <x:v>J-ZJ-08</x:v>
      </x:c>
      <x:c r="B12" s="32" t="str">
        <x:v>涤元莲</x:v>
      </x:c>
      <x:c r="C12" s="32" t="str">
        <x:v>君</x:v>
      </x:c>
      <x:c r="D12" s="32" t="str">
        <x:v>筑基</x:v>
      </x:c>
      <x:c r="E12" s="32" t="str">
        <x:v>修为清毒</x:v>
      </x:c>
      <x:c r="F12" s="32" t="str"/>
      <x:c r="G12" s="32" t="str">
        <x:v>凉</x:v>
      </x:c>
      <x:c r="H12" s="34" t="n">
        <x:v>-1</x:v>
      </x:c>
      <x:c r="I12" s="34" t="str"/>
      <x:c r="J12" s="34" t="n">
        <x:v>3</x:v>
      </x:c>
      <x:c r="K12" s="34" t="str">
        <x:v>稀有</x:v>
      </x:c>
      <x:c r="L12" s="34" t="n">
        <x:v>26</x:v>
      </x:c>
      <x:c r="M12" s="32" t="str">
        <x:v>R02·净水泥底</x:v>
      </x:c>
      <x:c r="N12" s="32" t="str">
        <x:v>莲识丹田余毒，能立涤元之丹核</x:v>
      </x:c>
    </x:row>
    <x:row r="13" ht="15" hidden="0" customHeight="1">
      <x:c r="A13" s="32" t="str">
        <x:v>J-ZJ-09</x:v>
      </x:c>
      <x:c r="B13" s="32" t="str">
        <x:v>镇骨薯</x:v>
      </x:c>
      <x:c r="C13" s="32" t="str">
        <x:v>君</x:v>
      </x:c>
      <x:c r="D13" s="32" t="str">
        <x:v>筑基</x:v>
      </x:c>
      <x:c r="E13" s="32" t="str">
        <x:v>固本</x:v>
      </x:c>
      <x:c r="F13" s="32" t="str"/>
      <x:c r="G13" s="32" t="str">
        <x:v>温</x:v>
      </x:c>
      <x:c r="H13" s="34" t="n">
        <x:v>1</x:v>
      </x:c>
      <x:c r="I13" s="34" t="str"/>
      <x:c r="J13" s="34" t="n">
        <x:v>3</x:v>
      </x:c>
      <x:c r="K13" s="34" t="str">
        <x:v>稀有</x:v>
      </x:c>
      <x:c r="L13" s="34" t="n">
        <x:v>24</x:v>
      </x:c>
      <x:c r="M13" s="32" t="str">
        <x:v>R02·厚土深层</x:v>
      </x:c>
      <x:c r="N13" s="32" t="str">
        <x:v>根沉骨底，能立固本之丹核</x:v>
      </x:c>
    </x:row>
    <x:row r="14" ht="15" hidden="0" customHeight="1">
      <x:c r="A14" s="32" t="str">
        <x:v>J-ZJ-10</x:v>
      </x:c>
      <x:c r="B14" s="32" t="str">
        <x:v>安识芝</x:v>
      </x:c>
      <x:c r="C14" s="32" t="str">
        <x:v>君</x:v>
      </x:c>
      <x:c r="D14" s="32" t="str">
        <x:v>筑基</x:v>
      </x:c>
      <x:c r="E14" s="32" t="str">
        <x:v>养神</x:v>
      </x:c>
      <x:c r="F14" s="32" t="str"/>
      <x:c r="G14" s="32" t="str">
        <x:v>平</x:v>
      </x:c>
      <x:c r="H14" s="34" t="n">
        <x:v>0</x:v>
      </x:c>
      <x:c r="I14" s="34" t="str"/>
      <x:c r="J14" s="34" t="n">
        <x:v>3</x:v>
      </x:c>
      <x:c r="K14" s="34" t="str">
        <x:v>稀有</x:v>
      </x:c>
      <x:c r="L14" s="34" t="n">
        <x:v>24</x:v>
      </x:c>
      <x:c r="M14" s="32" t="str">
        <x:v>R02·古木空腔</x:v>
      </x:c>
      <x:c r="N14" s="32" t="str">
        <x:v>芝养识海，能立养神之丹核</x:v>
      </x:c>
    </x:row>
    <x:row r="15" ht="15" hidden="0" customHeight="1">
      <x:c r="A15" s="32" t="str">
        <x:v>J-ZJ-11</x:v>
      </x:c>
      <x:c r="B15" s="32" t="str">
        <x:v>烈脉花</x:v>
      </x:c>
      <x:c r="C15" s="32" t="str">
        <x:v>君</x:v>
      </x:c>
      <x:c r="D15" s="32" t="str">
        <x:v>筑基</x:v>
      </x:c>
      <x:c r="E15" s="32" t="str">
        <x:v>爆发</x:v>
      </x:c>
      <x:c r="F15" s="32" t="str"/>
      <x:c r="G15" s="32" t="str">
        <x:v>热</x:v>
      </x:c>
      <x:c r="H15" s="34" t="n">
        <x:v>2</x:v>
      </x:c>
      <x:c r="I15" s="34" t="str"/>
      <x:c r="J15" s="34" t="n">
        <x:v>3</x:v>
      </x:c>
      <x:c r="K15" s="34" t="str">
        <x:v>少见</x:v>
      </x:c>
      <x:c r="L15" s="34" t="n">
        <x:v>16</x:v>
      </x:c>
      <x:c r="M15" s="32" t="str">
        <x:v>R02·赤岩向阳坡</x:v>
      </x:c>
      <x:c r="N15" s="32" t="str">
        <x:v>花火入脉，能立爆发之丹核</x:v>
      </x:c>
    </x:row>
    <x:row r="16" ht="15" hidden="0" customHeight="1">
      <x:c r="A16" s="32" t="str">
        <x:v>J-ZJ-12</x:v>
      </x:c>
      <x:c r="B16" s="32" t="str">
        <x:v>守脉蕨</x:v>
      </x:c>
      <x:c r="C16" s="32" t="str">
        <x:v>君</x:v>
      </x:c>
      <x:c r="D16" s="32" t="str">
        <x:v>筑基</x:v>
      </x:c>
      <x:c r="E16" s="32" t="str">
        <x:v>抗性</x:v>
      </x:c>
      <x:c r="F16" s="32" t="str"/>
      <x:c r="G16" s="32" t="str">
        <x:v>凉</x:v>
      </x:c>
      <x:c r="H16" s="34" t="n">
        <x:v>-1</x:v>
      </x:c>
      <x:c r="I16" s="34" t="str"/>
      <x:c r="J16" s="34" t="n">
        <x:v>3</x:v>
      </x:c>
      <x:c r="K16" s="34" t="str">
        <x:v>少见</x:v>
      </x:c>
      <x:c r="L16" s="34" t="n">
        <x:v>16</x:v>
      </x:c>
      <x:c r="M16" s="32" t="str">
        <x:v>R02·铁岩石缝</x:v>
      </x:c>
      <x:c r="N16" s="32" t="str">
        <x:v>蕨脉如界，能立护身之丹核</x:v>
      </x:c>
    </x:row>
    <x:row r="17" ht="15" hidden="0" customHeight="1">
      <x:c r="A17" s="32" t="str">
        <x:v>J-ZJ-13</x:v>
      </x:c>
      <x:c r="B17" s="32" t="str">
        <x:v>展脉藤</x:v>
      </x:c>
      <x:c r="C17" s="32" t="str">
        <x:v>君</x:v>
      </x:c>
      <x:c r="D17" s="32" t="str">
        <x:v>筑基</x:v>
      </x:c>
      <x:c r="E17" s="32" t="str">
        <x:v>行遁</x:v>
      </x:c>
      <x:c r="F17" s="32" t="str"/>
      <x:c r="G17" s="32" t="str">
        <x:v>温</x:v>
      </x:c>
      <x:c r="H17" s="34" t="n">
        <x:v>1</x:v>
      </x:c>
      <x:c r="I17" s="34" t="str"/>
      <x:c r="J17" s="34" t="n">
        <x:v>3</x:v>
      </x:c>
      <x:c r="K17" s="34" t="str">
        <x:v>少见</x:v>
      </x:c>
      <x:c r="L17" s="34" t="n">
        <x:v>15</x:v>
      </x:c>
      <x:c r="M17" s="32" t="str">
        <x:v>R02·风口悬壁</x:v>
      </x:c>
      <x:c r="N17" s="32" t="str">
        <x:v>藤节舒展，能立行遁之丹核</x:v>
      </x:c>
    </x:row>
    <x:row r="18" ht="15" hidden="0" customHeight="1">
      <x:c r="A18" s="32" t="str">
        <x:v>J-ZJ-14</x:v>
      </x:c>
      <x:c r="B18" s="32" t="str">
        <x:v>明台菊</x:v>
      </x:c>
      <x:c r="C18" s="32" t="str">
        <x:v>君</x:v>
      </x:c>
      <x:c r="D18" s="32" t="str">
        <x:v>筑基</x:v>
      </x:c>
      <x:c r="E18" s="32" t="str">
        <x:v>感知</x:v>
      </x:c>
      <x:c r="F18" s="32" t="str"/>
      <x:c r="G18" s="32" t="str">
        <x:v>温</x:v>
      </x:c>
      <x:c r="H18" s="34" t="n">
        <x:v>1</x:v>
      </x:c>
      <x:c r="I18" s="34" t="str"/>
      <x:c r="J18" s="34" t="n">
        <x:v>3</x:v>
      </x:c>
      <x:c r="K18" s="34" t="str">
        <x:v>少见</x:v>
      </x:c>
      <x:c r="L18" s="34" t="n">
        <x:v>18</x:v>
      </x:c>
      <x:c r="M18" s="32" t="str">
        <x:v>R02·月照高台</x:v>
      </x:c>
      <x:c r="N18" s="32" t="str">
        <x:v>花心如灯，能立明台之丹核</x:v>
      </x:c>
    </x:row>
    <x:row r="19" ht="15" hidden="0" customHeight="1">
      <x:c r="A19" s="32" t="str">
        <x:v>J-ZJ-15</x:v>
      </x:c>
      <x:c r="B19" s="32" t="str">
        <x:v>续元松脂</x:v>
      </x:c>
      <x:c r="C19" s="32" t="str">
        <x:v>君</x:v>
      </x:c>
      <x:c r="D19" s="32" t="str">
        <x:v>筑基</x:v>
      </x:c>
      <x:c r="E19" s="32" t="str">
        <x:v>延寿</x:v>
      </x:c>
      <x:c r="F19" s="32" t="str"/>
      <x:c r="G19" s="32" t="str">
        <x:v>平</x:v>
      </x:c>
      <x:c r="H19" s="34" t="n">
        <x:v>0</x:v>
      </x:c>
      <x:c r="I19" s="34" t="str"/>
      <x:c r="J19" s="34" t="n">
        <x:v>3</x:v>
      </x:c>
      <x:c r="K19" s="34" t="str">
        <x:v>极稀有</x:v>
      </x:c>
      <x:c r="L19" s="34" t="n">
        <x:v>36</x:v>
      </x:c>
      <x:c r="M19" s="32" t="str">
        <x:v>R02·百年古松</x:v>
      </x:c>
      <x:c r="N19" s="32" t="str">
        <x:v>脂护生机，能立续元之丹核</x:v>
      </x:c>
    </x:row>
    <x:row r="20" ht="15" hidden="0" customHeight="1">
      <x:c r="A20" s="35" t="str">
        <x:v>M-ZJ-JIN-P</x:v>
      </x:c>
      <x:c r="B20" s="35" t="str">
        <x:v>素锋蕨</x:v>
      </x:c>
      <x:c r="C20" s="35" t="str">
        <x:v>臣</x:v>
      </x:c>
      <x:c r="D20" s="35" t="str">
        <x:v>筑基</x:v>
      </x:c>
      <x:c r="E20" s="35" t="str"/>
      <x:c r="F20" s="35" t="str">
        <x:v>金</x:v>
      </x:c>
      <x:c r="G20" s="35" t="str">
        <x:v>平</x:v>
      </x:c>
      <x:c r="H20" s="38" t="n">
        <x:v>0</x:v>
      </x:c>
      <x:c r="I20" s="38" t="str"/>
      <x:c r="J20" s="38" t="n">
        <x:v>3</x:v>
      </x:c>
      <x:c r="K20" s="38" t="str">
        <x:v>常见</x:v>
      </x:c>
      <x:c r="L20" s="38" t="n">
        <x:v>6</x:v>
      </x:c>
      <x:c r="M20" s="35" t="str">
        <x:v>R02·金性微境</x:v>
      </x:c>
      <x:c r="N20" s="35" t="str">
        <x:v>金主离，性平而不伤正</x:v>
      </x:c>
    </x:row>
    <x:row r="21" ht="15" hidden="0" customHeight="1">
      <x:c r="A21" s="35" t="str">
        <x:v>M-ZJ-JIN-W</x:v>
      </x:c>
      <x:c r="B21" s="35" t="str">
        <x:v>暖锋藤</x:v>
      </x:c>
      <x:c r="C21" s="35" t="str">
        <x:v>臣</x:v>
      </x:c>
      <x:c r="D21" s="35" t="str">
        <x:v>筑基</x:v>
      </x:c>
      <x:c r="E21" s="35" t="str"/>
      <x:c r="F21" s="35" t="str">
        <x:v>金</x:v>
      </x:c>
      <x:c r="G21" s="35" t="str">
        <x:v>温</x:v>
      </x:c>
      <x:c r="H21" s="38" t="n">
        <x:v>1</x:v>
      </x:c>
      <x:c r="I21" s="38" t="str"/>
      <x:c r="J21" s="38" t="n">
        <x:v>3</x:v>
      </x:c>
      <x:c r="K21" s="38" t="str">
        <x:v>常见</x:v>
      </x:c>
      <x:c r="L21" s="38" t="n">
        <x:v>4</x:v>
      </x:c>
      <x:c r="M21" s="35" t="str">
        <x:v>R02·金性微境</x:v>
      </x:c>
      <x:c r="N21" s="35" t="str">
        <x:v>金主离，温行而价廉</x:v>
      </x:c>
    </x:row>
    <x:row r="22" ht="15" hidden="0" customHeight="1">
      <x:c r="A22" s="35" t="str">
        <x:v>M-ZJ-JIN-C</x:v>
      </x:c>
      <x:c r="B22" s="35" t="str">
        <x:v>霜线蕨</x:v>
      </x:c>
      <x:c r="C22" s="35" t="str">
        <x:v>臣</x:v>
      </x:c>
      <x:c r="D22" s="35" t="str">
        <x:v>筑基</x:v>
      </x:c>
      <x:c r="E22" s="35" t="str"/>
      <x:c r="F22" s="35" t="str">
        <x:v>金</x:v>
      </x:c>
      <x:c r="G22" s="35" t="str">
        <x:v>凉</x:v>
      </x:c>
      <x:c r="H22" s="38" t="n">
        <x:v>-1</x:v>
      </x:c>
      <x:c r="I22" s="38" t="str"/>
      <x:c r="J22" s="38" t="n">
        <x:v>3</x:v>
      </x:c>
      <x:c r="K22" s="38" t="str">
        <x:v>少见</x:v>
      </x:c>
      <x:c r="L22" s="38" t="n">
        <x:v>9</x:v>
      </x:c>
      <x:c r="M22" s="35" t="str">
        <x:v>R02·金性微境</x:v>
      </x:c>
      <x:c r="N22" s="35" t="str">
        <x:v>金主离，凉清而少杂</x:v>
      </x:c>
    </x:row>
    <x:row r="23" ht="15" hidden="0" customHeight="1">
      <x:c r="A23" s="35" t="str">
        <x:v>M-ZJ-MU-P</x:v>
      </x:c>
      <x:c r="B23" s="35" t="str">
        <x:v>续环藤</x:v>
      </x:c>
      <x:c r="C23" s="35" t="str">
        <x:v>臣</x:v>
      </x:c>
      <x:c r="D23" s="35" t="str">
        <x:v>筑基</x:v>
      </x:c>
      <x:c r="E23" s="35" t="str"/>
      <x:c r="F23" s="35" t="str">
        <x:v>木</x:v>
      </x:c>
      <x:c r="G23" s="35" t="str">
        <x:v>平</x:v>
      </x:c>
      <x:c r="H23" s="38" t="n">
        <x:v>0</x:v>
      </x:c>
      <x:c r="I23" s="38" t="str"/>
      <x:c r="J23" s="38" t="n">
        <x:v>3</x:v>
      </x:c>
      <x:c r="K23" s="38" t="str">
        <x:v>常见</x:v>
      </x:c>
      <x:c r="L23" s="38" t="n">
        <x:v>6</x:v>
      </x:c>
      <x:c r="M23" s="35" t="str">
        <x:v>R02·木性微境</x:v>
      </x:c>
      <x:c r="N23" s="35" t="str">
        <x:v>木主生，性平而善续</x:v>
      </x:c>
    </x:row>
    <x:row r="24" ht="15" hidden="0" customHeight="1">
      <x:c r="A24" s="35" t="str">
        <x:v>M-ZJ-MU-W</x:v>
      </x:c>
      <x:c r="B24" s="35" t="str">
        <x:v>阳芽藤</x:v>
      </x:c>
      <x:c r="C24" s="35" t="str">
        <x:v>臣</x:v>
      </x:c>
      <x:c r="D24" s="35" t="str">
        <x:v>筑基</x:v>
      </x:c>
      <x:c r="E24" s="35" t="str"/>
      <x:c r="F24" s="35" t="str">
        <x:v>木</x:v>
      </x:c>
      <x:c r="G24" s="35" t="str">
        <x:v>温</x:v>
      </x:c>
      <x:c r="H24" s="38" t="n">
        <x:v>1</x:v>
      </x:c>
      <x:c r="I24" s="38" t="str"/>
      <x:c r="J24" s="38" t="n">
        <x:v>3</x:v>
      </x:c>
      <x:c r="K24" s="38" t="str">
        <x:v>常见</x:v>
      </x:c>
      <x:c r="L24" s="38" t="n">
        <x:v>4</x:v>
      </x:c>
      <x:c r="M24" s="35" t="str">
        <x:v>R02·木性微境</x:v>
      </x:c>
      <x:c r="N24" s="35" t="str">
        <x:v>木主生，温发而价廉</x:v>
      </x:c>
    </x:row>
    <x:row r="25" ht="15" hidden="0" customHeight="1">
      <x:c r="A25" s="35" t="str">
        <x:v>M-ZJ-MU-C</x:v>
      </x:c>
      <x:c r="B25" s="35" t="str">
        <x:v>青露藤</x:v>
      </x:c>
      <x:c r="C25" s="35" t="str">
        <x:v>臣</x:v>
      </x:c>
      <x:c r="D25" s="35" t="str">
        <x:v>筑基</x:v>
      </x:c>
      <x:c r="E25" s="35" t="str"/>
      <x:c r="F25" s="35" t="str">
        <x:v>木</x:v>
      </x:c>
      <x:c r="G25" s="35" t="str">
        <x:v>凉</x:v>
      </x:c>
      <x:c r="H25" s="38" t="n">
        <x:v>-1</x:v>
      </x:c>
      <x:c r="I25" s="38" t="str"/>
      <x:c r="J25" s="38" t="n">
        <x:v>3</x:v>
      </x:c>
      <x:c r="K25" s="38" t="str">
        <x:v>少见</x:v>
      </x:c>
      <x:c r="L25" s="38" t="n">
        <x:v>9</x:v>
      </x:c>
      <x:c r="M25" s="35" t="str">
        <x:v>R02·木性微境</x:v>
      </x:c>
      <x:c r="N25" s="35" t="str">
        <x:v>木主生，凉润而少躁</x:v>
      </x:c>
    </x:row>
    <x:row r="26" ht="15" hidden="0" customHeight="1">
      <x:c r="A26" s="35" t="str">
        <x:v>M-ZJ-SHUI-P</x:v>
      </x:c>
      <x:c r="B26" s="35" t="str">
        <x:v>清渠藻</x:v>
      </x:c>
      <x:c r="C26" s="35" t="str">
        <x:v>臣</x:v>
      </x:c>
      <x:c r="D26" s="35" t="str">
        <x:v>筑基</x:v>
      </x:c>
      <x:c r="E26" s="35" t="str"/>
      <x:c r="F26" s="35" t="str">
        <x:v>水</x:v>
      </x:c>
      <x:c r="G26" s="35" t="str">
        <x:v>平</x:v>
      </x:c>
      <x:c r="H26" s="38" t="n">
        <x:v>0</x:v>
      </x:c>
      <x:c r="I26" s="38" t="str"/>
      <x:c r="J26" s="38" t="n">
        <x:v>3</x:v>
      </x:c>
      <x:c r="K26" s="38" t="str">
        <x:v>常见</x:v>
      </x:c>
      <x:c r="L26" s="38" t="n">
        <x:v>6</x:v>
      </x:c>
      <x:c r="M26" s="35" t="str">
        <x:v>R02·水性微境</x:v>
      </x:c>
      <x:c r="N26" s="35" t="str">
        <x:v>水主行，性平而善布</x:v>
      </x:c>
    </x:row>
    <x:row r="27" ht="15" hidden="0" customHeight="1">
      <x:c r="A27" s="35" t="str">
        <x:v>M-ZJ-SHUI-W</x:v>
      </x:c>
      <x:c r="B27" s="35" t="str">
        <x:v>暖泉苔</x:v>
      </x:c>
      <x:c r="C27" s="35" t="str">
        <x:v>臣</x:v>
      </x:c>
      <x:c r="D27" s="35" t="str">
        <x:v>筑基</x:v>
      </x:c>
      <x:c r="E27" s="35" t="str"/>
      <x:c r="F27" s="35" t="str">
        <x:v>水</x:v>
      </x:c>
      <x:c r="G27" s="35" t="str">
        <x:v>温</x:v>
      </x:c>
      <x:c r="H27" s="38" t="n">
        <x:v>1</x:v>
      </x:c>
      <x:c r="I27" s="38" t="str"/>
      <x:c r="J27" s="38" t="n">
        <x:v>3</x:v>
      </x:c>
      <x:c r="K27" s="38" t="str">
        <x:v>常见</x:v>
      </x:c>
      <x:c r="L27" s="38" t="n">
        <x:v>4</x:v>
      </x:c>
      <x:c r="M27" s="35" t="str">
        <x:v>R02·水性微境</x:v>
      </x:c>
      <x:c r="N27" s="35" t="str">
        <x:v>水主行，温润而价廉</x:v>
      </x:c>
    </x:row>
    <x:row r="28" ht="15" hidden="0" customHeight="1">
      <x:c r="A28" s="35" t="str">
        <x:v>M-ZJ-SHUI-C</x:v>
      </x:c>
      <x:c r="B28" s="35" t="str">
        <x:v>冰丝藻</x:v>
      </x:c>
      <x:c r="C28" s="35" t="str">
        <x:v>臣</x:v>
      </x:c>
      <x:c r="D28" s="35" t="str">
        <x:v>筑基</x:v>
      </x:c>
      <x:c r="E28" s="35" t="str"/>
      <x:c r="F28" s="35" t="str">
        <x:v>水</x:v>
      </x:c>
      <x:c r="G28" s="35" t="str">
        <x:v>凉</x:v>
      </x:c>
      <x:c r="H28" s="38" t="n">
        <x:v>-1</x:v>
      </x:c>
      <x:c r="I28" s="38" t="str"/>
      <x:c r="J28" s="38" t="n">
        <x:v>3</x:v>
      </x:c>
      <x:c r="K28" s="38" t="str">
        <x:v>少见</x:v>
      </x:c>
      <x:c r="L28" s="38" t="n">
        <x:v>9</x:v>
      </x:c>
      <x:c r="M28" s="35" t="str">
        <x:v>R02·水性微境</x:v>
      </x:c>
      <x:c r="N28" s="35" t="str">
        <x:v>水主行，凉清而细密</x:v>
      </x:c>
    </x:row>
    <x:row r="29" ht="15" hidden="0" customHeight="1">
      <x:c r="A29" s="35" t="str">
        <x:v>M-ZJ-HUO-P</x:v>
      </x:c>
      <x:c r="B29" s="35" t="str">
        <x:v>藏焰花</x:v>
      </x:c>
      <x:c r="C29" s="35" t="str">
        <x:v>臣</x:v>
      </x:c>
      <x:c r="D29" s="35" t="str">
        <x:v>筑基</x:v>
      </x:c>
      <x:c r="E29" s="35" t="str"/>
      <x:c r="F29" s="35" t="str">
        <x:v>火</x:v>
      </x:c>
      <x:c r="G29" s="35" t="str">
        <x:v>平</x:v>
      </x:c>
      <x:c r="H29" s="38" t="n">
        <x:v>0</x:v>
      </x:c>
      <x:c r="I29" s="38" t="str"/>
      <x:c r="J29" s="38" t="n">
        <x:v>3</x:v>
      </x:c>
      <x:c r="K29" s="38" t="str">
        <x:v>常见</x:v>
      </x:c>
      <x:c r="L29" s="38" t="n">
        <x:v>6</x:v>
      </x:c>
      <x:c r="M29" s="35" t="str">
        <x:v>R02·火性微境</x:v>
      </x:c>
      <x:c r="N29" s="35" t="str">
        <x:v>火主化，焰藏而不偏</x:v>
      </x:c>
    </x:row>
    <x:row r="30" ht="15" hidden="0" customHeight="1">
      <x:c r="A30" s="35" t="str">
        <x:v>M-ZJ-HUO-W</x:v>
      </x:c>
      <x:c r="B30" s="35" t="str">
        <x:v>赤芯花</x:v>
      </x:c>
      <x:c r="C30" s="35" t="str">
        <x:v>臣</x:v>
      </x:c>
      <x:c r="D30" s="35" t="str">
        <x:v>筑基</x:v>
      </x:c>
      <x:c r="E30" s="35" t="str"/>
      <x:c r="F30" s="35" t="str">
        <x:v>火</x:v>
      </x:c>
      <x:c r="G30" s="35" t="str">
        <x:v>温</x:v>
      </x:c>
      <x:c r="H30" s="38" t="n">
        <x:v>1</x:v>
      </x:c>
      <x:c r="I30" s="38" t="str"/>
      <x:c r="J30" s="38" t="n">
        <x:v>3</x:v>
      </x:c>
      <x:c r="K30" s="38" t="str">
        <x:v>常见</x:v>
      </x:c>
      <x:c r="L30" s="38" t="n">
        <x:v>4</x:v>
      </x:c>
      <x:c r="M30" s="35" t="str">
        <x:v>R02·火性微境</x:v>
      </x:c>
      <x:c r="N30" s="35" t="str">
        <x:v>火主化，温发而价廉</x:v>
      </x:c>
    </x:row>
    <x:row r="31" ht="15" hidden="0" customHeight="1">
      <x:c r="A31" s="35" t="str">
        <x:v>M-ZJ-HUO-C</x:v>
      </x:c>
      <x:c r="B31" s="35" t="str">
        <x:v>冷烬蕊</x:v>
      </x:c>
      <x:c r="C31" s="35" t="str">
        <x:v>臣</x:v>
      </x:c>
      <x:c r="D31" s="35" t="str">
        <x:v>筑基</x:v>
      </x:c>
      <x:c r="E31" s="35" t="str"/>
      <x:c r="F31" s="35" t="str">
        <x:v>火</x:v>
      </x:c>
      <x:c r="G31" s="35" t="str">
        <x:v>凉</x:v>
      </x:c>
      <x:c r="H31" s="38" t="n">
        <x:v>-1</x:v>
      </x:c>
      <x:c r="I31" s="38" t="str"/>
      <x:c r="J31" s="38" t="n">
        <x:v>3</x:v>
      </x:c>
      <x:c r="K31" s="38" t="str">
        <x:v>少见</x:v>
      </x:c>
      <x:c r="L31" s="38" t="n">
        <x:v>9</x:v>
      </x:c>
      <x:c r="M31" s="35" t="str">
        <x:v>R02·火性微境</x:v>
      </x:c>
      <x:c r="N31" s="35" t="str">
        <x:v>火主化，烬冷而易驭</x:v>
      </x:c>
    </x:row>
    <x:row r="32" ht="15" hidden="0" customHeight="1">
      <x:c r="A32" s="35" t="str">
        <x:v>M-ZJ-TU-P</x:v>
      </x:c>
      <x:c r="B32" s="35" t="str">
        <x:v>厚垣苔</x:v>
      </x:c>
      <x:c r="C32" s="35" t="str">
        <x:v>臣</x:v>
      </x:c>
      <x:c r="D32" s="35" t="str">
        <x:v>筑基</x:v>
      </x:c>
      <x:c r="E32" s="35" t="str"/>
      <x:c r="F32" s="35" t="str">
        <x:v>土</x:v>
      </x:c>
      <x:c r="G32" s="35" t="str">
        <x:v>平</x:v>
      </x:c>
      <x:c r="H32" s="38" t="n">
        <x:v>0</x:v>
      </x:c>
      <x:c r="I32" s="38" t="str"/>
      <x:c r="J32" s="38" t="n">
        <x:v>3</x:v>
      </x:c>
      <x:c r="K32" s="38" t="str">
        <x:v>常见</x:v>
      </x:c>
      <x:c r="L32" s="38" t="n">
        <x:v>6</x:v>
      </x:c>
      <x:c r="M32" s="35" t="str">
        <x:v>R02·土性微境</x:v>
      </x:c>
      <x:c r="N32" s="35" t="str">
        <x:v>土主藏，性平而能承</x:v>
      </x:c>
    </x:row>
    <x:row r="33" ht="15" hidden="0" customHeight="1">
      <x:c r="A33" s="35" t="str">
        <x:v>M-ZJ-TU-W</x:v>
      </x:c>
      <x:c r="B33" s="35" t="str">
        <x:v>暖壤参</x:v>
      </x:c>
      <x:c r="C33" s="35" t="str">
        <x:v>臣</x:v>
      </x:c>
      <x:c r="D33" s="35" t="str">
        <x:v>筑基</x:v>
      </x:c>
      <x:c r="E33" s="35" t="str"/>
      <x:c r="F33" s="35" t="str">
        <x:v>土</x:v>
      </x:c>
      <x:c r="G33" s="35" t="str">
        <x:v>温</x:v>
      </x:c>
      <x:c r="H33" s="38" t="n">
        <x:v>1</x:v>
      </x:c>
      <x:c r="I33" s="38" t="str"/>
      <x:c r="J33" s="38" t="n">
        <x:v>3</x:v>
      </x:c>
      <x:c r="K33" s="38" t="str">
        <x:v>常见</x:v>
      </x:c>
      <x:c r="L33" s="38" t="n">
        <x:v>4</x:v>
      </x:c>
      <x:c r="M33" s="35" t="str">
        <x:v>R02·土性微境</x:v>
      </x:c>
      <x:c r="N33" s="35" t="str">
        <x:v>土主藏，温厚而价廉</x:v>
      </x:c>
    </x:row>
    <x:row r="34" ht="15" hidden="0" customHeight="1">
      <x:c r="A34" s="35" t="str">
        <x:v>M-ZJ-TU-C</x:v>
      </x:c>
      <x:c r="B34" s="35" t="str">
        <x:v>冷砂根</x:v>
      </x:c>
      <x:c r="C34" s="35" t="str">
        <x:v>臣</x:v>
      </x:c>
      <x:c r="D34" s="35" t="str">
        <x:v>筑基</x:v>
      </x:c>
      <x:c r="E34" s="35" t="str"/>
      <x:c r="F34" s="35" t="str">
        <x:v>土</x:v>
      </x:c>
      <x:c r="G34" s="35" t="str">
        <x:v>凉</x:v>
      </x:c>
      <x:c r="H34" s="38" t="n">
        <x:v>-1</x:v>
      </x:c>
      <x:c r="I34" s="38" t="str"/>
      <x:c r="J34" s="38" t="n">
        <x:v>3</x:v>
      </x:c>
      <x:c r="K34" s="38" t="str">
        <x:v>少见</x:v>
      </x:c>
      <x:c r="L34" s="38" t="n">
        <x:v>9</x:v>
      </x:c>
      <x:c r="M34" s="35" t="str">
        <x:v>R02·土性微境</x:v>
      </x:c>
      <x:c r="N34" s="35" t="str">
        <x:v>土主藏，凉定而少躁</x:v>
      </x:c>
    </x:row>
    <x:row r="35" ht="15" hidden="0" customHeight="1">
      <x:c r="A35" s="36" t="str">
        <x:v>A-ZJ-H</x:v>
      </x:c>
      <x:c r="B35" s="36" t="str">
        <x:v>息霜苔</x:v>
      </x:c>
      <x:c r="C35" s="36" t="str">
        <x:v>佐</x:v>
      </x:c>
      <x:c r="D35" s="36" t="str">
        <x:v>筑基</x:v>
      </x:c>
      <x:c r="E35" s="36" t="str"/>
      <x:c r="F35" s="36" t="str"/>
      <x:c r="G35" s="36" t="str">
        <x:v>寒</x:v>
      </x:c>
      <x:c r="H35" s="39" t="n">
        <x:v>-2</x:v>
      </x:c>
      <x:c r="I35" s="39" t="str"/>
      <x:c r="J35" s="39" t="n">
        <x:v>3</x:v>
      </x:c>
      <x:c r="K35" s="39" t="str">
        <x:v>少见</x:v>
      </x:c>
      <x:c r="L35" s="39" t="n">
        <x:v>7</x:v>
      </x:c>
      <x:c r="M35" s="36" t="str">
        <x:v>R02·寒泉阴隙</x:v>
      </x:c>
      <x:c r="N35" s="36" t="str">
        <x:v>寒主凝息，能收亢势</x:v>
      </x:c>
    </x:row>
    <x:row r="36" ht="15" hidden="0" customHeight="1">
      <x:c r="A36" s="36" t="str">
        <x:v>A-ZJ-C</x:v>
      </x:c>
      <x:c r="B36" s="36" t="str">
        <x:v>清露叶</x:v>
      </x:c>
      <x:c r="C36" s="36" t="str">
        <x:v>佐</x:v>
      </x:c>
      <x:c r="D36" s="36" t="str">
        <x:v>筑基</x:v>
      </x:c>
      <x:c r="E36" s="36" t="str"/>
      <x:c r="F36" s="36" t="str"/>
      <x:c r="G36" s="36" t="str">
        <x:v>凉</x:v>
      </x:c>
      <x:c r="H36" s="39" t="n">
        <x:v>-1</x:v>
      </x:c>
      <x:c r="I36" s="39" t="str"/>
      <x:c r="J36" s="39" t="n">
        <x:v>3</x:v>
      </x:c>
      <x:c r="K36" s="39" t="str">
        <x:v>常见</x:v>
      </x:c>
      <x:c r="L36" s="39" t="n">
        <x:v>4</x:v>
      </x:c>
      <x:c r="M36" s="36" t="str">
        <x:v>R02·晨露林缘</x:v>
      </x:c>
      <x:c r="N36" s="36" t="str">
        <x:v>凉主清缓，能退偏热</x:v>
      </x:c>
    </x:row>
    <x:row r="37" ht="15" hidden="0" customHeight="1">
      <x:c r="A37" s="36" t="str">
        <x:v>A-ZJ-P</x:v>
      </x:c>
      <x:c r="B37" s="36" t="str">
        <x:v>中和草</x:v>
      </x:c>
      <x:c r="C37" s="36" t="str">
        <x:v>佐</x:v>
      </x:c>
      <x:c r="D37" s="36" t="str">
        <x:v>筑基</x:v>
      </x:c>
      <x:c r="E37" s="36" t="str"/>
      <x:c r="F37" s="36" t="str"/>
      <x:c r="G37" s="36" t="str">
        <x:v>平</x:v>
      </x:c>
      <x:c r="H37" s="39" t="n">
        <x:v>0</x:v>
      </x:c>
      <x:c r="I37" s="39" t="str"/>
      <x:c r="J37" s="39" t="n">
        <x:v>3</x:v>
      </x:c>
      <x:c r="K37" s="39" t="str">
        <x:v>常见</x:v>
      </x:c>
      <x:c r="L37" s="39" t="n">
        <x:v>6</x:v>
      </x:c>
      <x:c r="M37" s="36" t="str">
        <x:v>R02·平坡草地</x:v>
      </x:c>
      <x:c r="N37" s="36" t="str">
        <x:v>平主和中，不增寒热</x:v>
      </x:c>
    </x:row>
    <x:row r="38" ht="15" hidden="0" customHeight="1">
      <x:c r="A38" s="36" t="str">
        <x:v>A-ZJ-W</x:v>
      </x:c>
      <x:c r="B38" s="36" t="str">
        <x:v>暖络姜</x:v>
      </x:c>
      <x:c r="C38" s="36" t="str">
        <x:v>佐</x:v>
      </x:c>
      <x:c r="D38" s="36" t="str">
        <x:v>筑基</x:v>
      </x:c>
      <x:c r="E38" s="36" t="str"/>
      <x:c r="F38" s="36" t="str"/>
      <x:c r="G38" s="36" t="str">
        <x:v>温</x:v>
      </x:c>
      <x:c r="H38" s="39" t="n">
        <x:v>1</x:v>
      </x:c>
      <x:c r="I38" s="39" t="str"/>
      <x:c r="J38" s="39" t="n">
        <x:v>3</x:v>
      </x:c>
      <x:c r="K38" s="39" t="str">
        <x:v>常见</x:v>
      </x:c>
      <x:c r="L38" s="39" t="n">
        <x:v>5</x:v>
      </x:c>
      <x:c r="M38" s="36" t="str">
        <x:v>R02·暖土坡脚</x:v>
      </x:c>
      <x:c r="N38" s="36" t="str">
        <x:v>温主通养，能扶寒机</x:v>
      </x:c>
    </x:row>
    <x:row r="39" ht="15" hidden="0" customHeight="1">
      <x:c r="A39" s="36" t="str">
        <x:v>A-ZJ-R</x:v>
      </x:c>
      <x:c r="B39" s="36" t="str">
        <x:v>赤阳葵</x:v>
      </x:c>
      <x:c r="C39" s="36" t="str">
        <x:v>佐</x:v>
      </x:c>
      <x:c r="D39" s="36" t="str">
        <x:v>筑基</x:v>
      </x:c>
      <x:c r="E39" s="36" t="str"/>
      <x:c r="F39" s="36" t="str"/>
      <x:c r="G39" s="36" t="str">
        <x:v>热</x:v>
      </x:c>
      <x:c r="H39" s="39" t="n">
        <x:v>2</x:v>
      </x:c>
      <x:c r="I39" s="39" t="str"/>
      <x:c r="J39" s="39" t="n">
        <x:v>3</x:v>
      </x:c>
      <x:c r="K39" s="39" t="str">
        <x:v>少见</x:v>
      </x:c>
      <x:c r="L39" s="39" t="n">
        <x:v>8</x:v>
      </x:c>
      <x:c r="M39" s="36" t="str">
        <x:v>R02·赤岩日坡</x:v>
      </x:c>
      <x:c r="N39" s="36" t="str">
        <x:v>热主发烈，能催药势</x:v>
      </x:c>
    </x:row>
    <x:row r="40" ht="15" hidden="0" customHeight="1">
      <x:c r="A40" s="37" t="str">
        <x:v>E-ZJ-GAN-P</x:v>
      </x:c>
      <x:c r="B40" s="37" t="str">
        <x:v>中宫蜜</x:v>
      </x:c>
      <x:c r="C40" s="37" t="str">
        <x:v>使</x:v>
      </x:c>
      <x:c r="D40" s="37" t="str">
        <x:v>筑基</x:v>
      </x:c>
      <x:c r="E40" s="37" t="str"/>
      <x:c r="F40" s="37" t="str"/>
      <x:c r="G40" s="37" t="str">
        <x:v>平</x:v>
      </x:c>
      <x:c r="H40" s="40" t="n">
        <x:v>0</x:v>
      </x:c>
      <x:c r="I40" s="40" t="str">
        <x:v>甘</x:v>
      </x:c>
      <x:c r="J40" s="40" t="n">
        <x:v>3</x:v>
      </x:c>
      <x:c r="K40" s="40" t="str">
        <x:v>常见</x:v>
      </x:c>
      <x:c r="L40" s="40" t="n">
        <x:v>5</x:v>
      </x:c>
      <x:c r="M40" s="37" t="str">
        <x:v>R02·中宫蜜产地</x:v>
      </x:c>
      <x:c r="N40" s="37" t="str">
        <x:v>甘主丹田，性平而归中宫</x:v>
      </x:c>
    </x:row>
    <x:row r="41" ht="15" hidden="0" customHeight="1">
      <x:c r="A41" s="37" t="str">
        <x:v>E-ZJ-GAN-W</x:v>
      </x:c>
      <x:c r="B41" s="37" t="str">
        <x:v>暖脾露</x:v>
      </x:c>
      <x:c r="C41" s="37" t="str">
        <x:v>使</x:v>
      </x:c>
      <x:c r="D41" s="37" t="str">
        <x:v>筑基</x:v>
      </x:c>
      <x:c r="E41" s="37" t="str"/>
      <x:c r="F41" s="37" t="str"/>
      <x:c r="G41" s="37" t="str">
        <x:v>温</x:v>
      </x:c>
      <x:c r="H41" s="40" t="n">
        <x:v>1</x:v>
      </x:c>
      <x:c r="I41" s="40" t="str">
        <x:v>甘</x:v>
      </x:c>
      <x:c r="J41" s="40" t="n">
        <x:v>3</x:v>
      </x:c>
      <x:c r="K41" s="40" t="str">
        <x:v>少见</x:v>
      </x:c>
      <x:c r="L41" s="40" t="n">
        <x:v>9</x:v>
      </x:c>
      <x:c r="M41" s="37" t="str">
        <x:v>R02·暖脾露产地</x:v>
      </x:c>
      <x:c r="N41" s="37" t="str">
        <x:v>甘主丹田，温养而归中宫</x:v>
      </x:c>
    </x:row>
    <x:row r="42" ht="15" hidden="0" customHeight="1">
      <x:c r="A42" s="37" t="str">
        <x:v>E-ZJ-XIN-P</x:v>
      </x:c>
      <x:c r="B42" s="37" t="str">
        <x:v>行脉露</x:v>
      </x:c>
      <x:c r="C42" s="37" t="str">
        <x:v>使</x:v>
      </x:c>
      <x:c r="D42" s="37" t="str">
        <x:v>筑基</x:v>
      </x:c>
      <x:c r="E42" s="37" t="str"/>
      <x:c r="F42" s="37" t="str"/>
      <x:c r="G42" s="37" t="str">
        <x:v>平</x:v>
      </x:c>
      <x:c r="H42" s="40" t="n">
        <x:v>0</x:v>
      </x:c>
      <x:c r="I42" s="40" t="str">
        <x:v>辛</x:v>
      </x:c>
      <x:c r="J42" s="40" t="n">
        <x:v>3</x:v>
      </x:c>
      <x:c r="K42" s="40" t="str">
        <x:v>常见</x:v>
      </x:c>
      <x:c r="L42" s="40" t="n">
        <x:v>5</x:v>
      </x:c>
      <x:c r="M42" s="37" t="str">
        <x:v>R02·行脉露产地</x:v>
      </x:c>
      <x:c r="N42" s="37" t="str">
        <x:v>辛主气脉，性平而行诸窍</x:v>
      </x:c>
    </x:row>
    <x:row r="43" ht="15" hidden="0" customHeight="1">
      <x:c r="A43" s="37" t="str">
        <x:v>E-ZJ-XIN-W</x:v>
      </x:c>
      <x:c r="B43" s="37" t="str">
        <x:v>辛阳籽</x:v>
      </x:c>
      <x:c r="C43" s="37" t="str">
        <x:v>使</x:v>
      </x:c>
      <x:c r="D43" s="37" t="str">
        <x:v>筑基</x:v>
      </x:c>
      <x:c r="E43" s="37" t="str"/>
      <x:c r="F43" s="37" t="str"/>
      <x:c r="G43" s="37" t="str">
        <x:v>温</x:v>
      </x:c>
      <x:c r="H43" s="40" t="n">
        <x:v>1</x:v>
      </x:c>
      <x:c r="I43" s="40" t="str">
        <x:v>辛</x:v>
      </x:c>
      <x:c r="J43" s="40" t="n">
        <x:v>3</x:v>
      </x:c>
      <x:c r="K43" s="40" t="str">
        <x:v>少见</x:v>
      </x:c>
      <x:c r="L43" s="40" t="n">
        <x:v>9</x:v>
      </x:c>
      <x:c r="M43" s="37" t="str">
        <x:v>R02·辛阳籽产地</x:v>
      </x:c>
      <x:c r="N43" s="37" t="str">
        <x:v>辛主气脉，温发而行诸窍</x:v>
      </x:c>
    </x:row>
    <x:row r="44" ht="15" hidden="0" customHeight="1">
      <x:c r="A44" s="37" t="str">
        <x:v>E-ZJ-XIAN-P</x:v>
      </x:c>
      <x:c r="B44" s="37" t="str">
        <x:v>沉根盐草</x:v>
      </x:c>
      <x:c r="C44" s="37" t="str">
        <x:v>使</x:v>
      </x:c>
      <x:c r="D44" s="37" t="str">
        <x:v>筑基</x:v>
      </x:c>
      <x:c r="E44" s="37" t="str"/>
      <x:c r="F44" s="37" t="str"/>
      <x:c r="G44" s="37" t="str">
        <x:v>平</x:v>
      </x:c>
      <x:c r="H44" s="40" t="n">
        <x:v>0</x:v>
      </x:c>
      <x:c r="I44" s="40" t="str">
        <x:v>咸</x:v>
      </x:c>
      <x:c r="J44" s="40" t="n">
        <x:v>3</x:v>
      </x:c>
      <x:c r="K44" s="40" t="str">
        <x:v>常见</x:v>
      </x:c>
      <x:c r="L44" s="40" t="n">
        <x:v>5</x:v>
      </x:c>
      <x:c r="M44" s="37" t="str">
        <x:v>R02·沉根盐草产地</x:v>
      </x:c>
      <x:c r="N44" s="37" t="str">
        <x:v>咸主根基，性平而沉骨底</x:v>
      </x:c>
    </x:row>
    <x:row r="45" ht="15" hidden="0" customHeight="1">
      <x:c r="A45" s="37" t="str">
        <x:v>E-ZJ-XIAN-W</x:v>
      </x:c>
      <x:c r="B45" s="37" t="str">
        <x:v>暖骨藤露</x:v>
      </x:c>
      <x:c r="C45" s="37" t="str">
        <x:v>使</x:v>
      </x:c>
      <x:c r="D45" s="37" t="str">
        <x:v>筑基</x:v>
      </x:c>
      <x:c r="E45" s="37" t="str"/>
      <x:c r="F45" s="37" t="str"/>
      <x:c r="G45" s="37" t="str">
        <x:v>温</x:v>
      </x:c>
      <x:c r="H45" s="40" t="n">
        <x:v>1</x:v>
      </x:c>
      <x:c r="I45" s="40" t="str">
        <x:v>咸</x:v>
      </x:c>
      <x:c r="J45" s="40" t="n">
        <x:v>3</x:v>
      </x:c>
      <x:c r="K45" s="40" t="str">
        <x:v>少见</x:v>
      </x:c>
      <x:c r="L45" s="40" t="n">
        <x:v>9</x:v>
      </x:c>
      <x:c r="M45" s="37" t="str">
        <x:v>R02·暖骨藤露产地</x:v>
      </x:c>
      <x:c r="N45" s="37" t="str">
        <x:v>咸主根基，温养而沉骨底</x:v>
      </x:c>
    </x:row>
    <x:row r="46" ht="15" hidden="0" customHeight="1">
      <x:c r="A46" s="37" t="str">
        <x:v>E-ZJ-KU-P</x:v>
      </x:c>
      <x:c r="B46" s="37" t="str">
        <x:v>苦心露</x:v>
      </x:c>
      <x:c r="C46" s="37" t="str">
        <x:v>使</x:v>
      </x:c>
      <x:c r="D46" s="37" t="str">
        <x:v>筑基</x:v>
      </x:c>
      <x:c r="E46" s="37" t="str"/>
      <x:c r="F46" s="37" t="str"/>
      <x:c r="G46" s="37" t="str">
        <x:v>平</x:v>
      </x:c>
      <x:c r="H46" s="40" t="n">
        <x:v>0</x:v>
      </x:c>
      <x:c r="I46" s="40" t="str">
        <x:v>苦</x:v>
      </x:c>
      <x:c r="J46" s="40" t="n">
        <x:v>3</x:v>
      </x:c>
      <x:c r="K46" s="40" t="str">
        <x:v>常见</x:v>
      </x:c>
      <x:c r="L46" s="40" t="n">
        <x:v>5</x:v>
      </x:c>
      <x:c r="M46" s="37" t="str">
        <x:v>R02·苦心露产地</x:v>
      </x:c>
      <x:c r="N46" s="37" t="str">
        <x:v>苦主心神，性平而入识海</x:v>
      </x:c>
    </x:row>
    <x:row r="47" ht="15" hidden="0" customHeight="1">
      <x:c r="A47" s="37" t="str">
        <x:v>E-ZJ-KU-W</x:v>
      </x:c>
      <x:c r="B47" s="37" t="str">
        <x:v>照神茶</x:v>
      </x:c>
      <x:c r="C47" s="37" t="str">
        <x:v>使</x:v>
      </x:c>
      <x:c r="D47" s="37" t="str">
        <x:v>筑基</x:v>
      </x:c>
      <x:c r="E47" s="37" t="str"/>
      <x:c r="F47" s="37" t="str"/>
      <x:c r="G47" s="37" t="str">
        <x:v>温</x:v>
      </x:c>
      <x:c r="H47" s="40" t="n">
        <x:v>1</x:v>
      </x:c>
      <x:c r="I47" s="40" t="str">
        <x:v>苦</x:v>
      </x:c>
      <x:c r="J47" s="40" t="n">
        <x:v>3</x:v>
      </x:c>
      <x:c r="K47" s="40" t="str">
        <x:v>少见</x:v>
      </x:c>
      <x:c r="L47" s="40" t="n">
        <x:v>9</x:v>
      </x:c>
      <x:c r="M47" s="37" t="str">
        <x:v>R02·照神茶产地</x:v>
      </x:c>
      <x:c r="N47" s="37" t="str">
        <x:v>苦主心神，温明而入识海</x:v>
      </x:c>
    </x:row>
    <x:row r="48" ht="15" hidden="0" customHeight="1">
      <x:c r="A48" s="37" t="str">
        <x:v>E-ZJ-SUAN-P</x:v>
      </x:c>
      <x:c r="B48" s="37" t="str">
        <x:v>敛血梅</x:v>
      </x:c>
      <x:c r="C48" s="37" t="str">
        <x:v>使</x:v>
      </x:c>
      <x:c r="D48" s="37" t="str">
        <x:v>筑基</x:v>
      </x:c>
      <x:c r="E48" s="37" t="str"/>
      <x:c r="F48" s="37" t="str"/>
      <x:c r="G48" s="37" t="str">
        <x:v>平</x:v>
      </x:c>
      <x:c r="H48" s="40" t="n">
        <x:v>0</x:v>
      </x:c>
      <x:c r="I48" s="40" t="str">
        <x:v>酸</x:v>
      </x:c>
      <x:c r="J48" s="40" t="n">
        <x:v>3</x:v>
      </x:c>
      <x:c r="K48" s="40" t="str">
        <x:v>常见</x:v>
      </x:c>
      <x:c r="L48" s="40" t="n">
        <x:v>5</x:v>
      </x:c>
      <x:c r="M48" s="37" t="str">
        <x:v>R02·敛血梅产地</x:v>
      </x:c>
      <x:c r="N48" s="37" t="str">
        <x:v>酸主血肉，性平而续筋络</x:v>
      </x:c>
    </x:row>
    <x:row r="49" ht="15" hidden="0" customHeight="1">
      <x:c r="A49" s="37" t="str">
        <x:v>E-ZJ-SUAN-W</x:v>
      </x:c>
      <x:c r="B49" s="37" t="str">
        <x:v>红络浆</x:v>
      </x:c>
      <x:c r="C49" s="37" t="str">
        <x:v>使</x:v>
      </x:c>
      <x:c r="D49" s="37" t="str">
        <x:v>筑基</x:v>
      </x:c>
      <x:c r="E49" s="37" t="str"/>
      <x:c r="F49" s="37" t="str"/>
      <x:c r="G49" s="37" t="str">
        <x:v>温</x:v>
      </x:c>
      <x:c r="H49" s="40" t="n">
        <x:v>1</x:v>
      </x:c>
      <x:c r="I49" s="40" t="str">
        <x:v>酸</x:v>
      </x:c>
      <x:c r="J49" s="40" t="n">
        <x:v>3</x:v>
      </x:c>
      <x:c r="K49" s="40" t="str">
        <x:v>少见</x:v>
      </x:c>
      <x:c r="L49" s="40" t="n">
        <x:v>9</x:v>
      </x:c>
      <x:c r="M49" s="37" t="str">
        <x:v>R02·红络浆产地</x:v>
      </x:c>
      <x:c r="N49" s="37" t="str">
        <x:v>酸主血肉，温行而续筋络</x:v>
      </x:c>
    </x:row>
  </x:sheetData>
  <x:mergeCells>
    <x:mergeCell ref="A1:N1"/>
    <x:mergeCell ref="A2:N2"/>
  </x:mergeCells>
  <x:dataValidations count="5">
    <x:dataValidation type="list" sqref="C5:C49">
      <x:formula1>"君,臣,佐,使"</x:formula1>
    </x:dataValidation>
    <x:dataValidation type="list" sqref="F5:F49">
      <x:formula1>",金,木,水,火,土"</x:formula1>
    </x:dataValidation>
    <x:dataValidation type="list" sqref="G5:G49">
      <x:formula1>"寒,凉,平,温,热"</x:formula1>
    </x:dataValidation>
    <x:dataValidation type="list" sqref="I5:I49">
      <x:formula1>",甘,辛,咸,苦,酸"</x:formula1>
    </x:dataValidation>
    <x:dataValidation type="list" sqref="K5:K49">
      <x:formula1>"常见,少见,稀有,极稀有"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0" hidden="0" customWidth="1"/>
    <x:col min="4" max="4" width="14" hidden="0" customWidth="1"/>
    <x:col min="5" max="5" width="8" hidden="0" customWidth="1"/>
    <x:col min="6" max="6" width="16" hidden="0" customWidth="1"/>
    <x:col min="7" max="7" width="8" hidden="0" customWidth="1"/>
    <x:col min="8" max="8" width="13" hidden="0" customWidth="1"/>
    <x:col min="9" max="9" width="8" hidden="0" customWidth="1"/>
    <x:col min="10" max="10" width="17" hidden="0" customWidth="1"/>
    <x:col min="11" max="11" width="8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1" hidden="0" customWidth="1"/>
    <x:col min="20" max="20" width="10" hidden="0" customWidth="1"/>
    <x:col min="21" max="21" width="9" hidden="0" customWidth="1"/>
    <x:col min="22" max="22" width="10" hidden="0" customWidth="1"/>
    <x:col min="23" max="23" width="11" hidden="0" customWidth="1"/>
    <x:col min="24" max="24" width="12" hidden="0" customWidth="1"/>
    <x:col min="25" max="25" width="11" hidden="0" customWidth="1"/>
    <x:col min="26" max="26" width="11" hidden="0" customWidth="1"/>
    <x:col min="27" max="27" width="10" hidden="0" customWidth="1"/>
    <x:col min="28" max="28" width="37" hidden="0" customWidth="1"/>
    <x:col min="29" max="29" width="32" hidden="0" customWidth="1"/>
  </x:cols>
  <x:sheetData>
    <x:row r="1" ht="21.600000381469727" hidden="0" customHeight="1">
      <x:c r="A1" s="3" t="str">
        <x:v>认证组合子表｜一行是一张丹方的一套正式物种配法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15" hidden="0" customHeight="1">
      <x:c r="A2" s="7" t="str">
        <x:v>N只数君臣佐使四种物种组合；推荐品质和份数可调整，但调整后必须重新通过君、行、味、方性、药力与份数六项校验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</x:row>
    <x:row r="3"/>
    <x:row r="4" ht="15" hidden="0" customHeight="1">
      <x:c r="A4" s="20" t="str">
        <x:v>丹方ID</x:v>
      </x:c>
      <x:c r="B4" s="20" t="str">
        <x:v>组合号</x:v>
      </x:c>
      <x:c r="C4" s="20" t="str">
        <x:v>组合类型</x:v>
      </x:c>
      <x:c r="D4" s="20" t="str">
        <x:v>君材ID</x:v>
      </x:c>
      <x:c r="E4" s="20" t="str">
        <x:v>君份数</x:v>
      </x:c>
      <x:c r="F4" s="20" t="str">
        <x:v>臣材ID</x:v>
      </x:c>
      <x:c r="G4" s="20" t="str">
        <x:v>臣份数</x:v>
      </x:c>
      <x:c r="H4" s="20" t="str">
        <x:v>佐材ID</x:v>
      </x:c>
      <x:c r="I4" s="20" t="str">
        <x:v>佐份数</x:v>
      </x:c>
      <x:c r="J4" s="20" t="str">
        <x:v>使材ID</x:v>
      </x:c>
      <x:c r="K4" s="20" t="str">
        <x:v>使份数</x:v>
      </x:c>
      <x:c r="L4" s="20" t="str">
        <x:v>推荐品质</x:v>
      </x:c>
      <x:c r="M4" s="20" t="str">
        <x:v>药力系数</x:v>
      </x:c>
      <x:c r="N4" s="20" t="str">
        <x:v>君药校验</x:v>
      </x:c>
      <x:c r="O4" s="20" t="str">
        <x:v>臣行校验</x:v>
      </x:c>
      <x:c r="P4" s="20" t="str">
        <x:v>使味校验</x:v>
      </x:c>
      <x:c r="Q4" s="20" t="str">
        <x:v>全炉性值</x:v>
      </x:c>
      <x:c r="R4" s="20" t="str">
        <x:v>方性校验</x:v>
      </x:c>
      <x:c r="S4" s="20" t="str">
        <x:v>总药力</x:v>
      </x:c>
      <x:c r="T4" s="20" t="str">
        <x:v>药力校验</x:v>
      </x:c>
      <x:c r="U4" s="20" t="str">
        <x:v>总份数</x:v>
      </x:c>
      <x:c r="V4" s="20" t="str">
        <x:v>份数校验</x:v>
      </x:c>
      <x:c r="W4" s="20" t="str">
        <x:v>材料成本</x:v>
      </x:c>
      <x:c r="X4" s="20" t="str">
        <x:v>预期成品品质</x:v>
      </x:c>
      <x:c r="Y4" s="20" t="str">
        <x:v>预期售价</x:v>
      </x:c>
      <x:c r="Z4" s="20" t="str">
        <x:v>预期毛利</x:v>
      </x:c>
      <x:c r="AA4" s="20" t="str">
        <x:v>综合校验</x:v>
      </x:c>
      <x:c r="AB4" s="20" t="str">
        <x:v>组合身份</x:v>
      </x:c>
      <x:c r="AC4" s="20" t="str">
        <x:v>说明</x:v>
      </x:c>
    </x:row>
    <x:row r="5" ht="15" hidden="0" customHeight="1">
      <x:c r="A5" s="25" t="str">
        <x:v>F-ZJ-01</x:v>
      </x:c>
      <x:c r="B5" s="25" t="n">
        <x:v>1</x:v>
      </x:c>
      <x:c r="C5" s="25" t="str">
        <x:v>廉价解</x:v>
      </x:c>
      <x:c r="D5" s="25" t="str">
        <x:v>J-ZJ-01</x:v>
      </x:c>
      <x:c r="E5" s="25" t="n">
        <x:v>2</x:v>
      </x:c>
      <x:c r="F5" s="25" t="str">
        <x:v>M-ZJ-TU-W</x:v>
      </x:c>
      <x:c r="G5" s="25" t="n">
        <x:v>2</x:v>
      </x:c>
      <x:c r="H5" s="25" t="str">
        <x:v>A-ZJ-C</x:v>
      </x:c>
      <x:c r="I5" s="25" t="n">
        <x:v>2</x:v>
      </x:c>
      <x:c r="J5" s="25" t="str">
        <x:v>E-ZJ-GAN-P</x:v>
      </x:c>
      <x:c r="K5" s="25" t="n">
        <x:v>2</x:v>
      </x:c>
      <x:c r="L5" s="25" t="str">
        <x:v>凡</x:v>
      </x:c>
      <x:c r="M5" s="26" t="n">
        <x:f>VLOOKUP(L5,'01_参数与词典'!$A$6:$D$10,2,FALSE)</x:f>
        <x:v>1</x:v>
      </x:c>
      <x:c r="N5" s="25" t="str">
        <x:f>IF(D5=VLOOKUP(A5,'02_筑基丹方表'!$A$5:$Q$19,7,FALSE),"通过","失败")</x:f>
        <x:v>通过</x:v>
      </x:c>
      <x:c r="O5" s="25" t="str">
        <x:f>IF(VLOOKUP(F5,'03_筑基灵植表'!$A$5:$N$49,6,FALSE)=VLOOKUP(A5,'02_筑基丹方表'!$A$5:$Q$19,8,FALSE),"通过","失败")</x:f>
        <x:v>通过</x:v>
      </x:c>
      <x:c r="P5" s="25" t="str">
        <x:f>IF(VLOOKUP(J5,'03_筑基灵植表'!$A$5:$N$49,9,FALSE)=VLOOKUP(A5,'02_筑基丹方表'!$A$5:$Q$19,11,FALSE),"通过","失败")</x:f>
        <x:v>通过</x:v>
      </x:c>
      <x:c r="Q5" s="41" t="n">
        <x:f>VLOOKUP(D5,'03_筑基灵植表'!$A$5:$N$49,8,FALSE)+VLOOKUP(F5,'03_筑基灵植表'!$A$5:$N$49,8,FALSE)+VLOOKUP(H5,'03_筑基灵植表'!$A$5:$N$49,8,FALSE)+VLOOKUP(J5,'03_筑基灵植表'!$A$5:$N$49,8,FALSE)</x:f>
        <x:v>0</x:v>
      </x:c>
      <x:c r="R5" s="41" t="str">
        <x:f>IF(Q5=VLOOKUP(A5,'02_筑基丹方表'!$A$5:$Q$19,10,FALSE),"通过","失败")</x:f>
        <x:v>通过</x:v>
      </x:c>
      <x:c r="S5" s="41" t="n">
        <x:f>M5*(VLOOKUP(D5,'03_筑基灵植表'!$A$5:$N$49,10,FALSE)*E5+VLOOKUP(F5,'03_筑基灵植表'!$A$5:$N$49,10,FALSE)*G5+VLOOKUP(H5,'03_筑基灵植表'!$A$5:$N$49,10,FALSE)*I5+VLOOKUP(J5,'03_筑基灵植表'!$A$5:$N$49,10,FALSE)*K5)</x:f>
        <x:v>24</x:v>
      </x:c>
      <x:c r="T5" s="41" t="str">
        <x:f>IF(S5&gt;=VLOOKUP(A5,'02_筑基丹方表'!$A$5:$Q$19,12,FALSE),"通过","失败")</x:f>
        <x:v>通过</x:v>
      </x:c>
      <x:c r="U5" s="41" t="n">
        <x:f>SUM(E5,G5,I5,K5)</x:f>
        <x:v>8</x:v>
      </x:c>
      <x:c r="V5" s="41" t="str">
        <x:f>IF(U5&lt;=VLOOKUP(A5,'02_筑基丹方表'!$A$5:$Q$19,13,FALSE),"通过","失败")</x:f>
        <x:v>通过</x:v>
      </x:c>
      <x:c r="W5" s="41" t="n">
        <x:f>VLOOKUP(L5,'01_参数与词典'!$A$6:$D$10,3,FALSE)*(VLOOKUP(D5,'03_筑基灵植表'!$A$5:$N$49,12,FALSE)*E5+VLOOKUP(F5,'03_筑基灵植表'!$A$5:$N$49,12,FALSE)*G5+VLOOKUP(H5,'03_筑基灵植表'!$A$5:$N$49,12,FALSE)*I5+VLOOKUP(J5,'03_筑基灵植表'!$A$5:$N$49,12,FALSE)*K5)</x:f>
        <x:v>62</x:v>
      </x:c>
      <x:c r="X5" s="25" t="str">
        <x:v>凡</x:v>
      </x:c>
      <x:c r="Y5" s="41" t="n">
        <x:f>VLOOKUP(A5,'02_筑基丹方表'!$A$5:$Q$19,16,FALSE)*VLOOKUP(X5,'01_参数与词典'!$A$6:$D$10,4,FALSE)</x:f>
        <x:v>120</x:v>
      </x:c>
      <x:c r="Z5" s="41" t="n">
        <x:f>Y5-W5</x:f>
        <x:v>58</x:v>
      </x:c>
      <x:c r="AA5" s="25" t="str">
        <x:f>IF(AND(N5="通过",O5="通过",P5="通过",R5="通过",T5="通过",V5="通过"),"通过","失败")</x:f>
        <x:v>通过</x:v>
      </x:c>
      <x:c r="AB5" s="25" t="str">
        <x:f>D5&amp;"+"&amp;F5&amp;"+"&amp;H5&amp;"+"&amp;J5</x:f>
        <x:v>J-ZJ-01+M-ZJ-TU-W+A-ZJ-C+E-ZJ-GAN-P</x:v>
      </x:c>
      <x:c r="AC5" s="25" t="str">
        <x:v>廉价辅材，多占份数；适合卖药与资源紧张时</x:v>
      </x:c>
    </x:row>
    <x:row r="6" ht="15" hidden="0" customHeight="1">
      <x:c r="A6" s="25" t="str">
        <x:v>F-ZJ-01</x:v>
      </x:c>
      <x:c r="B6" s="25" t="n">
        <x:v>2</x:v>
      </x:c>
      <x:c r="C6" s="25" t="str">
        <x:v>标准解</x:v>
      </x:c>
      <x:c r="D6" s="25" t="str">
        <x:v>J-ZJ-01</x:v>
      </x:c>
      <x:c r="E6" s="25" t="n">
        <x:v>1</x:v>
      </x:c>
      <x:c r="F6" s="25" t="str">
        <x:v>M-ZJ-TU-P</x:v>
      </x:c>
      <x:c r="G6" s="25" t="n">
        <x:v>1</x:v>
      </x:c>
      <x:c r="H6" s="25" t="str">
        <x:v>A-ZJ-P</x:v>
      </x:c>
      <x:c r="I6" s="25" t="n">
        <x:v>1</x:v>
      </x:c>
      <x:c r="J6" s="25" t="str">
        <x:v>E-ZJ-GAN-P</x:v>
      </x:c>
      <x:c r="K6" s="25" t="n">
        <x:v>1</x:v>
      </x:c>
      <x:c r="L6" s="25" t="str">
        <x:v>灵</x:v>
      </x:c>
      <x:c r="M6" s="26" t="n">
        <x:f>VLOOKUP(L6,'01_参数与词典'!$A$6:$D$10,2,FALSE)</x:f>
        <x:v>2</x:v>
      </x:c>
      <x:c r="N6" s="25" t="str">
        <x:f>IF(D6=VLOOKUP(A6,'02_筑基丹方表'!$A$5:$Q$19,7,FALSE),"通过","失败")</x:f>
        <x:v>通过</x:v>
      </x:c>
      <x:c r="O6" s="25" t="str">
        <x:f>IF(VLOOKUP(F6,'03_筑基灵植表'!$A$5:$N$49,6,FALSE)=VLOOKUP(A6,'02_筑基丹方表'!$A$5:$Q$19,8,FALSE),"通过","失败")</x:f>
        <x:v>通过</x:v>
      </x:c>
      <x:c r="P6" s="25" t="str">
        <x:f>IF(VLOOKUP(J6,'03_筑基灵植表'!$A$5:$N$49,9,FALSE)=VLOOKUP(A6,'02_筑基丹方表'!$A$5:$Q$19,11,FALSE),"通过","失败")</x:f>
        <x:v>通过</x:v>
      </x:c>
      <x:c r="Q6" s="41" t="n">
        <x:f>VLOOKUP(D6,'03_筑基灵植表'!$A$5:$N$49,8,FALSE)+VLOOKUP(F6,'03_筑基灵植表'!$A$5:$N$49,8,FALSE)+VLOOKUP(H6,'03_筑基灵植表'!$A$5:$N$49,8,FALSE)+VLOOKUP(J6,'03_筑基灵植表'!$A$5:$N$49,8,FALSE)</x:f>
        <x:v>0</x:v>
      </x:c>
      <x:c r="R6" s="41" t="str">
        <x:f>IF(Q6=VLOOKUP(A6,'02_筑基丹方表'!$A$5:$Q$19,10,FALSE),"通过","失败")</x:f>
        <x:v>通过</x:v>
      </x:c>
      <x:c r="S6" s="41" t="n">
        <x:f>M6*(VLOOKUP(D6,'03_筑基灵植表'!$A$5:$N$49,10,FALSE)*E6+VLOOKUP(F6,'03_筑基灵植表'!$A$5:$N$49,10,FALSE)*G6+VLOOKUP(H6,'03_筑基灵植表'!$A$5:$N$49,10,FALSE)*I6+VLOOKUP(J6,'03_筑基灵植表'!$A$5:$N$49,10,FALSE)*K6)</x:f>
        <x:v>24</x:v>
      </x:c>
      <x:c r="T6" s="41" t="str">
        <x:f>IF(S6&gt;=VLOOKUP(A6,'02_筑基丹方表'!$A$5:$Q$19,12,FALSE),"通过","失败")</x:f>
        <x:v>通过</x:v>
      </x:c>
      <x:c r="U6" s="41" t="n">
        <x:f>SUM(E6,G6,I6,K6)</x:f>
        <x:v>4</x:v>
      </x:c>
      <x:c r="V6" s="41" t="str">
        <x:f>IF(U6&lt;=VLOOKUP(A6,'02_筑基丹方表'!$A$5:$Q$19,13,FALSE),"通过","失败")</x:f>
        <x:v>通过</x:v>
      </x:c>
      <x:c r="W6" s="41" t="n">
        <x:f>VLOOKUP(L6,'01_参数与词典'!$A$6:$D$10,3,FALSE)*(VLOOKUP(D6,'03_筑基灵植表'!$A$5:$N$49,12,FALSE)*E6+VLOOKUP(F6,'03_筑基灵植表'!$A$5:$N$49,12,FALSE)*G6+VLOOKUP(H6,'03_筑基灵植表'!$A$5:$N$49,12,FALSE)*I6+VLOOKUP(J6,'03_筑基灵植表'!$A$5:$N$49,12,FALSE)*K6)</x:f>
        <x:v>59.5</x:v>
      </x:c>
      <x:c r="X6" s="25" t="str">
        <x:v>凡</x:v>
      </x:c>
      <x:c r="Y6" s="41" t="n">
        <x:f>VLOOKUP(A6,'02_筑基丹方表'!$A$5:$Q$19,16,FALSE)*VLOOKUP(X6,'01_参数与词典'!$A$6:$D$10,4,FALSE)</x:f>
        <x:v>120</x:v>
      </x:c>
      <x:c r="Z6" s="41" t="n">
        <x:f>Y6-W6</x:f>
        <x:v>60.5</x:v>
      </x:c>
      <x:c r="AA6" s="25" t="str">
        <x:f>IF(AND(N6="通过",O6="通过",P6="通过",R6="通过",T6="通过",V6="通过"),"通过","失败")</x:f>
        <x:v>通过</x:v>
      </x:c>
      <x:c r="AB6" s="25" t="str">
        <x:f>D6&amp;"+"&amp;F6&amp;"+"&amp;H6&amp;"+"&amp;J6</x:f>
        <x:v>J-ZJ-01+M-ZJ-TU-P+A-ZJ-P+E-ZJ-GAN-P</x:v>
      </x:c>
      <x:c r="AC6" s="25" t="str">
        <x:v>四材易认、方性直观；师承默认教学解</x:v>
      </x:c>
    </x:row>
    <x:row r="7" ht="15" hidden="0" customHeight="1">
      <x:c r="A7" s="25" t="str">
        <x:v>F-ZJ-01</x:v>
      </x:c>
      <x:c r="B7" s="25" t="n">
        <x:v>3</x:v>
      </x:c>
      <x:c r="C7" s="25" t="str">
        <x:v>精炼解</x:v>
      </x:c>
      <x:c r="D7" s="25" t="str">
        <x:v>J-ZJ-01</x:v>
      </x:c>
      <x:c r="E7" s="25" t="n">
        <x:v>1</x:v>
      </x:c>
      <x:c r="F7" s="25" t="str">
        <x:v>M-ZJ-TU-C</x:v>
      </x:c>
      <x:c r="G7" s="25" t="n">
        <x:v>1</x:v>
      </x:c>
      <x:c r="H7" s="25" t="str">
        <x:v>A-ZJ-P</x:v>
      </x:c>
      <x:c r="I7" s="25" t="n">
        <x:v>1</x:v>
      </x:c>
      <x:c r="J7" s="25" t="str">
        <x:v>E-ZJ-GAN-W</x:v>
      </x:c>
      <x:c r="K7" s="25" t="n">
        <x:v>1</x:v>
      </x:c>
      <x:c r="L7" s="25" t="str">
        <x:v>玄</x:v>
      </x:c>
      <x:c r="M7" s="26" t="n">
        <x:f>VLOOKUP(L7,'01_参数与词典'!$A$6:$D$10,2,FALSE)</x:f>
        <x:v>3</x:v>
      </x:c>
      <x:c r="N7" s="25" t="str">
        <x:f>IF(D7=VLOOKUP(A7,'02_筑基丹方表'!$A$5:$Q$19,7,FALSE),"通过","失败")</x:f>
        <x:v>通过</x:v>
      </x:c>
      <x:c r="O7" s="25" t="str">
        <x:f>IF(VLOOKUP(F7,'03_筑基灵植表'!$A$5:$N$49,6,FALSE)=VLOOKUP(A7,'02_筑基丹方表'!$A$5:$Q$19,8,FALSE),"通过","失败")</x:f>
        <x:v>通过</x:v>
      </x:c>
      <x:c r="P7" s="25" t="str">
        <x:f>IF(VLOOKUP(J7,'03_筑基灵植表'!$A$5:$N$49,9,FALSE)=VLOOKUP(A7,'02_筑基丹方表'!$A$5:$Q$19,11,FALSE),"通过","失败")</x:f>
        <x:v>通过</x:v>
      </x:c>
      <x:c r="Q7" s="41" t="n">
        <x:f>VLOOKUP(D7,'03_筑基灵植表'!$A$5:$N$49,8,FALSE)+VLOOKUP(F7,'03_筑基灵植表'!$A$5:$N$49,8,FALSE)+VLOOKUP(H7,'03_筑基灵植表'!$A$5:$N$49,8,FALSE)+VLOOKUP(J7,'03_筑基灵植表'!$A$5:$N$49,8,FALSE)</x:f>
        <x:v>0</x:v>
      </x:c>
      <x:c r="R7" s="41" t="str">
        <x:f>IF(Q7=VLOOKUP(A7,'02_筑基丹方表'!$A$5:$Q$19,10,FALSE),"通过","失败")</x:f>
        <x:v>通过</x:v>
      </x:c>
      <x:c r="S7" s="41" t="n">
        <x:f>M7*(VLOOKUP(D7,'03_筑基灵植表'!$A$5:$N$49,10,FALSE)*E7+VLOOKUP(F7,'03_筑基灵植表'!$A$5:$N$49,10,FALSE)*G7+VLOOKUP(H7,'03_筑基灵植表'!$A$5:$N$49,10,FALSE)*I7+VLOOKUP(J7,'03_筑基灵植表'!$A$5:$N$49,10,FALSE)*K7)</x:f>
        <x:v>36</x:v>
      </x:c>
      <x:c r="T7" s="41" t="str">
        <x:f>IF(S7&gt;=VLOOKUP(A7,'02_筑基丹方表'!$A$5:$Q$19,12,FALSE),"通过","失败")</x:f>
        <x:v>通过</x:v>
      </x:c>
      <x:c r="U7" s="41" t="n">
        <x:f>SUM(E7,G7,I7,K7)</x:f>
        <x:v>4</x:v>
      </x:c>
      <x:c r="V7" s="41" t="str">
        <x:f>IF(U7&lt;=VLOOKUP(A7,'02_筑基丹方表'!$A$5:$Q$19,13,FALSE),"通过","失败")</x:f>
        <x:v>通过</x:v>
      </x:c>
      <x:c r="W7" s="41" t="n">
        <x:f>VLOOKUP(L7,'01_参数与词典'!$A$6:$D$10,3,FALSE)*(VLOOKUP(D7,'03_筑基灵植表'!$A$5:$N$49,12,FALSE)*E7+VLOOKUP(F7,'03_筑基灵植表'!$A$5:$N$49,12,FALSE)*G7+VLOOKUP(H7,'03_筑基灵植表'!$A$5:$N$49,12,FALSE)*I7+VLOOKUP(J7,'03_筑基灵植表'!$A$5:$N$49,12,FALSE)*K7)</x:f>
        <x:v>134.4</x:v>
      </x:c>
      <x:c r="X7" s="25" t="str">
        <x:v>灵</x:v>
      </x:c>
      <x:c r="Y7" s="41" t="n">
        <x:f>VLOOKUP(A7,'02_筑基丹方表'!$A$5:$Q$19,16,FALSE)*VLOOKUP(X7,'01_参数与词典'!$A$6:$D$10,4,FALSE)</x:f>
        <x:v>240</x:v>
      </x:c>
      <x:c r="Z7" s="41" t="n">
        <x:f>Y7-W7</x:f>
        <x:v>105.6</x:v>
      </x:c>
      <x:c r="AA7" s="25" t="str">
        <x:f>IF(AND(N7="通过",O7="通过",P7="通过",R7="通过",T7="通过",V7="通过"),"通过","失败")</x:f>
        <x:v>通过</x:v>
      </x:c>
      <x:c r="AB7" s="25" t="str">
        <x:f>D7&amp;"+"&amp;F7&amp;"+"&amp;H7&amp;"+"&amp;J7</x:f>
        <x:v>J-ZJ-01+M-ZJ-TU-C+A-ZJ-P+E-ZJ-GAN-W</x:v>
      </x:c>
      <x:c r="AC7" s="25" t="str">
        <x:v>臣凉使温相抵，药力留余；用于冲击较高品质</x:v>
      </x:c>
    </x:row>
    <x:row r="8" ht="15" hidden="0" customHeight="1">
      <x:c r="A8" s="25" t="str">
        <x:v>F-ZJ-02</x:v>
      </x:c>
      <x:c r="B8" s="25" t="n">
        <x:v>1</x:v>
      </x:c>
      <x:c r="C8" s="25" t="str">
        <x:v>廉价解</x:v>
      </x:c>
      <x:c r="D8" s="25" t="str">
        <x:v>J-ZJ-02</x:v>
      </x:c>
      <x:c r="E8" s="25" t="n">
        <x:v>2</x:v>
      </x:c>
      <x:c r="F8" s="25" t="str">
        <x:v>M-ZJ-SHUI-W</x:v>
      </x:c>
      <x:c r="G8" s="25" t="n">
        <x:v>1</x:v>
      </x:c>
      <x:c r="H8" s="25" t="str">
        <x:v>A-ZJ-C</x:v>
      </x:c>
      <x:c r="I8" s="25" t="n">
        <x:v>1</x:v>
      </x:c>
      <x:c r="J8" s="25" t="str">
        <x:v>E-ZJ-XIN-P</x:v>
      </x:c>
      <x:c r="K8" s="25" t="n">
        <x:v>1</x:v>
      </x:c>
      <x:c r="L8" s="25" t="str">
        <x:v>灵</x:v>
      </x:c>
      <x:c r="M8" s="26" t="n">
        <x:f>VLOOKUP(L8,'01_参数与词典'!$A$6:$D$10,2,FALSE)</x:f>
        <x:v>2</x:v>
      </x:c>
      <x:c r="N8" s="25" t="str">
        <x:f>IF(D8=VLOOKUP(A8,'02_筑基丹方表'!$A$5:$Q$19,7,FALSE),"通过","失败")</x:f>
        <x:v>通过</x:v>
      </x:c>
      <x:c r="O8" s="25" t="str">
        <x:f>IF(VLOOKUP(F8,'03_筑基灵植表'!$A$5:$N$49,6,FALSE)=VLOOKUP(A8,'02_筑基丹方表'!$A$5:$Q$19,8,FALSE),"通过","失败")</x:f>
        <x:v>通过</x:v>
      </x:c>
      <x:c r="P8" s="25" t="str">
        <x:f>IF(VLOOKUP(J8,'03_筑基灵植表'!$A$5:$N$49,9,FALSE)=VLOOKUP(A8,'02_筑基丹方表'!$A$5:$Q$19,11,FALSE),"通过","失败")</x:f>
        <x:v>通过</x:v>
      </x:c>
      <x:c r="Q8" s="41" t="n">
        <x:f>VLOOKUP(D8,'03_筑基灵植表'!$A$5:$N$49,8,FALSE)+VLOOKUP(F8,'03_筑基灵植表'!$A$5:$N$49,8,FALSE)+VLOOKUP(H8,'03_筑基灵植表'!$A$5:$N$49,8,FALSE)+VLOOKUP(J8,'03_筑基灵植表'!$A$5:$N$49,8,FALSE)</x:f>
        <x:v>1</x:v>
      </x:c>
      <x:c r="R8" s="41" t="str">
        <x:f>IF(Q8=VLOOKUP(A8,'02_筑基丹方表'!$A$5:$Q$19,10,FALSE),"通过","失败")</x:f>
        <x:v>通过</x:v>
      </x:c>
      <x:c r="S8" s="41" t="n">
        <x:f>M8*(VLOOKUP(D8,'03_筑基灵植表'!$A$5:$N$49,10,FALSE)*E8+VLOOKUP(F8,'03_筑基灵植表'!$A$5:$N$49,10,FALSE)*G8+VLOOKUP(H8,'03_筑基灵植表'!$A$5:$N$49,10,FALSE)*I8+VLOOKUP(J8,'03_筑基灵植表'!$A$5:$N$49,10,FALSE)*K8)</x:f>
        <x:v>30</x:v>
      </x:c>
      <x:c r="T8" s="41" t="str">
        <x:f>IF(S8&gt;=VLOOKUP(A8,'02_筑基丹方表'!$A$5:$Q$19,12,FALSE),"通过","失败")</x:f>
        <x:v>通过</x:v>
      </x:c>
      <x:c r="U8" s="41" t="n">
        <x:f>SUM(E8,G8,I8,K8)</x:f>
        <x:v>5</x:v>
      </x:c>
      <x:c r="V8" s="41" t="str">
        <x:f>IF(U8&lt;=VLOOKUP(A8,'02_筑基丹方表'!$A$5:$Q$19,13,FALSE),"通过","失败")</x:f>
        <x:v>通过</x:v>
      </x:c>
      <x:c r="W8" s="41" t="n">
        <x:f>VLOOKUP(L8,'01_参数与词典'!$A$6:$D$10,3,FALSE)*(VLOOKUP(D8,'03_筑基灵植表'!$A$5:$N$49,12,FALSE)*E8+VLOOKUP(F8,'03_筑基灵植表'!$A$5:$N$49,12,FALSE)*G8+VLOOKUP(H8,'03_筑基灵植表'!$A$5:$N$49,12,FALSE)*I8+VLOOKUP(J8,'03_筑基灵植表'!$A$5:$N$49,12,FALSE)*K8)</x:f>
        <x:v>69.7</x:v>
      </x:c>
      <x:c r="X8" s="25" t="str">
        <x:v>凡</x:v>
      </x:c>
      <x:c r="Y8" s="41" t="n">
        <x:f>VLOOKUP(A8,'02_筑基丹方表'!$A$5:$Q$19,16,FALSE)*VLOOKUP(X8,'01_参数与词典'!$A$6:$D$10,4,FALSE)</x:f>
        <x:v>130</x:v>
      </x:c>
      <x:c r="Z8" s="41" t="n">
        <x:f>Y8-W8</x:f>
        <x:v>60.3</x:v>
      </x:c>
      <x:c r="AA8" s="25" t="str">
        <x:f>IF(AND(N8="通过",O8="通过",P8="通过",R8="通过",T8="通过",V8="通过"),"通过","失败")</x:f>
        <x:v>通过</x:v>
      </x:c>
      <x:c r="AB8" s="25" t="str">
        <x:f>D8&amp;"+"&amp;F8&amp;"+"&amp;H8&amp;"+"&amp;J8</x:f>
        <x:v>J-ZJ-02+M-ZJ-SHUI-W+A-ZJ-C+E-ZJ-XIN-P</x:v>
      </x:c>
      <x:c r="AC8" s="25" t="str">
        <x:v>廉价辅材，多占份数；适合卖药与资源紧张时</x:v>
      </x:c>
    </x:row>
    <x:row r="9" ht="15" hidden="0" customHeight="1">
      <x:c r="A9" s="25" t="str">
        <x:v>F-ZJ-02</x:v>
      </x:c>
      <x:c r="B9" s="25" t="n">
        <x:v>2</x:v>
      </x:c>
      <x:c r="C9" s="25" t="str">
        <x:v>标准解</x:v>
      </x:c>
      <x:c r="D9" s="25" t="str">
        <x:v>J-ZJ-02</x:v>
      </x:c>
      <x:c r="E9" s="25" t="n">
        <x:v>2</x:v>
      </x:c>
      <x:c r="F9" s="25" t="str">
        <x:v>M-ZJ-SHUI-P</x:v>
      </x:c>
      <x:c r="G9" s="25" t="n">
        <x:v>1</x:v>
      </x:c>
      <x:c r="H9" s="25" t="str">
        <x:v>A-ZJ-P</x:v>
      </x:c>
      <x:c r="I9" s="25" t="n">
        <x:v>1</x:v>
      </x:c>
      <x:c r="J9" s="25" t="str">
        <x:v>E-ZJ-XIN-P</x:v>
      </x:c>
      <x:c r="K9" s="25" t="n">
        <x:v>1</x:v>
      </x:c>
      <x:c r="L9" s="25" t="str">
        <x:v>灵</x:v>
      </x:c>
      <x:c r="M9" s="26" t="n">
        <x:f>VLOOKUP(L9,'01_参数与词典'!$A$6:$D$10,2,FALSE)</x:f>
        <x:v>2</x:v>
      </x:c>
      <x:c r="N9" s="25" t="str">
        <x:f>IF(D9=VLOOKUP(A9,'02_筑基丹方表'!$A$5:$Q$19,7,FALSE),"通过","失败")</x:f>
        <x:v>通过</x:v>
      </x:c>
      <x:c r="O9" s="25" t="str">
        <x:f>IF(VLOOKUP(F9,'03_筑基灵植表'!$A$5:$N$49,6,FALSE)=VLOOKUP(A9,'02_筑基丹方表'!$A$5:$Q$19,8,FALSE),"通过","失败")</x:f>
        <x:v>通过</x:v>
      </x:c>
      <x:c r="P9" s="25" t="str">
        <x:f>IF(VLOOKUP(J9,'03_筑基灵植表'!$A$5:$N$49,9,FALSE)=VLOOKUP(A9,'02_筑基丹方表'!$A$5:$Q$19,11,FALSE),"通过","失败")</x:f>
        <x:v>通过</x:v>
      </x:c>
      <x:c r="Q9" s="41" t="n">
        <x:f>VLOOKUP(D9,'03_筑基灵植表'!$A$5:$N$49,8,FALSE)+VLOOKUP(F9,'03_筑基灵植表'!$A$5:$N$49,8,FALSE)+VLOOKUP(H9,'03_筑基灵植表'!$A$5:$N$49,8,FALSE)+VLOOKUP(J9,'03_筑基灵植表'!$A$5:$N$49,8,FALSE)</x:f>
        <x:v>1</x:v>
      </x:c>
      <x:c r="R9" s="41" t="str">
        <x:f>IF(Q9=VLOOKUP(A9,'02_筑基丹方表'!$A$5:$Q$19,10,FALSE),"通过","失败")</x:f>
        <x:v>通过</x:v>
      </x:c>
      <x:c r="S9" s="41" t="n">
        <x:f>M9*(VLOOKUP(D9,'03_筑基灵植表'!$A$5:$N$49,10,FALSE)*E9+VLOOKUP(F9,'03_筑基灵植表'!$A$5:$N$49,10,FALSE)*G9+VLOOKUP(H9,'03_筑基灵植表'!$A$5:$N$49,10,FALSE)*I9+VLOOKUP(J9,'03_筑基灵植表'!$A$5:$N$49,10,FALSE)*K9)</x:f>
        <x:v>30</x:v>
      </x:c>
      <x:c r="T9" s="41" t="str">
        <x:f>IF(S9&gt;=VLOOKUP(A9,'02_筑基丹方表'!$A$5:$Q$19,12,FALSE),"通过","失败")</x:f>
        <x:v>通过</x:v>
      </x:c>
      <x:c r="U9" s="41" t="n">
        <x:f>SUM(E9,G9,I9,K9)</x:f>
        <x:v>5</x:v>
      </x:c>
      <x:c r="V9" s="41" t="str">
        <x:f>IF(U9&lt;=VLOOKUP(A9,'02_筑基丹方表'!$A$5:$Q$19,13,FALSE),"通过","失败")</x:f>
        <x:v>通过</x:v>
      </x:c>
      <x:c r="W9" s="41" t="n">
        <x:f>VLOOKUP(L9,'01_参数与词典'!$A$6:$D$10,3,FALSE)*(VLOOKUP(D9,'03_筑基灵植表'!$A$5:$N$49,12,FALSE)*E9+VLOOKUP(F9,'03_筑基灵植表'!$A$5:$N$49,12,FALSE)*G9+VLOOKUP(H9,'03_筑基灵植表'!$A$5:$N$49,12,FALSE)*I9+VLOOKUP(J9,'03_筑基灵植表'!$A$5:$N$49,12,FALSE)*K9)</x:f>
        <x:v>76.5</x:v>
      </x:c>
      <x:c r="X9" s="25" t="str">
        <x:v>凡</x:v>
      </x:c>
      <x:c r="Y9" s="41" t="n">
        <x:f>VLOOKUP(A9,'02_筑基丹方表'!$A$5:$Q$19,16,FALSE)*VLOOKUP(X9,'01_参数与词典'!$A$6:$D$10,4,FALSE)</x:f>
        <x:v>130</x:v>
      </x:c>
      <x:c r="Z9" s="41" t="n">
        <x:f>Y9-W9</x:f>
        <x:v>53.5</x:v>
      </x:c>
      <x:c r="AA9" s="25" t="str">
        <x:f>IF(AND(N9="通过",O9="通过",P9="通过",R9="通过",T9="通过",V9="通过"),"通过","失败")</x:f>
        <x:v>通过</x:v>
      </x:c>
      <x:c r="AB9" s="25" t="str">
        <x:f>D9&amp;"+"&amp;F9&amp;"+"&amp;H9&amp;"+"&amp;J9</x:f>
        <x:v>J-ZJ-02+M-ZJ-SHUI-P+A-ZJ-P+E-ZJ-XIN-P</x:v>
      </x:c>
      <x:c r="AC9" s="25" t="str">
        <x:v>四材易认、方性直观；师承默认教学解</x:v>
      </x:c>
    </x:row>
    <x:row r="10" ht="15" hidden="0" customHeight="1">
      <x:c r="A10" s="25" t="str">
        <x:v>F-ZJ-02</x:v>
      </x:c>
      <x:c r="B10" s="25" t="n">
        <x:v>3</x:v>
      </x:c>
      <x:c r="C10" s="25" t="str">
        <x:v>精炼解</x:v>
      </x:c>
      <x:c r="D10" s="25" t="str">
        <x:v>J-ZJ-02</x:v>
      </x:c>
      <x:c r="E10" s="25" t="n">
        <x:v>2</x:v>
      </x:c>
      <x:c r="F10" s="25" t="str">
        <x:v>M-ZJ-SHUI-C</x:v>
      </x:c>
      <x:c r="G10" s="25" t="n">
        <x:v>1</x:v>
      </x:c>
      <x:c r="H10" s="25" t="str">
        <x:v>A-ZJ-P</x:v>
      </x:c>
      <x:c r="I10" s="25" t="n">
        <x:v>1</x:v>
      </x:c>
      <x:c r="J10" s="25" t="str">
        <x:v>E-ZJ-XIN-W</x:v>
      </x:c>
      <x:c r="K10" s="25" t="n">
        <x:v>1</x:v>
      </x:c>
      <x:c r="L10" s="25" t="str">
        <x:v>玄</x:v>
      </x:c>
      <x:c r="M10" s="26" t="n">
        <x:f>VLOOKUP(L10,'01_参数与词典'!$A$6:$D$10,2,FALSE)</x:f>
        <x:v>3</x:v>
      </x:c>
      <x:c r="N10" s="25" t="str">
        <x:f>IF(D10=VLOOKUP(A10,'02_筑基丹方表'!$A$5:$Q$19,7,FALSE),"通过","失败")</x:f>
        <x:v>通过</x:v>
      </x:c>
      <x:c r="O10" s="25" t="str">
        <x:f>IF(VLOOKUP(F10,'03_筑基灵植表'!$A$5:$N$49,6,FALSE)=VLOOKUP(A10,'02_筑基丹方表'!$A$5:$Q$19,8,FALSE),"通过","失败")</x:f>
        <x:v>通过</x:v>
      </x:c>
      <x:c r="P10" s="25" t="str">
        <x:f>IF(VLOOKUP(J10,'03_筑基灵植表'!$A$5:$N$49,9,FALSE)=VLOOKUP(A10,'02_筑基丹方表'!$A$5:$Q$19,11,FALSE),"通过","失败")</x:f>
        <x:v>通过</x:v>
      </x:c>
      <x:c r="Q10" s="41" t="n">
        <x:f>VLOOKUP(D10,'03_筑基灵植表'!$A$5:$N$49,8,FALSE)+VLOOKUP(F10,'03_筑基灵植表'!$A$5:$N$49,8,FALSE)+VLOOKUP(H10,'03_筑基灵植表'!$A$5:$N$49,8,FALSE)+VLOOKUP(J10,'03_筑基灵植表'!$A$5:$N$49,8,FALSE)</x:f>
        <x:v>1</x:v>
      </x:c>
      <x:c r="R10" s="41" t="str">
        <x:f>IF(Q10=VLOOKUP(A10,'02_筑基丹方表'!$A$5:$Q$19,10,FALSE),"通过","失败")</x:f>
        <x:v>通过</x:v>
      </x:c>
      <x:c r="S10" s="41" t="n">
        <x:f>M10*(VLOOKUP(D10,'03_筑基灵植表'!$A$5:$N$49,10,FALSE)*E10+VLOOKUP(F10,'03_筑基灵植表'!$A$5:$N$49,10,FALSE)*G10+VLOOKUP(H10,'03_筑基灵植表'!$A$5:$N$49,10,FALSE)*I10+VLOOKUP(J10,'03_筑基灵植表'!$A$5:$N$49,10,FALSE)*K10)</x:f>
        <x:v>45</x:v>
      </x:c>
      <x:c r="T10" s="41" t="str">
        <x:f>IF(S10&gt;=VLOOKUP(A10,'02_筑基丹方表'!$A$5:$Q$19,12,FALSE),"通过","失败")</x:f>
        <x:v>通过</x:v>
      </x:c>
      <x:c r="U10" s="41" t="n">
        <x:f>SUM(E10,G10,I10,K10)</x:f>
        <x:v>5</x:v>
      </x:c>
      <x:c r="V10" s="41" t="str">
        <x:f>IF(U10&lt;=VLOOKUP(A10,'02_筑基丹方表'!$A$5:$Q$19,13,FALSE),"通过","失败")</x:f>
        <x:v>通过</x:v>
      </x:c>
      <x:c r="W10" s="41" t="n">
        <x:f>VLOOKUP(L10,'01_参数与词典'!$A$6:$D$10,3,FALSE)*(VLOOKUP(D10,'03_筑基灵植表'!$A$5:$N$49,12,FALSE)*E10+VLOOKUP(F10,'03_筑基灵植表'!$A$5:$N$49,12,FALSE)*G10+VLOOKUP(H10,'03_筑基灵植表'!$A$5:$N$49,12,FALSE)*I10+VLOOKUP(J10,'03_筑基灵植表'!$A$5:$N$49,12,FALSE)*K10)</x:f>
        <x:v>166.4</x:v>
      </x:c>
      <x:c r="X10" s="25" t="str">
        <x:v>灵</x:v>
      </x:c>
      <x:c r="Y10" s="41" t="n">
        <x:f>VLOOKUP(A10,'02_筑基丹方表'!$A$5:$Q$19,16,FALSE)*VLOOKUP(X10,'01_参数与词典'!$A$6:$D$10,4,FALSE)</x:f>
        <x:v>260</x:v>
      </x:c>
      <x:c r="Z10" s="41" t="n">
        <x:f>Y10-W10</x:f>
        <x:v>93.6</x:v>
      </x:c>
      <x:c r="AA10" s="25" t="str">
        <x:f>IF(AND(N10="通过",O10="通过",P10="通过",R10="通过",T10="通过",V10="通过"),"通过","失败")</x:f>
        <x:v>通过</x:v>
      </x:c>
      <x:c r="AB10" s="25" t="str">
        <x:f>D10&amp;"+"&amp;F10&amp;"+"&amp;H10&amp;"+"&amp;J10</x:f>
        <x:v>J-ZJ-02+M-ZJ-SHUI-C+A-ZJ-P+E-ZJ-XIN-W</x:v>
      </x:c>
      <x:c r="AC10" s="25" t="str">
        <x:v>臣凉使温相抵，药力留余；用于冲击较高品质</x:v>
      </x:c>
    </x:row>
    <x:row r="11" ht="15" hidden="0" customHeight="1">
      <x:c r="A11" s="25" t="str">
        <x:v>F-ZJ-03</x:v>
      </x:c>
      <x:c r="B11" s="25" t="n">
        <x:v>1</x:v>
      </x:c>
      <x:c r="C11" s="25" t="str">
        <x:v>廉价解</x:v>
      </x:c>
      <x:c r="D11" s="25" t="str">
        <x:v>J-ZJ-03</x:v>
      </x:c>
      <x:c r="E11" s="25" t="n">
        <x:v>2</x:v>
      </x:c>
      <x:c r="F11" s="25" t="str">
        <x:v>M-ZJ-SHUI-W</x:v>
      </x:c>
      <x:c r="G11" s="25" t="n">
        <x:v>2</x:v>
      </x:c>
      <x:c r="H11" s="25" t="str">
        <x:v>A-ZJ-C</x:v>
      </x:c>
      <x:c r="I11" s="25" t="n">
        <x:v>2</x:v>
      </x:c>
      <x:c r="J11" s="25" t="str">
        <x:v>E-ZJ-XIN-P</x:v>
      </x:c>
      <x:c r="K11" s="25" t="n">
        <x:v>2</x:v>
      </x:c>
      <x:c r="L11" s="25" t="str">
        <x:v>凡</x:v>
      </x:c>
      <x:c r="M11" s="26" t="n">
        <x:f>VLOOKUP(L11,'01_参数与词典'!$A$6:$D$10,2,FALSE)</x:f>
        <x:v>1</x:v>
      </x:c>
      <x:c r="N11" s="25" t="str">
        <x:f>IF(D11=VLOOKUP(A11,'02_筑基丹方表'!$A$5:$Q$19,7,FALSE),"通过","失败")</x:f>
        <x:v>通过</x:v>
      </x:c>
      <x:c r="O11" s="25" t="str">
        <x:f>IF(VLOOKUP(F11,'03_筑基灵植表'!$A$5:$N$49,6,FALSE)=VLOOKUP(A11,'02_筑基丹方表'!$A$5:$Q$19,8,FALSE),"通过","失败")</x:f>
        <x:v>通过</x:v>
      </x:c>
      <x:c r="P11" s="25" t="str">
        <x:f>IF(VLOOKUP(J11,'03_筑基灵植表'!$A$5:$N$49,9,FALSE)=VLOOKUP(A11,'02_筑基丹方表'!$A$5:$Q$19,11,FALSE),"通过","失败")</x:f>
        <x:v>通过</x:v>
      </x:c>
      <x:c r="Q11" s="41" t="n">
        <x:f>VLOOKUP(D11,'03_筑基灵植表'!$A$5:$N$49,8,FALSE)+VLOOKUP(F11,'03_筑基灵植表'!$A$5:$N$49,8,FALSE)+VLOOKUP(H11,'03_筑基灵植表'!$A$5:$N$49,8,FALSE)+VLOOKUP(J11,'03_筑基灵植表'!$A$5:$N$49,8,FALSE)</x:f>
        <x:v>0</x:v>
      </x:c>
      <x:c r="R11" s="41" t="str">
        <x:f>IF(Q11=VLOOKUP(A11,'02_筑基丹方表'!$A$5:$Q$19,10,FALSE),"通过","失败")</x:f>
        <x:v>通过</x:v>
      </x:c>
      <x:c r="S11" s="41" t="n">
        <x:f>M11*(VLOOKUP(D11,'03_筑基灵植表'!$A$5:$N$49,10,FALSE)*E11+VLOOKUP(F11,'03_筑基灵植表'!$A$5:$N$49,10,FALSE)*G11+VLOOKUP(H11,'03_筑基灵植表'!$A$5:$N$49,10,FALSE)*I11+VLOOKUP(J11,'03_筑基灵植表'!$A$5:$N$49,10,FALSE)*K11)</x:f>
        <x:v>24</x:v>
      </x:c>
      <x:c r="T11" s="41" t="str">
        <x:f>IF(S11&gt;=VLOOKUP(A11,'02_筑基丹方表'!$A$5:$Q$19,12,FALSE),"通过","失败")</x:f>
        <x:v>通过</x:v>
      </x:c>
      <x:c r="U11" s="41" t="n">
        <x:f>SUM(E11,G11,I11,K11)</x:f>
        <x:v>8</x:v>
      </x:c>
      <x:c r="V11" s="41" t="str">
        <x:f>IF(U11&lt;=VLOOKUP(A11,'02_筑基丹方表'!$A$5:$Q$19,13,FALSE),"通过","失败")</x:f>
        <x:v>通过</x:v>
      </x:c>
      <x:c r="W11" s="41" t="n">
        <x:f>VLOOKUP(L11,'01_参数与词典'!$A$6:$D$10,3,FALSE)*(VLOOKUP(D11,'03_筑基灵植表'!$A$5:$N$49,12,FALSE)*E11+VLOOKUP(F11,'03_筑基灵植表'!$A$5:$N$49,12,FALSE)*G11+VLOOKUP(H11,'03_筑基灵植表'!$A$5:$N$49,12,FALSE)*I11+VLOOKUP(J11,'03_筑基灵植表'!$A$5:$N$49,12,FALSE)*K11)</x:f>
        <x:v>50</x:v>
      </x:c>
      <x:c r="X11" s="25" t="str">
        <x:v>凡</x:v>
      </x:c>
      <x:c r="Y11" s="41" t="n">
        <x:f>VLOOKUP(A11,'02_筑基丹方表'!$A$5:$Q$19,16,FALSE)*VLOOKUP(X11,'01_参数与词典'!$A$6:$D$10,4,FALSE)</x:f>
        <x:v>110</x:v>
      </x:c>
      <x:c r="Z11" s="41" t="n">
        <x:f>Y11-W11</x:f>
        <x:v>60</x:v>
      </x:c>
      <x:c r="AA11" s="25" t="str">
        <x:f>IF(AND(N11="通过",O11="通过",P11="通过",R11="通过",T11="通过",V11="通过"),"通过","失败")</x:f>
        <x:v>通过</x:v>
      </x:c>
      <x:c r="AB11" s="25" t="str">
        <x:f>D11&amp;"+"&amp;F11&amp;"+"&amp;H11&amp;"+"&amp;J11</x:f>
        <x:v>J-ZJ-03+M-ZJ-SHUI-W+A-ZJ-C+E-ZJ-XIN-P</x:v>
      </x:c>
      <x:c r="AC11" s="25" t="str">
        <x:v>廉价辅材，多占份数；适合卖药与资源紧张时</x:v>
      </x:c>
    </x:row>
    <x:row r="12" ht="15" hidden="0" customHeight="1">
      <x:c r="A12" s="25" t="str">
        <x:v>F-ZJ-03</x:v>
      </x:c>
      <x:c r="B12" s="25" t="n">
        <x:v>2</x:v>
      </x:c>
      <x:c r="C12" s="25" t="str">
        <x:v>标准解</x:v>
      </x:c>
      <x:c r="D12" s="25" t="str">
        <x:v>J-ZJ-03</x:v>
      </x:c>
      <x:c r="E12" s="25" t="n">
        <x:v>1</x:v>
      </x:c>
      <x:c r="F12" s="25" t="str">
        <x:v>M-ZJ-SHUI-P</x:v>
      </x:c>
      <x:c r="G12" s="25" t="n">
        <x:v>1</x:v>
      </x:c>
      <x:c r="H12" s="25" t="str">
        <x:v>A-ZJ-P</x:v>
      </x:c>
      <x:c r="I12" s="25" t="n">
        <x:v>1</x:v>
      </x:c>
      <x:c r="J12" s="25" t="str">
        <x:v>E-ZJ-XIN-P</x:v>
      </x:c>
      <x:c r="K12" s="25" t="n">
        <x:v>1</x:v>
      </x:c>
      <x:c r="L12" s="25" t="str">
        <x:v>灵</x:v>
      </x:c>
      <x:c r="M12" s="26" t="n">
        <x:f>VLOOKUP(L12,'01_参数与词典'!$A$6:$D$10,2,FALSE)</x:f>
        <x:v>2</x:v>
      </x:c>
      <x:c r="N12" s="25" t="str">
        <x:f>IF(D12=VLOOKUP(A12,'02_筑基丹方表'!$A$5:$Q$19,7,FALSE),"通过","失败")</x:f>
        <x:v>通过</x:v>
      </x:c>
      <x:c r="O12" s="25" t="str">
        <x:f>IF(VLOOKUP(F12,'03_筑基灵植表'!$A$5:$N$49,6,FALSE)=VLOOKUP(A12,'02_筑基丹方表'!$A$5:$Q$19,8,FALSE),"通过","失败")</x:f>
        <x:v>通过</x:v>
      </x:c>
      <x:c r="P12" s="25" t="str">
        <x:f>IF(VLOOKUP(J12,'03_筑基灵植表'!$A$5:$N$49,9,FALSE)=VLOOKUP(A12,'02_筑基丹方表'!$A$5:$Q$19,11,FALSE),"通过","失败")</x:f>
        <x:v>通过</x:v>
      </x:c>
      <x:c r="Q12" s="41" t="n">
        <x:f>VLOOKUP(D12,'03_筑基灵植表'!$A$5:$N$49,8,FALSE)+VLOOKUP(F12,'03_筑基灵植表'!$A$5:$N$49,8,FALSE)+VLOOKUP(H12,'03_筑基灵植表'!$A$5:$N$49,8,FALSE)+VLOOKUP(J12,'03_筑基灵植表'!$A$5:$N$49,8,FALSE)</x:f>
        <x:v>0</x:v>
      </x:c>
      <x:c r="R12" s="41" t="str">
        <x:f>IF(Q12=VLOOKUP(A12,'02_筑基丹方表'!$A$5:$Q$19,10,FALSE),"通过","失败")</x:f>
        <x:v>通过</x:v>
      </x:c>
      <x:c r="S12" s="41" t="n">
        <x:f>M12*(VLOOKUP(D12,'03_筑基灵植表'!$A$5:$N$49,10,FALSE)*E12+VLOOKUP(F12,'03_筑基灵植表'!$A$5:$N$49,10,FALSE)*G12+VLOOKUP(H12,'03_筑基灵植表'!$A$5:$N$49,10,FALSE)*I12+VLOOKUP(J12,'03_筑基灵植表'!$A$5:$N$49,10,FALSE)*K12)</x:f>
        <x:v>24</x:v>
      </x:c>
      <x:c r="T12" s="41" t="str">
        <x:f>IF(S12&gt;=VLOOKUP(A12,'02_筑基丹方表'!$A$5:$Q$19,12,FALSE),"通过","失败")</x:f>
        <x:v>通过</x:v>
      </x:c>
      <x:c r="U12" s="41" t="n">
        <x:f>SUM(E12,G12,I12,K12)</x:f>
        <x:v>4</x:v>
      </x:c>
      <x:c r="V12" s="41" t="str">
        <x:f>IF(U12&lt;=VLOOKUP(A12,'02_筑基丹方表'!$A$5:$Q$19,13,FALSE),"通过","失败")</x:f>
        <x:v>通过</x:v>
      </x:c>
      <x:c r="W12" s="41" t="n">
        <x:f>VLOOKUP(L12,'01_参数与词典'!$A$6:$D$10,3,FALSE)*(VLOOKUP(D12,'03_筑基灵植表'!$A$5:$N$49,12,FALSE)*E12+VLOOKUP(F12,'03_筑基灵植表'!$A$5:$N$49,12,FALSE)*G12+VLOOKUP(H12,'03_筑基灵植表'!$A$5:$N$49,12,FALSE)*I12+VLOOKUP(J12,'03_筑基灵植表'!$A$5:$N$49,12,FALSE)*K12)</x:f>
        <x:v>49.3</x:v>
      </x:c>
      <x:c r="X12" s="25" t="str">
        <x:v>凡</x:v>
      </x:c>
      <x:c r="Y12" s="41" t="n">
        <x:f>VLOOKUP(A12,'02_筑基丹方表'!$A$5:$Q$19,16,FALSE)*VLOOKUP(X12,'01_参数与词典'!$A$6:$D$10,4,FALSE)</x:f>
        <x:v>110</x:v>
      </x:c>
      <x:c r="Z12" s="41" t="n">
        <x:f>Y12-W12</x:f>
        <x:v>60.7</x:v>
      </x:c>
      <x:c r="AA12" s="25" t="str">
        <x:f>IF(AND(N12="通过",O12="通过",P12="通过",R12="通过",T12="通过",V12="通过"),"通过","失败")</x:f>
        <x:v>通过</x:v>
      </x:c>
      <x:c r="AB12" s="25" t="str">
        <x:f>D12&amp;"+"&amp;F12&amp;"+"&amp;H12&amp;"+"&amp;J12</x:f>
        <x:v>J-ZJ-03+M-ZJ-SHUI-P+A-ZJ-P+E-ZJ-XIN-P</x:v>
      </x:c>
      <x:c r="AC12" s="25" t="str">
        <x:v>四材易认、方性直观；师承默认教学解</x:v>
      </x:c>
    </x:row>
    <x:row r="13" ht="15" hidden="0" customHeight="1">
      <x:c r="A13" s="25" t="str">
        <x:v>F-ZJ-03</x:v>
      </x:c>
      <x:c r="B13" s="25" t="n">
        <x:v>3</x:v>
      </x:c>
      <x:c r="C13" s="25" t="str">
        <x:v>精炼解</x:v>
      </x:c>
      <x:c r="D13" s="25" t="str">
        <x:v>J-ZJ-03</x:v>
      </x:c>
      <x:c r="E13" s="25" t="n">
        <x:v>1</x:v>
      </x:c>
      <x:c r="F13" s="25" t="str">
        <x:v>M-ZJ-SHUI-C</x:v>
      </x:c>
      <x:c r="G13" s="25" t="n">
        <x:v>1</x:v>
      </x:c>
      <x:c r="H13" s="25" t="str">
        <x:v>A-ZJ-P</x:v>
      </x:c>
      <x:c r="I13" s="25" t="n">
        <x:v>1</x:v>
      </x:c>
      <x:c r="J13" s="25" t="str">
        <x:v>E-ZJ-XIN-W</x:v>
      </x:c>
      <x:c r="K13" s="25" t="n">
        <x:v>1</x:v>
      </x:c>
      <x:c r="L13" s="25" t="str">
        <x:v>玄</x:v>
      </x:c>
      <x:c r="M13" s="26" t="n">
        <x:f>VLOOKUP(L13,'01_参数与词典'!$A$6:$D$10,2,FALSE)</x:f>
        <x:v>3</x:v>
      </x:c>
      <x:c r="N13" s="25" t="str">
        <x:f>IF(D13=VLOOKUP(A13,'02_筑基丹方表'!$A$5:$Q$19,7,FALSE),"通过","失败")</x:f>
        <x:v>通过</x:v>
      </x:c>
      <x:c r="O13" s="25" t="str">
        <x:f>IF(VLOOKUP(F13,'03_筑基灵植表'!$A$5:$N$49,6,FALSE)=VLOOKUP(A13,'02_筑基丹方表'!$A$5:$Q$19,8,FALSE),"通过","失败")</x:f>
        <x:v>通过</x:v>
      </x:c>
      <x:c r="P13" s="25" t="str">
        <x:f>IF(VLOOKUP(J13,'03_筑基灵植表'!$A$5:$N$49,9,FALSE)=VLOOKUP(A13,'02_筑基丹方表'!$A$5:$Q$19,11,FALSE),"通过","失败")</x:f>
        <x:v>通过</x:v>
      </x:c>
      <x:c r="Q13" s="41" t="n">
        <x:f>VLOOKUP(D13,'03_筑基灵植表'!$A$5:$N$49,8,FALSE)+VLOOKUP(F13,'03_筑基灵植表'!$A$5:$N$49,8,FALSE)+VLOOKUP(H13,'03_筑基灵植表'!$A$5:$N$49,8,FALSE)+VLOOKUP(J13,'03_筑基灵植表'!$A$5:$N$49,8,FALSE)</x:f>
        <x:v>0</x:v>
      </x:c>
      <x:c r="R13" s="41" t="str">
        <x:f>IF(Q13=VLOOKUP(A13,'02_筑基丹方表'!$A$5:$Q$19,10,FALSE),"通过","失败")</x:f>
        <x:v>通过</x:v>
      </x:c>
      <x:c r="S13" s="41" t="n">
        <x:f>M13*(VLOOKUP(D13,'03_筑基灵植表'!$A$5:$N$49,10,FALSE)*E13+VLOOKUP(F13,'03_筑基灵植表'!$A$5:$N$49,10,FALSE)*G13+VLOOKUP(H13,'03_筑基灵植表'!$A$5:$N$49,10,FALSE)*I13+VLOOKUP(J13,'03_筑基灵植表'!$A$5:$N$49,10,FALSE)*K13)</x:f>
        <x:v>36</x:v>
      </x:c>
      <x:c r="T13" s="41" t="str">
        <x:f>IF(S13&gt;=VLOOKUP(A13,'02_筑基丹方表'!$A$5:$Q$19,12,FALSE),"通过","失败")</x:f>
        <x:v>通过</x:v>
      </x:c>
      <x:c r="U13" s="41" t="n">
        <x:f>SUM(E13,G13,I13,K13)</x:f>
        <x:v>4</x:v>
      </x:c>
      <x:c r="V13" s="41" t="str">
        <x:f>IF(U13&lt;=VLOOKUP(A13,'02_筑基丹方表'!$A$5:$Q$19,13,FALSE),"通过","失败")</x:f>
        <x:v>通过</x:v>
      </x:c>
      <x:c r="W13" s="41" t="n">
        <x:f>VLOOKUP(L13,'01_参数与词典'!$A$6:$D$10,3,FALSE)*(VLOOKUP(D13,'03_筑基灵植表'!$A$5:$N$49,12,FALSE)*E13+VLOOKUP(F13,'03_筑基灵植表'!$A$5:$N$49,12,FALSE)*G13+VLOOKUP(H13,'03_筑基灵植表'!$A$5:$N$49,12,FALSE)*I13+VLOOKUP(J13,'03_筑基灵植表'!$A$5:$N$49,12,FALSE)*K13)</x:f>
        <x:v>115.2</x:v>
      </x:c>
      <x:c r="X13" s="25" t="str">
        <x:v>灵</x:v>
      </x:c>
      <x:c r="Y13" s="41" t="n">
        <x:f>VLOOKUP(A13,'02_筑基丹方表'!$A$5:$Q$19,16,FALSE)*VLOOKUP(X13,'01_参数与词典'!$A$6:$D$10,4,FALSE)</x:f>
        <x:v>220</x:v>
      </x:c>
      <x:c r="Z13" s="41" t="n">
        <x:f>Y13-W13</x:f>
        <x:v>104.8</x:v>
      </x:c>
      <x:c r="AA13" s="25" t="str">
        <x:f>IF(AND(N13="通过",O13="通过",P13="通过",R13="通过",T13="通过",V13="通过"),"通过","失败")</x:f>
        <x:v>通过</x:v>
      </x:c>
      <x:c r="AB13" s="25" t="str">
        <x:f>D13&amp;"+"&amp;F13&amp;"+"&amp;H13&amp;"+"&amp;J13</x:f>
        <x:v>J-ZJ-03+M-ZJ-SHUI-C+A-ZJ-P+E-ZJ-XIN-W</x:v>
      </x:c>
      <x:c r="AC13" s="25" t="str">
        <x:v>臣凉使温相抵，药力留余；用于冲击较高品质</x:v>
      </x:c>
    </x:row>
    <x:row r="14" ht="15" hidden="0" customHeight="1">
      <x:c r="A14" s="25" t="str">
        <x:v>F-ZJ-04</x:v>
      </x:c>
      <x:c r="B14" s="25" t="n">
        <x:v>1</x:v>
      </x:c>
      <x:c r="C14" s="25" t="str">
        <x:v>廉价解</x:v>
      </x:c>
      <x:c r="D14" s="25" t="str">
        <x:v>J-ZJ-04</x:v>
      </x:c>
      <x:c r="E14" s="25" t="n">
        <x:v>2</x:v>
      </x:c>
      <x:c r="F14" s="25" t="str">
        <x:v>M-ZJ-MU-W</x:v>
      </x:c>
      <x:c r="G14" s="25" t="n">
        <x:v>1</x:v>
      </x:c>
      <x:c r="H14" s="25" t="str">
        <x:v>A-ZJ-C</x:v>
      </x:c>
      <x:c r="I14" s="25" t="n">
        <x:v>1</x:v>
      </x:c>
      <x:c r="J14" s="25" t="str">
        <x:v>E-ZJ-GAN-P</x:v>
      </x:c>
      <x:c r="K14" s="25" t="n">
        <x:v>1</x:v>
      </x:c>
      <x:c r="L14" s="25" t="str">
        <x:v>灵</x:v>
      </x:c>
      <x:c r="M14" s="26" t="n">
        <x:f>VLOOKUP(L14,'01_参数与词典'!$A$6:$D$10,2,FALSE)</x:f>
        <x:v>2</x:v>
      </x:c>
      <x:c r="N14" s="25" t="str">
        <x:f>IF(D14=VLOOKUP(A14,'02_筑基丹方表'!$A$5:$Q$19,7,FALSE),"通过","失败")</x:f>
        <x:v>通过</x:v>
      </x:c>
      <x:c r="O14" s="25" t="str">
        <x:f>IF(VLOOKUP(F14,'03_筑基灵植表'!$A$5:$N$49,6,FALSE)=VLOOKUP(A14,'02_筑基丹方表'!$A$5:$Q$19,8,FALSE),"通过","失败")</x:f>
        <x:v>通过</x:v>
      </x:c>
      <x:c r="P14" s="25" t="str">
        <x:f>IF(VLOOKUP(J14,'03_筑基灵植表'!$A$5:$N$49,9,FALSE)=VLOOKUP(A14,'02_筑基丹方表'!$A$5:$Q$19,11,FALSE),"通过","失败")</x:f>
        <x:v>通过</x:v>
      </x:c>
      <x:c r="Q14" s="41" t="n">
        <x:f>VLOOKUP(D14,'03_筑基灵植表'!$A$5:$N$49,8,FALSE)+VLOOKUP(F14,'03_筑基灵植表'!$A$5:$N$49,8,FALSE)+VLOOKUP(H14,'03_筑基灵植表'!$A$5:$N$49,8,FALSE)+VLOOKUP(J14,'03_筑基灵植表'!$A$5:$N$49,8,FALSE)</x:f>
        <x:v>1</x:v>
      </x:c>
      <x:c r="R14" s="41" t="str">
        <x:f>IF(Q14=VLOOKUP(A14,'02_筑基丹方表'!$A$5:$Q$19,10,FALSE),"通过","失败")</x:f>
        <x:v>通过</x:v>
      </x:c>
      <x:c r="S14" s="41" t="n">
        <x:f>M14*(VLOOKUP(D14,'03_筑基灵植表'!$A$5:$N$49,10,FALSE)*E14+VLOOKUP(F14,'03_筑基灵植表'!$A$5:$N$49,10,FALSE)*G14+VLOOKUP(H14,'03_筑基灵植表'!$A$5:$N$49,10,FALSE)*I14+VLOOKUP(J14,'03_筑基灵植表'!$A$5:$N$49,10,FALSE)*K14)</x:f>
        <x:v>30</x:v>
      </x:c>
      <x:c r="T14" s="41" t="str">
        <x:f>IF(S14&gt;=VLOOKUP(A14,'02_筑基丹方表'!$A$5:$Q$19,12,FALSE),"通过","失败")</x:f>
        <x:v>通过</x:v>
      </x:c>
      <x:c r="U14" s="41" t="n">
        <x:f>SUM(E14,G14,I14,K14)</x:f>
        <x:v>5</x:v>
      </x:c>
      <x:c r="V14" s="41" t="str">
        <x:f>IF(U14&lt;=VLOOKUP(A14,'02_筑基丹方表'!$A$5:$Q$19,13,FALSE),"通过","失败")</x:f>
        <x:v>通过</x:v>
      </x:c>
      <x:c r="W14" s="41" t="n">
        <x:f>VLOOKUP(L14,'01_参数与词典'!$A$6:$D$10,3,FALSE)*(VLOOKUP(D14,'03_筑基灵植表'!$A$5:$N$49,12,FALSE)*E14+VLOOKUP(F14,'03_筑基灵植表'!$A$5:$N$49,12,FALSE)*G14+VLOOKUP(H14,'03_筑基灵植表'!$A$5:$N$49,12,FALSE)*I14+VLOOKUP(J14,'03_筑基灵植表'!$A$5:$N$49,12,FALSE)*K14)</x:f>
        <x:v>90.1</x:v>
      </x:c>
      <x:c r="X14" s="25" t="str">
        <x:v>凡</x:v>
      </x:c>
      <x:c r="Y14" s="41" t="n">
        <x:f>VLOOKUP(A14,'02_筑基丹方表'!$A$5:$Q$19,16,FALSE)*VLOOKUP(X14,'01_参数与词典'!$A$6:$D$10,4,FALSE)</x:f>
        <x:v>180</x:v>
      </x:c>
      <x:c r="Z14" s="41" t="n">
        <x:f>Y14-W14</x:f>
        <x:v>89.9</x:v>
      </x:c>
      <x:c r="AA14" s="25" t="str">
        <x:f>IF(AND(N14="通过",O14="通过",P14="通过",R14="通过",T14="通过",V14="通过"),"通过","失败")</x:f>
        <x:v>通过</x:v>
      </x:c>
      <x:c r="AB14" s="25" t="str">
        <x:f>D14&amp;"+"&amp;F14&amp;"+"&amp;H14&amp;"+"&amp;J14</x:f>
        <x:v>J-ZJ-04+M-ZJ-MU-W+A-ZJ-C+E-ZJ-GAN-P</x:v>
      </x:c>
      <x:c r="AC14" s="25" t="str">
        <x:v>廉价辅材，多占份数；适合卖药与资源紧张时</x:v>
      </x:c>
    </x:row>
    <x:row r="15" ht="15" hidden="0" customHeight="1">
      <x:c r="A15" s="25" t="str">
        <x:v>F-ZJ-04</x:v>
      </x:c>
      <x:c r="B15" s="25" t="n">
        <x:v>2</x:v>
      </x:c>
      <x:c r="C15" s="25" t="str">
        <x:v>标准解</x:v>
      </x:c>
      <x:c r="D15" s="25" t="str">
        <x:v>J-ZJ-04</x:v>
      </x:c>
      <x:c r="E15" s="25" t="n">
        <x:v>2</x:v>
      </x:c>
      <x:c r="F15" s="25" t="str">
        <x:v>M-ZJ-MU-P</x:v>
      </x:c>
      <x:c r="G15" s="25" t="n">
        <x:v>1</x:v>
      </x:c>
      <x:c r="H15" s="25" t="str">
        <x:v>A-ZJ-P</x:v>
      </x:c>
      <x:c r="I15" s="25" t="n">
        <x:v>1</x:v>
      </x:c>
      <x:c r="J15" s="25" t="str">
        <x:v>E-ZJ-GAN-P</x:v>
      </x:c>
      <x:c r="K15" s="25" t="n">
        <x:v>1</x:v>
      </x:c>
      <x:c r="L15" s="25" t="str">
        <x:v>灵</x:v>
      </x:c>
      <x:c r="M15" s="26" t="n">
        <x:f>VLOOKUP(L15,'01_参数与词典'!$A$6:$D$10,2,FALSE)</x:f>
        <x:v>2</x:v>
      </x:c>
      <x:c r="N15" s="25" t="str">
        <x:f>IF(D15=VLOOKUP(A15,'02_筑基丹方表'!$A$5:$Q$19,7,FALSE),"通过","失败")</x:f>
        <x:v>通过</x:v>
      </x:c>
      <x:c r="O15" s="25" t="str">
        <x:f>IF(VLOOKUP(F15,'03_筑基灵植表'!$A$5:$N$49,6,FALSE)=VLOOKUP(A15,'02_筑基丹方表'!$A$5:$Q$19,8,FALSE),"通过","失败")</x:f>
        <x:v>通过</x:v>
      </x:c>
      <x:c r="P15" s="25" t="str">
        <x:f>IF(VLOOKUP(J15,'03_筑基灵植表'!$A$5:$N$49,9,FALSE)=VLOOKUP(A15,'02_筑基丹方表'!$A$5:$Q$19,11,FALSE),"通过","失败")</x:f>
        <x:v>通过</x:v>
      </x:c>
      <x:c r="Q15" s="41" t="n">
        <x:f>VLOOKUP(D15,'03_筑基灵植表'!$A$5:$N$49,8,FALSE)+VLOOKUP(F15,'03_筑基灵植表'!$A$5:$N$49,8,FALSE)+VLOOKUP(H15,'03_筑基灵植表'!$A$5:$N$49,8,FALSE)+VLOOKUP(J15,'03_筑基灵植表'!$A$5:$N$49,8,FALSE)</x:f>
        <x:v>1</x:v>
      </x:c>
      <x:c r="R15" s="41" t="str">
        <x:f>IF(Q15=VLOOKUP(A15,'02_筑基丹方表'!$A$5:$Q$19,10,FALSE),"通过","失败")</x:f>
        <x:v>通过</x:v>
      </x:c>
      <x:c r="S15" s="41" t="n">
        <x:f>M15*(VLOOKUP(D15,'03_筑基灵植表'!$A$5:$N$49,10,FALSE)*E15+VLOOKUP(F15,'03_筑基灵植表'!$A$5:$N$49,10,FALSE)*G15+VLOOKUP(H15,'03_筑基灵植表'!$A$5:$N$49,10,FALSE)*I15+VLOOKUP(J15,'03_筑基灵植表'!$A$5:$N$49,10,FALSE)*K15)</x:f>
        <x:v>30</x:v>
      </x:c>
      <x:c r="T15" s="41" t="str">
        <x:f>IF(S15&gt;=VLOOKUP(A15,'02_筑基丹方表'!$A$5:$Q$19,12,FALSE),"通过","失败")</x:f>
        <x:v>通过</x:v>
      </x:c>
      <x:c r="U15" s="41" t="n">
        <x:f>SUM(E15,G15,I15,K15)</x:f>
        <x:v>5</x:v>
      </x:c>
      <x:c r="V15" s="41" t="str">
        <x:f>IF(U15&lt;=VLOOKUP(A15,'02_筑基丹方表'!$A$5:$Q$19,13,FALSE),"通过","失败")</x:f>
        <x:v>通过</x:v>
      </x:c>
      <x:c r="W15" s="41" t="n">
        <x:f>VLOOKUP(L15,'01_参数与词典'!$A$6:$D$10,3,FALSE)*(VLOOKUP(D15,'03_筑基灵植表'!$A$5:$N$49,12,FALSE)*E15+VLOOKUP(F15,'03_筑基灵植表'!$A$5:$N$49,12,FALSE)*G15+VLOOKUP(H15,'03_筑基灵植表'!$A$5:$N$49,12,FALSE)*I15+VLOOKUP(J15,'03_筑基灵植表'!$A$5:$N$49,12,FALSE)*K15)</x:f>
        <x:v>96.89999999999999</x:v>
      </x:c>
      <x:c r="X15" s="25" t="str">
        <x:v>凡</x:v>
      </x:c>
      <x:c r="Y15" s="41" t="n">
        <x:f>VLOOKUP(A15,'02_筑基丹方表'!$A$5:$Q$19,16,FALSE)*VLOOKUP(X15,'01_参数与词典'!$A$6:$D$10,4,FALSE)</x:f>
        <x:v>180</x:v>
      </x:c>
      <x:c r="Z15" s="41" t="n">
        <x:f>Y15-W15</x:f>
        <x:v>83.10000000000001</x:v>
      </x:c>
      <x:c r="AA15" s="25" t="str">
        <x:f>IF(AND(N15="通过",O15="通过",P15="通过",R15="通过",T15="通过",V15="通过"),"通过","失败")</x:f>
        <x:v>通过</x:v>
      </x:c>
      <x:c r="AB15" s="25" t="str">
        <x:f>D15&amp;"+"&amp;F15&amp;"+"&amp;H15&amp;"+"&amp;J15</x:f>
        <x:v>J-ZJ-04+M-ZJ-MU-P+A-ZJ-P+E-ZJ-GAN-P</x:v>
      </x:c>
      <x:c r="AC15" s="25" t="str">
        <x:v>四材易认、方性直观；师承默认教学解</x:v>
      </x:c>
    </x:row>
    <x:row r="16" ht="15" hidden="0" customHeight="1">
      <x:c r="A16" s="25" t="str">
        <x:v>F-ZJ-04</x:v>
      </x:c>
      <x:c r="B16" s="25" t="n">
        <x:v>3</x:v>
      </x:c>
      <x:c r="C16" s="25" t="str">
        <x:v>精炼解</x:v>
      </x:c>
      <x:c r="D16" s="25" t="str">
        <x:v>J-ZJ-04</x:v>
      </x:c>
      <x:c r="E16" s="25" t="n">
        <x:v>2</x:v>
      </x:c>
      <x:c r="F16" s="25" t="str">
        <x:v>M-ZJ-MU-C</x:v>
      </x:c>
      <x:c r="G16" s="25" t="n">
        <x:v>1</x:v>
      </x:c>
      <x:c r="H16" s="25" t="str">
        <x:v>A-ZJ-P</x:v>
      </x:c>
      <x:c r="I16" s="25" t="n">
        <x:v>1</x:v>
      </x:c>
      <x:c r="J16" s="25" t="str">
        <x:v>E-ZJ-GAN-W</x:v>
      </x:c>
      <x:c r="K16" s="25" t="n">
        <x:v>1</x:v>
      </x:c>
      <x:c r="L16" s="25" t="str">
        <x:v>玄</x:v>
      </x:c>
      <x:c r="M16" s="26" t="n">
        <x:f>VLOOKUP(L16,'01_参数与词典'!$A$6:$D$10,2,FALSE)</x:f>
        <x:v>3</x:v>
      </x:c>
      <x:c r="N16" s="25" t="str">
        <x:f>IF(D16=VLOOKUP(A16,'02_筑基丹方表'!$A$5:$Q$19,7,FALSE),"通过","失败")</x:f>
        <x:v>通过</x:v>
      </x:c>
      <x:c r="O16" s="25" t="str">
        <x:f>IF(VLOOKUP(F16,'03_筑基灵植表'!$A$5:$N$49,6,FALSE)=VLOOKUP(A16,'02_筑基丹方表'!$A$5:$Q$19,8,FALSE),"通过","失败")</x:f>
        <x:v>通过</x:v>
      </x:c>
      <x:c r="P16" s="25" t="str">
        <x:f>IF(VLOOKUP(J16,'03_筑基灵植表'!$A$5:$N$49,9,FALSE)=VLOOKUP(A16,'02_筑基丹方表'!$A$5:$Q$19,11,FALSE),"通过","失败")</x:f>
        <x:v>通过</x:v>
      </x:c>
      <x:c r="Q16" s="41" t="n">
        <x:f>VLOOKUP(D16,'03_筑基灵植表'!$A$5:$N$49,8,FALSE)+VLOOKUP(F16,'03_筑基灵植表'!$A$5:$N$49,8,FALSE)+VLOOKUP(H16,'03_筑基灵植表'!$A$5:$N$49,8,FALSE)+VLOOKUP(J16,'03_筑基灵植表'!$A$5:$N$49,8,FALSE)</x:f>
        <x:v>1</x:v>
      </x:c>
      <x:c r="R16" s="41" t="str">
        <x:f>IF(Q16=VLOOKUP(A16,'02_筑基丹方表'!$A$5:$Q$19,10,FALSE),"通过","失败")</x:f>
        <x:v>通过</x:v>
      </x:c>
      <x:c r="S16" s="41" t="n">
        <x:f>M16*(VLOOKUP(D16,'03_筑基灵植表'!$A$5:$N$49,10,FALSE)*E16+VLOOKUP(F16,'03_筑基灵植表'!$A$5:$N$49,10,FALSE)*G16+VLOOKUP(H16,'03_筑基灵植表'!$A$5:$N$49,10,FALSE)*I16+VLOOKUP(J16,'03_筑基灵植表'!$A$5:$N$49,10,FALSE)*K16)</x:f>
        <x:v>45</x:v>
      </x:c>
      <x:c r="T16" s="41" t="str">
        <x:f>IF(S16&gt;=VLOOKUP(A16,'02_筑基丹方表'!$A$5:$Q$19,12,FALSE),"通过","失败")</x:f>
        <x:v>通过</x:v>
      </x:c>
      <x:c r="U16" s="41" t="n">
        <x:f>SUM(E16,G16,I16,K16)</x:f>
        <x:v>5</x:v>
      </x:c>
      <x:c r="V16" s="41" t="str">
        <x:f>IF(U16&lt;=VLOOKUP(A16,'02_筑基丹方表'!$A$5:$Q$19,13,FALSE),"通过","失败")</x:f>
        <x:v>通过</x:v>
      </x:c>
      <x:c r="W16" s="41" t="n">
        <x:f>VLOOKUP(L16,'01_参数与词典'!$A$6:$D$10,3,FALSE)*(VLOOKUP(D16,'03_筑基灵植表'!$A$5:$N$49,12,FALSE)*E16+VLOOKUP(F16,'03_筑基灵植表'!$A$5:$N$49,12,FALSE)*G16+VLOOKUP(H16,'03_筑基灵植表'!$A$5:$N$49,12,FALSE)*I16+VLOOKUP(J16,'03_筑基灵植表'!$A$5:$N$49,12,FALSE)*K16)</x:f>
        <x:v>204.8</x:v>
      </x:c>
      <x:c r="X16" s="25" t="str">
        <x:v>灵</x:v>
      </x:c>
      <x:c r="Y16" s="41" t="n">
        <x:f>VLOOKUP(A16,'02_筑基丹方表'!$A$5:$Q$19,16,FALSE)*VLOOKUP(X16,'01_参数与词典'!$A$6:$D$10,4,FALSE)</x:f>
        <x:v>360</x:v>
      </x:c>
      <x:c r="Z16" s="41" t="n">
        <x:f>Y16-W16</x:f>
        <x:v>155.2</x:v>
      </x:c>
      <x:c r="AA16" s="25" t="str">
        <x:f>IF(AND(N16="通过",O16="通过",P16="通过",R16="通过",T16="通过",V16="通过"),"通过","失败")</x:f>
        <x:v>通过</x:v>
      </x:c>
      <x:c r="AB16" s="25" t="str">
        <x:f>D16&amp;"+"&amp;F16&amp;"+"&amp;H16&amp;"+"&amp;J16</x:f>
        <x:v>J-ZJ-04+M-ZJ-MU-C+A-ZJ-P+E-ZJ-GAN-W</x:v>
      </x:c>
      <x:c r="AC16" s="25" t="str">
        <x:v>臣凉使温相抵，药力留余；用于冲击较高品质</x:v>
      </x:c>
    </x:row>
    <x:row r="17" ht="15" hidden="0" customHeight="1">
      <x:c r="A17" s="25" t="str">
        <x:v>F-ZJ-05</x:v>
      </x:c>
      <x:c r="B17" s="25" t="n">
        <x:v>1</x:v>
      </x:c>
      <x:c r="C17" s="25" t="str">
        <x:v>廉价解</x:v>
      </x:c>
      <x:c r="D17" s="25" t="str">
        <x:v>J-ZJ-05</x:v>
      </x:c>
      <x:c r="E17" s="25" t="n">
        <x:v>2</x:v>
      </x:c>
      <x:c r="F17" s="25" t="str">
        <x:v>M-ZJ-MU-W</x:v>
      </x:c>
      <x:c r="G17" s="25" t="n">
        <x:v>2</x:v>
      </x:c>
      <x:c r="H17" s="25" t="str">
        <x:v>A-ZJ-C</x:v>
      </x:c>
      <x:c r="I17" s="25" t="n">
        <x:v>1</x:v>
      </x:c>
      <x:c r="J17" s="25" t="str">
        <x:v>E-ZJ-GAN-P</x:v>
      </x:c>
      <x:c r="K17" s="25" t="n">
        <x:v>1</x:v>
      </x:c>
      <x:c r="L17" s="25" t="str">
        <x:v>灵</x:v>
      </x:c>
      <x:c r="M17" s="26" t="n">
        <x:f>VLOOKUP(L17,'01_参数与词典'!$A$6:$D$10,2,FALSE)</x:f>
        <x:v>2</x:v>
      </x:c>
      <x:c r="N17" s="25" t="str">
        <x:f>IF(D17=VLOOKUP(A17,'02_筑基丹方表'!$A$5:$Q$19,7,FALSE),"通过","失败")</x:f>
        <x:v>通过</x:v>
      </x:c>
      <x:c r="O17" s="25" t="str">
        <x:f>IF(VLOOKUP(F17,'03_筑基灵植表'!$A$5:$N$49,6,FALSE)=VLOOKUP(A17,'02_筑基丹方表'!$A$5:$Q$19,8,FALSE),"通过","失败")</x:f>
        <x:v>通过</x:v>
      </x:c>
      <x:c r="P17" s="25" t="str">
        <x:f>IF(VLOOKUP(J17,'03_筑基灵植表'!$A$5:$N$49,9,FALSE)=VLOOKUP(A17,'02_筑基丹方表'!$A$5:$Q$19,11,FALSE),"通过","失败")</x:f>
        <x:v>通过</x:v>
      </x:c>
      <x:c r="Q17" s="41" t="n">
        <x:f>VLOOKUP(D17,'03_筑基灵植表'!$A$5:$N$49,8,FALSE)+VLOOKUP(F17,'03_筑基灵植表'!$A$5:$N$49,8,FALSE)+VLOOKUP(H17,'03_筑基灵植表'!$A$5:$N$49,8,FALSE)+VLOOKUP(J17,'03_筑基灵植表'!$A$5:$N$49,8,FALSE)</x:f>
        <x:v>2</x:v>
      </x:c>
      <x:c r="R17" s="41" t="str">
        <x:f>IF(Q17=VLOOKUP(A17,'02_筑基丹方表'!$A$5:$Q$19,10,FALSE),"通过","失败")</x:f>
        <x:v>通过</x:v>
      </x:c>
      <x:c r="S17" s="41" t="n">
        <x:f>M17*(VLOOKUP(D17,'03_筑基灵植表'!$A$5:$N$49,10,FALSE)*E17+VLOOKUP(F17,'03_筑基灵植表'!$A$5:$N$49,10,FALSE)*G17+VLOOKUP(H17,'03_筑基灵植表'!$A$5:$N$49,10,FALSE)*I17+VLOOKUP(J17,'03_筑基灵植表'!$A$5:$N$49,10,FALSE)*K17)</x:f>
        <x:v>36</x:v>
      </x:c>
      <x:c r="T17" s="41" t="str">
        <x:f>IF(S17&gt;=VLOOKUP(A17,'02_筑基丹方表'!$A$5:$Q$19,12,FALSE),"通过","失败")</x:f>
        <x:v>通过</x:v>
      </x:c>
      <x:c r="U17" s="41" t="n">
        <x:f>SUM(E17,G17,I17,K17)</x:f>
        <x:v>6</x:v>
      </x:c>
      <x:c r="V17" s="41" t="str">
        <x:f>IF(U17&lt;=VLOOKUP(A17,'02_筑基丹方表'!$A$5:$Q$19,13,FALSE),"通过","失败")</x:f>
        <x:v>通过</x:v>
      </x:c>
      <x:c r="W17" s="41" t="n">
        <x:f>VLOOKUP(L17,'01_参数与词典'!$A$6:$D$10,3,FALSE)*(VLOOKUP(D17,'03_筑基灵植表'!$A$5:$N$49,12,FALSE)*E17+VLOOKUP(F17,'03_筑基灵植表'!$A$5:$N$49,12,FALSE)*G17+VLOOKUP(H17,'03_筑基灵植表'!$A$5:$N$49,12,FALSE)*I17+VLOOKUP(J17,'03_筑基灵植表'!$A$5:$N$49,12,FALSE)*K17)</x:f>
        <x:v>130.9</x:v>
      </x:c>
      <x:c r="X17" s="25" t="str">
        <x:v>凡</x:v>
      </x:c>
      <x:c r="Y17" s="41" t="n">
        <x:f>VLOOKUP(A17,'02_筑基丹方表'!$A$5:$Q$19,16,FALSE)*VLOOKUP(X17,'01_参数与词典'!$A$6:$D$10,4,FALSE)</x:f>
        <x:v>300</x:v>
      </x:c>
      <x:c r="Z17" s="41" t="n">
        <x:f>Y17-W17</x:f>
        <x:v>169.1</x:v>
      </x:c>
      <x:c r="AA17" s="25" t="str">
        <x:f>IF(AND(N17="通过",O17="通过",P17="通过",R17="通过",T17="通过",V17="通过"),"通过","失败")</x:f>
        <x:v>通过</x:v>
      </x:c>
      <x:c r="AB17" s="25" t="str">
        <x:f>D17&amp;"+"&amp;F17&amp;"+"&amp;H17&amp;"+"&amp;J17</x:f>
        <x:v>J-ZJ-05+M-ZJ-MU-W+A-ZJ-C+E-ZJ-GAN-P</x:v>
      </x:c>
      <x:c r="AC17" s="25" t="str">
        <x:v>廉价辅材，多占份数；适合卖药与资源紧张时</x:v>
      </x:c>
    </x:row>
    <x:row r="18" ht="15" hidden="0" customHeight="1">
      <x:c r="A18" s="25" t="str">
        <x:v>F-ZJ-05</x:v>
      </x:c>
      <x:c r="B18" s="25" t="n">
        <x:v>2</x:v>
      </x:c>
      <x:c r="C18" s="25" t="str">
        <x:v>标准解</x:v>
      </x:c>
      <x:c r="D18" s="25" t="str">
        <x:v>J-ZJ-05</x:v>
      </x:c>
      <x:c r="E18" s="25" t="n">
        <x:v>2</x:v>
      </x:c>
      <x:c r="F18" s="25" t="str">
        <x:v>M-ZJ-MU-P</x:v>
      </x:c>
      <x:c r="G18" s="25" t="n">
        <x:v>2</x:v>
      </x:c>
      <x:c r="H18" s="25" t="str">
        <x:v>A-ZJ-P</x:v>
      </x:c>
      <x:c r="I18" s="25" t="n">
        <x:v>1</x:v>
      </x:c>
      <x:c r="J18" s="25" t="str">
        <x:v>E-ZJ-GAN-P</x:v>
      </x:c>
      <x:c r="K18" s="25" t="n">
        <x:v>1</x:v>
      </x:c>
      <x:c r="L18" s="25" t="str">
        <x:v>灵</x:v>
      </x:c>
      <x:c r="M18" s="26" t="n">
        <x:f>VLOOKUP(L18,'01_参数与词典'!$A$6:$D$10,2,FALSE)</x:f>
        <x:v>2</x:v>
      </x:c>
      <x:c r="N18" s="25" t="str">
        <x:f>IF(D18=VLOOKUP(A18,'02_筑基丹方表'!$A$5:$Q$19,7,FALSE),"通过","失败")</x:f>
        <x:v>通过</x:v>
      </x:c>
      <x:c r="O18" s="25" t="str">
        <x:f>IF(VLOOKUP(F18,'03_筑基灵植表'!$A$5:$N$49,6,FALSE)=VLOOKUP(A18,'02_筑基丹方表'!$A$5:$Q$19,8,FALSE),"通过","失败")</x:f>
        <x:v>通过</x:v>
      </x:c>
      <x:c r="P18" s="25" t="str">
        <x:f>IF(VLOOKUP(J18,'03_筑基灵植表'!$A$5:$N$49,9,FALSE)=VLOOKUP(A18,'02_筑基丹方表'!$A$5:$Q$19,11,FALSE),"通过","失败")</x:f>
        <x:v>通过</x:v>
      </x:c>
      <x:c r="Q18" s="41" t="n">
        <x:f>VLOOKUP(D18,'03_筑基灵植表'!$A$5:$N$49,8,FALSE)+VLOOKUP(F18,'03_筑基灵植表'!$A$5:$N$49,8,FALSE)+VLOOKUP(H18,'03_筑基灵植表'!$A$5:$N$49,8,FALSE)+VLOOKUP(J18,'03_筑基灵植表'!$A$5:$N$49,8,FALSE)</x:f>
        <x:v>2</x:v>
      </x:c>
      <x:c r="R18" s="41" t="str">
        <x:f>IF(Q18=VLOOKUP(A18,'02_筑基丹方表'!$A$5:$Q$19,10,FALSE),"通过","失败")</x:f>
        <x:v>通过</x:v>
      </x:c>
      <x:c r="S18" s="41" t="n">
        <x:f>M18*(VLOOKUP(D18,'03_筑基灵植表'!$A$5:$N$49,10,FALSE)*E18+VLOOKUP(F18,'03_筑基灵植表'!$A$5:$N$49,10,FALSE)*G18+VLOOKUP(H18,'03_筑基灵植表'!$A$5:$N$49,10,FALSE)*I18+VLOOKUP(J18,'03_筑基灵植表'!$A$5:$N$49,10,FALSE)*K18)</x:f>
        <x:v>36</x:v>
      </x:c>
      <x:c r="T18" s="41" t="str">
        <x:f>IF(S18&gt;=VLOOKUP(A18,'02_筑基丹方表'!$A$5:$Q$19,12,FALSE),"通过","失败")</x:f>
        <x:v>通过</x:v>
      </x:c>
      <x:c r="U18" s="41" t="n">
        <x:f>SUM(E18,G18,I18,K18)</x:f>
        <x:v>6</x:v>
      </x:c>
      <x:c r="V18" s="41" t="str">
        <x:f>IF(U18&lt;=VLOOKUP(A18,'02_筑基丹方表'!$A$5:$Q$19,13,FALSE),"通过","失败")</x:f>
        <x:v>通过</x:v>
      </x:c>
      <x:c r="W18" s="41" t="n">
        <x:f>VLOOKUP(L18,'01_参数与词典'!$A$6:$D$10,3,FALSE)*(VLOOKUP(D18,'03_筑基灵植表'!$A$5:$N$49,12,FALSE)*E18+VLOOKUP(F18,'03_筑基灵植表'!$A$5:$N$49,12,FALSE)*G18+VLOOKUP(H18,'03_筑基灵植表'!$A$5:$N$49,12,FALSE)*I18+VLOOKUP(J18,'03_筑基灵植表'!$A$5:$N$49,12,FALSE)*K18)</x:f>
        <x:v>141.1</x:v>
      </x:c>
      <x:c r="X18" s="25" t="str">
        <x:v>凡</x:v>
      </x:c>
      <x:c r="Y18" s="41" t="n">
        <x:f>VLOOKUP(A18,'02_筑基丹方表'!$A$5:$Q$19,16,FALSE)*VLOOKUP(X18,'01_参数与词典'!$A$6:$D$10,4,FALSE)</x:f>
        <x:v>300</x:v>
      </x:c>
      <x:c r="Z18" s="41" t="n">
        <x:f>Y18-W18</x:f>
        <x:v>158.9</x:v>
      </x:c>
      <x:c r="AA18" s="25" t="str">
        <x:f>IF(AND(N18="通过",O18="通过",P18="通过",R18="通过",T18="通过",V18="通过"),"通过","失败")</x:f>
        <x:v>通过</x:v>
      </x:c>
      <x:c r="AB18" s="25" t="str">
        <x:f>D18&amp;"+"&amp;F18&amp;"+"&amp;H18&amp;"+"&amp;J18</x:f>
        <x:v>J-ZJ-05+M-ZJ-MU-P+A-ZJ-P+E-ZJ-GAN-P</x:v>
      </x:c>
      <x:c r="AC18" s="25" t="str">
        <x:v>四材易认、方性直观；师承默认教学解</x:v>
      </x:c>
    </x:row>
    <x:row r="19" ht="15" hidden="0" customHeight="1">
      <x:c r="A19" s="25" t="str">
        <x:v>F-ZJ-05</x:v>
      </x:c>
      <x:c r="B19" s="25" t="n">
        <x:v>3</x:v>
      </x:c>
      <x:c r="C19" s="25" t="str">
        <x:v>精炼解</x:v>
      </x:c>
      <x:c r="D19" s="25" t="str">
        <x:v>J-ZJ-05</x:v>
      </x:c>
      <x:c r="E19" s="25" t="n">
        <x:v>2</x:v>
      </x:c>
      <x:c r="F19" s="25" t="str">
        <x:v>M-ZJ-MU-C</x:v>
      </x:c>
      <x:c r="G19" s="25" t="n">
        <x:v>2</x:v>
      </x:c>
      <x:c r="H19" s="25" t="str">
        <x:v>A-ZJ-P</x:v>
      </x:c>
      <x:c r="I19" s="25" t="n">
        <x:v>1</x:v>
      </x:c>
      <x:c r="J19" s="25" t="str">
        <x:v>E-ZJ-GAN-W</x:v>
      </x:c>
      <x:c r="K19" s="25" t="n">
        <x:v>1</x:v>
      </x:c>
      <x:c r="L19" s="25" t="str">
        <x:v>玄</x:v>
      </x:c>
      <x:c r="M19" s="26" t="n">
        <x:f>VLOOKUP(L19,'01_参数与词典'!$A$6:$D$10,2,FALSE)</x:f>
        <x:v>3</x:v>
      </x:c>
      <x:c r="N19" s="25" t="str">
        <x:f>IF(D19=VLOOKUP(A19,'02_筑基丹方表'!$A$5:$Q$19,7,FALSE),"通过","失败")</x:f>
        <x:v>通过</x:v>
      </x:c>
      <x:c r="O19" s="25" t="str">
        <x:f>IF(VLOOKUP(F19,'03_筑基灵植表'!$A$5:$N$49,6,FALSE)=VLOOKUP(A19,'02_筑基丹方表'!$A$5:$Q$19,8,FALSE),"通过","失败")</x:f>
        <x:v>通过</x:v>
      </x:c>
      <x:c r="P19" s="25" t="str">
        <x:f>IF(VLOOKUP(J19,'03_筑基灵植表'!$A$5:$N$49,9,FALSE)=VLOOKUP(A19,'02_筑基丹方表'!$A$5:$Q$19,11,FALSE),"通过","失败")</x:f>
        <x:v>通过</x:v>
      </x:c>
      <x:c r="Q19" s="41" t="n">
        <x:f>VLOOKUP(D19,'03_筑基灵植表'!$A$5:$N$49,8,FALSE)+VLOOKUP(F19,'03_筑基灵植表'!$A$5:$N$49,8,FALSE)+VLOOKUP(H19,'03_筑基灵植表'!$A$5:$N$49,8,FALSE)+VLOOKUP(J19,'03_筑基灵植表'!$A$5:$N$49,8,FALSE)</x:f>
        <x:v>2</x:v>
      </x:c>
      <x:c r="R19" s="41" t="str">
        <x:f>IF(Q19=VLOOKUP(A19,'02_筑基丹方表'!$A$5:$Q$19,10,FALSE),"通过","失败")</x:f>
        <x:v>通过</x:v>
      </x:c>
      <x:c r="S19" s="41" t="n">
        <x:f>M19*(VLOOKUP(D19,'03_筑基灵植表'!$A$5:$N$49,10,FALSE)*E19+VLOOKUP(F19,'03_筑基灵植表'!$A$5:$N$49,10,FALSE)*G19+VLOOKUP(H19,'03_筑基灵植表'!$A$5:$N$49,10,FALSE)*I19+VLOOKUP(J19,'03_筑基灵植表'!$A$5:$N$49,10,FALSE)*K19)</x:f>
        <x:v>54</x:v>
      </x:c>
      <x:c r="T19" s="41" t="str">
        <x:f>IF(S19&gt;=VLOOKUP(A19,'02_筑基丹方表'!$A$5:$Q$19,12,FALSE),"通过","失败")</x:f>
        <x:v>通过</x:v>
      </x:c>
      <x:c r="U19" s="41" t="n">
        <x:f>SUM(E19,G19,I19,K19)</x:f>
        <x:v>6</x:v>
      </x:c>
      <x:c r="V19" s="41" t="str">
        <x:f>IF(U19&lt;=VLOOKUP(A19,'02_筑基丹方表'!$A$5:$Q$19,13,FALSE),"通过","失败")</x:f>
        <x:v>通过</x:v>
      </x:c>
      <x:c r="W19" s="41" t="n">
        <x:f>VLOOKUP(L19,'01_参数与词典'!$A$6:$D$10,3,FALSE)*(VLOOKUP(D19,'03_筑基灵植表'!$A$5:$N$49,12,FALSE)*E19+VLOOKUP(F19,'03_筑基灵植表'!$A$5:$N$49,12,FALSE)*G19+VLOOKUP(H19,'03_筑基灵植表'!$A$5:$N$49,12,FALSE)*I19+VLOOKUP(J19,'03_筑基灵植表'!$A$5:$N$49,12,FALSE)*K19)</x:f>
        <x:v>297.6</x:v>
      </x:c>
      <x:c r="X19" s="25" t="str">
        <x:v>灵</x:v>
      </x:c>
      <x:c r="Y19" s="41" t="n">
        <x:f>VLOOKUP(A19,'02_筑基丹方表'!$A$5:$Q$19,16,FALSE)*VLOOKUP(X19,'01_参数与词典'!$A$6:$D$10,4,FALSE)</x:f>
        <x:v>600</x:v>
      </x:c>
      <x:c r="Z19" s="41" t="n">
        <x:f>Y19-W19</x:f>
        <x:v>302.4</x:v>
      </x:c>
      <x:c r="AA19" s="25" t="str">
        <x:f>IF(AND(N19="通过",O19="通过",P19="通过",R19="通过",T19="通过",V19="通过"),"通过","失败")</x:f>
        <x:v>通过</x:v>
      </x:c>
      <x:c r="AB19" s="25" t="str">
        <x:f>D19&amp;"+"&amp;F19&amp;"+"&amp;H19&amp;"+"&amp;J19</x:f>
        <x:v>J-ZJ-05+M-ZJ-MU-C+A-ZJ-P+E-ZJ-GAN-W</x:v>
      </x:c>
      <x:c r="AC19" s="25" t="str">
        <x:v>臣凉使温相抵，药力留余；用于冲击较高品质</x:v>
      </x:c>
    </x:row>
    <x:row r="20" ht="15" hidden="0" customHeight="1">
      <x:c r="A20" s="25" t="str">
        <x:v>F-ZJ-06</x:v>
      </x:c>
      <x:c r="B20" s="25" t="n">
        <x:v>1</x:v>
      </x:c>
      <x:c r="C20" s="25" t="str">
        <x:v>廉价解</x:v>
      </x:c>
      <x:c r="D20" s="25" t="str">
        <x:v>J-ZJ-06</x:v>
      </x:c>
      <x:c r="E20" s="25" t="n">
        <x:v>2</x:v>
      </x:c>
      <x:c r="F20" s="25" t="str">
        <x:v>M-ZJ-MU-W</x:v>
      </x:c>
      <x:c r="G20" s="25" t="n">
        <x:v>1</x:v>
      </x:c>
      <x:c r="H20" s="25" t="str">
        <x:v>A-ZJ-C</x:v>
      </x:c>
      <x:c r="I20" s="25" t="n">
        <x:v>1</x:v>
      </x:c>
      <x:c r="J20" s="25" t="str">
        <x:v>E-ZJ-SUAN-P</x:v>
      </x:c>
      <x:c r="K20" s="25" t="n">
        <x:v>1</x:v>
      </x:c>
      <x:c r="L20" s="25" t="str">
        <x:v>灵</x:v>
      </x:c>
      <x:c r="M20" s="26" t="n">
        <x:f>VLOOKUP(L20,'01_参数与词典'!$A$6:$D$10,2,FALSE)</x:f>
        <x:v>2</x:v>
      </x:c>
      <x:c r="N20" s="25" t="str">
        <x:f>IF(D20=VLOOKUP(A20,'02_筑基丹方表'!$A$5:$Q$19,7,FALSE),"通过","失败")</x:f>
        <x:v>通过</x:v>
      </x:c>
      <x:c r="O20" s="25" t="str">
        <x:f>IF(VLOOKUP(F20,'03_筑基灵植表'!$A$5:$N$49,6,FALSE)=VLOOKUP(A20,'02_筑基丹方表'!$A$5:$Q$19,8,FALSE),"通过","失败")</x:f>
        <x:v>通过</x:v>
      </x:c>
      <x:c r="P20" s="25" t="str">
        <x:f>IF(VLOOKUP(J20,'03_筑基灵植表'!$A$5:$N$49,9,FALSE)=VLOOKUP(A20,'02_筑基丹方表'!$A$5:$Q$19,11,FALSE),"通过","失败")</x:f>
        <x:v>通过</x:v>
      </x:c>
      <x:c r="Q20" s="41" t="n">
        <x:f>VLOOKUP(D20,'03_筑基灵植表'!$A$5:$N$49,8,FALSE)+VLOOKUP(F20,'03_筑基灵植表'!$A$5:$N$49,8,FALSE)+VLOOKUP(H20,'03_筑基灵植表'!$A$5:$N$49,8,FALSE)+VLOOKUP(J20,'03_筑基灵植表'!$A$5:$N$49,8,FALSE)</x:f>
        <x:v>1</x:v>
      </x:c>
      <x:c r="R20" s="41" t="str">
        <x:f>IF(Q20=VLOOKUP(A20,'02_筑基丹方表'!$A$5:$Q$19,10,FALSE),"通过","失败")</x:f>
        <x:v>通过</x:v>
      </x:c>
      <x:c r="S20" s="41" t="n">
        <x:f>M20*(VLOOKUP(D20,'03_筑基灵植表'!$A$5:$N$49,10,FALSE)*E20+VLOOKUP(F20,'03_筑基灵植表'!$A$5:$N$49,10,FALSE)*G20+VLOOKUP(H20,'03_筑基灵植表'!$A$5:$N$49,10,FALSE)*I20+VLOOKUP(J20,'03_筑基灵植表'!$A$5:$N$49,10,FALSE)*K20)</x:f>
        <x:v>30</x:v>
      </x:c>
      <x:c r="T20" s="41" t="str">
        <x:f>IF(S20&gt;=VLOOKUP(A20,'02_筑基丹方表'!$A$5:$Q$19,12,FALSE),"通过","失败")</x:f>
        <x:v>通过</x:v>
      </x:c>
      <x:c r="U20" s="41" t="n">
        <x:f>SUM(E20,G20,I20,K20)</x:f>
        <x:v>5</x:v>
      </x:c>
      <x:c r="V20" s="41" t="str">
        <x:f>IF(U20&lt;=VLOOKUP(A20,'02_筑基丹方表'!$A$5:$Q$19,13,FALSE),"通过","失败")</x:f>
        <x:v>通过</x:v>
      </x:c>
      <x:c r="W20" s="41" t="n">
        <x:f>VLOOKUP(L20,'01_参数与词典'!$A$6:$D$10,3,FALSE)*(VLOOKUP(D20,'03_筑基灵植表'!$A$5:$N$49,12,FALSE)*E20+VLOOKUP(F20,'03_筑基灵植表'!$A$5:$N$49,12,FALSE)*G20+VLOOKUP(H20,'03_筑基灵植表'!$A$5:$N$49,12,FALSE)*I20+VLOOKUP(J20,'03_筑基灵植表'!$A$5:$N$49,12,FALSE)*K20)</x:f>
        <x:v>69.7</x:v>
      </x:c>
      <x:c r="X20" s="25" t="str">
        <x:v>凡</x:v>
      </x:c>
      <x:c r="Y20" s="41" t="n">
        <x:f>VLOOKUP(A20,'02_筑基丹方表'!$A$5:$Q$19,16,FALSE)*VLOOKUP(X20,'01_参数与词典'!$A$6:$D$10,4,FALSE)</x:f>
        <x:v>150</x:v>
      </x:c>
      <x:c r="Z20" s="41" t="n">
        <x:f>Y20-W20</x:f>
        <x:v>80.3</x:v>
      </x:c>
      <x:c r="AA20" s="25" t="str">
        <x:f>IF(AND(N20="通过",O20="通过",P20="通过",R20="通过",T20="通过",V20="通过"),"通过","失败")</x:f>
        <x:v>通过</x:v>
      </x:c>
      <x:c r="AB20" s="25" t="str">
        <x:f>D20&amp;"+"&amp;F20&amp;"+"&amp;H20&amp;"+"&amp;J20</x:f>
        <x:v>J-ZJ-06+M-ZJ-MU-W+A-ZJ-C+E-ZJ-SUAN-P</x:v>
      </x:c>
      <x:c r="AC20" s="25" t="str">
        <x:v>廉价辅材，多占份数；适合卖药与资源紧张时</x:v>
      </x:c>
    </x:row>
    <x:row r="21" ht="15" hidden="0" customHeight="1">
      <x:c r="A21" s="25" t="str">
        <x:v>F-ZJ-06</x:v>
      </x:c>
      <x:c r="B21" s="25" t="n">
        <x:v>2</x:v>
      </x:c>
      <x:c r="C21" s="25" t="str">
        <x:v>标准解</x:v>
      </x:c>
      <x:c r="D21" s="25" t="str">
        <x:v>J-ZJ-06</x:v>
      </x:c>
      <x:c r="E21" s="25" t="n">
        <x:v>2</x:v>
      </x:c>
      <x:c r="F21" s="25" t="str">
        <x:v>M-ZJ-MU-P</x:v>
      </x:c>
      <x:c r="G21" s="25" t="n">
        <x:v>1</x:v>
      </x:c>
      <x:c r="H21" s="25" t="str">
        <x:v>A-ZJ-P</x:v>
      </x:c>
      <x:c r="I21" s="25" t="n">
        <x:v>1</x:v>
      </x:c>
      <x:c r="J21" s="25" t="str">
        <x:v>E-ZJ-SUAN-P</x:v>
      </x:c>
      <x:c r="K21" s="25" t="n">
        <x:v>1</x:v>
      </x:c>
      <x:c r="L21" s="25" t="str">
        <x:v>灵</x:v>
      </x:c>
      <x:c r="M21" s="26" t="n">
        <x:f>VLOOKUP(L21,'01_参数与词典'!$A$6:$D$10,2,FALSE)</x:f>
        <x:v>2</x:v>
      </x:c>
      <x:c r="N21" s="25" t="str">
        <x:f>IF(D21=VLOOKUP(A21,'02_筑基丹方表'!$A$5:$Q$19,7,FALSE),"通过","失败")</x:f>
        <x:v>通过</x:v>
      </x:c>
      <x:c r="O21" s="25" t="str">
        <x:f>IF(VLOOKUP(F21,'03_筑基灵植表'!$A$5:$N$49,6,FALSE)=VLOOKUP(A21,'02_筑基丹方表'!$A$5:$Q$19,8,FALSE),"通过","失败")</x:f>
        <x:v>通过</x:v>
      </x:c>
      <x:c r="P21" s="25" t="str">
        <x:f>IF(VLOOKUP(J21,'03_筑基灵植表'!$A$5:$N$49,9,FALSE)=VLOOKUP(A21,'02_筑基丹方表'!$A$5:$Q$19,11,FALSE),"通过","失败")</x:f>
        <x:v>通过</x:v>
      </x:c>
      <x:c r="Q21" s="41" t="n">
        <x:f>VLOOKUP(D21,'03_筑基灵植表'!$A$5:$N$49,8,FALSE)+VLOOKUP(F21,'03_筑基灵植表'!$A$5:$N$49,8,FALSE)+VLOOKUP(H21,'03_筑基灵植表'!$A$5:$N$49,8,FALSE)+VLOOKUP(J21,'03_筑基灵植表'!$A$5:$N$49,8,FALSE)</x:f>
        <x:v>1</x:v>
      </x:c>
      <x:c r="R21" s="41" t="str">
        <x:f>IF(Q21=VLOOKUP(A21,'02_筑基丹方表'!$A$5:$Q$19,10,FALSE),"通过","失败")</x:f>
        <x:v>通过</x:v>
      </x:c>
      <x:c r="S21" s="41" t="n">
        <x:f>M21*(VLOOKUP(D21,'03_筑基灵植表'!$A$5:$N$49,10,FALSE)*E21+VLOOKUP(F21,'03_筑基灵植表'!$A$5:$N$49,10,FALSE)*G21+VLOOKUP(H21,'03_筑基灵植表'!$A$5:$N$49,10,FALSE)*I21+VLOOKUP(J21,'03_筑基灵植表'!$A$5:$N$49,10,FALSE)*K21)</x:f>
        <x:v>30</x:v>
      </x:c>
      <x:c r="T21" s="41" t="str">
        <x:f>IF(S21&gt;=VLOOKUP(A21,'02_筑基丹方表'!$A$5:$Q$19,12,FALSE),"通过","失败")</x:f>
        <x:v>通过</x:v>
      </x:c>
      <x:c r="U21" s="41" t="n">
        <x:f>SUM(E21,G21,I21,K21)</x:f>
        <x:v>5</x:v>
      </x:c>
      <x:c r="V21" s="41" t="str">
        <x:f>IF(U21&lt;=VLOOKUP(A21,'02_筑基丹方表'!$A$5:$Q$19,13,FALSE),"通过","失败")</x:f>
        <x:v>通过</x:v>
      </x:c>
      <x:c r="W21" s="41" t="n">
        <x:f>VLOOKUP(L21,'01_参数与词典'!$A$6:$D$10,3,FALSE)*(VLOOKUP(D21,'03_筑基灵植表'!$A$5:$N$49,12,FALSE)*E21+VLOOKUP(F21,'03_筑基灵植表'!$A$5:$N$49,12,FALSE)*G21+VLOOKUP(H21,'03_筑基灵植表'!$A$5:$N$49,12,FALSE)*I21+VLOOKUP(J21,'03_筑基灵植表'!$A$5:$N$49,12,FALSE)*K21)</x:f>
        <x:v>76.5</x:v>
      </x:c>
      <x:c r="X21" s="25" t="str">
        <x:v>凡</x:v>
      </x:c>
      <x:c r="Y21" s="41" t="n">
        <x:f>VLOOKUP(A21,'02_筑基丹方表'!$A$5:$Q$19,16,FALSE)*VLOOKUP(X21,'01_参数与词典'!$A$6:$D$10,4,FALSE)</x:f>
        <x:v>150</x:v>
      </x:c>
      <x:c r="Z21" s="41" t="n">
        <x:f>Y21-W21</x:f>
        <x:v>73.5</x:v>
      </x:c>
      <x:c r="AA21" s="25" t="str">
        <x:f>IF(AND(N21="通过",O21="通过",P21="通过",R21="通过",T21="通过",V21="通过"),"通过","失败")</x:f>
        <x:v>通过</x:v>
      </x:c>
      <x:c r="AB21" s="25" t="str">
        <x:f>D21&amp;"+"&amp;F21&amp;"+"&amp;H21&amp;"+"&amp;J21</x:f>
        <x:v>J-ZJ-06+M-ZJ-MU-P+A-ZJ-P+E-ZJ-SUAN-P</x:v>
      </x:c>
      <x:c r="AC21" s="25" t="str">
        <x:v>四材易认、方性直观；师承默认教学解</x:v>
      </x:c>
    </x:row>
    <x:row r="22" ht="15" hidden="0" customHeight="1">
      <x:c r="A22" s="25" t="str">
        <x:v>F-ZJ-06</x:v>
      </x:c>
      <x:c r="B22" s="25" t="n">
        <x:v>3</x:v>
      </x:c>
      <x:c r="C22" s="25" t="str">
        <x:v>精炼解</x:v>
      </x:c>
      <x:c r="D22" s="25" t="str">
        <x:v>J-ZJ-06</x:v>
      </x:c>
      <x:c r="E22" s="25" t="n">
        <x:v>2</x:v>
      </x:c>
      <x:c r="F22" s="25" t="str">
        <x:v>M-ZJ-MU-C</x:v>
      </x:c>
      <x:c r="G22" s="25" t="n">
        <x:v>1</x:v>
      </x:c>
      <x:c r="H22" s="25" t="str">
        <x:v>A-ZJ-P</x:v>
      </x:c>
      <x:c r="I22" s="25" t="n">
        <x:v>1</x:v>
      </x:c>
      <x:c r="J22" s="25" t="str">
        <x:v>E-ZJ-SUAN-W</x:v>
      </x:c>
      <x:c r="K22" s="25" t="n">
        <x:v>1</x:v>
      </x:c>
      <x:c r="L22" s="25" t="str">
        <x:v>玄</x:v>
      </x:c>
      <x:c r="M22" s="26" t="n">
        <x:f>VLOOKUP(L22,'01_参数与词典'!$A$6:$D$10,2,FALSE)</x:f>
        <x:v>3</x:v>
      </x:c>
      <x:c r="N22" s="25" t="str">
        <x:f>IF(D22=VLOOKUP(A22,'02_筑基丹方表'!$A$5:$Q$19,7,FALSE),"通过","失败")</x:f>
        <x:v>通过</x:v>
      </x:c>
      <x:c r="O22" s="25" t="str">
        <x:f>IF(VLOOKUP(F22,'03_筑基灵植表'!$A$5:$N$49,6,FALSE)=VLOOKUP(A22,'02_筑基丹方表'!$A$5:$Q$19,8,FALSE),"通过","失败")</x:f>
        <x:v>通过</x:v>
      </x:c>
      <x:c r="P22" s="25" t="str">
        <x:f>IF(VLOOKUP(J22,'03_筑基灵植表'!$A$5:$N$49,9,FALSE)=VLOOKUP(A22,'02_筑基丹方表'!$A$5:$Q$19,11,FALSE),"通过","失败")</x:f>
        <x:v>通过</x:v>
      </x:c>
      <x:c r="Q22" s="41" t="n">
        <x:f>VLOOKUP(D22,'03_筑基灵植表'!$A$5:$N$49,8,FALSE)+VLOOKUP(F22,'03_筑基灵植表'!$A$5:$N$49,8,FALSE)+VLOOKUP(H22,'03_筑基灵植表'!$A$5:$N$49,8,FALSE)+VLOOKUP(J22,'03_筑基灵植表'!$A$5:$N$49,8,FALSE)</x:f>
        <x:v>1</x:v>
      </x:c>
      <x:c r="R22" s="41" t="str">
        <x:f>IF(Q22=VLOOKUP(A22,'02_筑基丹方表'!$A$5:$Q$19,10,FALSE),"通过","失败")</x:f>
        <x:v>通过</x:v>
      </x:c>
      <x:c r="S22" s="41" t="n">
        <x:f>M22*(VLOOKUP(D22,'03_筑基灵植表'!$A$5:$N$49,10,FALSE)*E22+VLOOKUP(F22,'03_筑基灵植表'!$A$5:$N$49,10,FALSE)*G22+VLOOKUP(H22,'03_筑基灵植表'!$A$5:$N$49,10,FALSE)*I22+VLOOKUP(J22,'03_筑基灵植表'!$A$5:$N$49,10,FALSE)*K22)</x:f>
        <x:v>45</x:v>
      </x:c>
      <x:c r="T22" s="41" t="str">
        <x:f>IF(S22&gt;=VLOOKUP(A22,'02_筑基丹方表'!$A$5:$Q$19,12,FALSE),"通过","失败")</x:f>
        <x:v>通过</x:v>
      </x:c>
      <x:c r="U22" s="41" t="n">
        <x:f>SUM(E22,G22,I22,K22)</x:f>
        <x:v>5</x:v>
      </x:c>
      <x:c r="V22" s="41" t="str">
        <x:f>IF(U22&lt;=VLOOKUP(A22,'02_筑基丹方表'!$A$5:$Q$19,13,FALSE),"通过","失败")</x:f>
        <x:v>通过</x:v>
      </x:c>
      <x:c r="W22" s="41" t="n">
        <x:f>VLOOKUP(L22,'01_参数与词典'!$A$6:$D$10,3,FALSE)*(VLOOKUP(D22,'03_筑基灵植表'!$A$5:$N$49,12,FALSE)*E22+VLOOKUP(F22,'03_筑基灵植表'!$A$5:$N$49,12,FALSE)*G22+VLOOKUP(H22,'03_筑基灵植表'!$A$5:$N$49,12,FALSE)*I22+VLOOKUP(J22,'03_筑基灵植表'!$A$5:$N$49,12,FALSE)*K22)</x:f>
        <x:v>166.4</x:v>
      </x:c>
      <x:c r="X22" s="25" t="str">
        <x:v>灵</x:v>
      </x:c>
      <x:c r="Y22" s="41" t="n">
        <x:f>VLOOKUP(A22,'02_筑基丹方表'!$A$5:$Q$19,16,FALSE)*VLOOKUP(X22,'01_参数与词典'!$A$6:$D$10,4,FALSE)</x:f>
        <x:v>300</x:v>
      </x:c>
      <x:c r="Z22" s="41" t="n">
        <x:f>Y22-W22</x:f>
        <x:v>133.6</x:v>
      </x:c>
      <x:c r="AA22" s="25" t="str">
        <x:f>IF(AND(N22="通过",O22="通过",P22="通过",R22="通过",T22="通过",V22="通过"),"通过","失败")</x:f>
        <x:v>通过</x:v>
      </x:c>
      <x:c r="AB22" s="25" t="str">
        <x:f>D22&amp;"+"&amp;F22&amp;"+"&amp;H22&amp;"+"&amp;J22</x:f>
        <x:v>J-ZJ-06+M-ZJ-MU-C+A-ZJ-P+E-ZJ-SUAN-W</x:v>
      </x:c>
      <x:c r="AC22" s="25" t="str">
        <x:v>臣凉使温相抵，药力留余；用于冲击较高品质</x:v>
      </x:c>
    </x:row>
    <x:row r="23" ht="15" hidden="0" customHeight="1">
      <x:c r="A23" s="25" t="str">
        <x:v>F-ZJ-07</x:v>
      </x:c>
      <x:c r="B23" s="25" t="n">
        <x:v>1</x:v>
      </x:c>
      <x:c r="C23" s="25" t="str">
        <x:v>廉价解</x:v>
      </x:c>
      <x:c r="D23" s="25" t="str">
        <x:v>J-ZJ-07</x:v>
      </x:c>
      <x:c r="E23" s="25" t="n">
        <x:v>2</x:v>
      </x:c>
      <x:c r="F23" s="25" t="str">
        <x:v>M-ZJ-MU-W</x:v>
      </x:c>
      <x:c r="G23" s="25" t="n">
        <x:v>2</x:v>
      </x:c>
      <x:c r="H23" s="25" t="str">
        <x:v>A-ZJ-C</x:v>
      </x:c>
      <x:c r="I23" s="25" t="n">
        <x:v>2</x:v>
      </x:c>
      <x:c r="J23" s="25" t="str">
        <x:v>E-ZJ-SUAN-P</x:v>
      </x:c>
      <x:c r="K23" s="25" t="n">
        <x:v>2</x:v>
      </x:c>
      <x:c r="L23" s="25" t="str">
        <x:v>凡</x:v>
      </x:c>
      <x:c r="M23" s="26" t="n">
        <x:f>VLOOKUP(L23,'01_参数与词典'!$A$6:$D$10,2,FALSE)</x:f>
        <x:v>1</x:v>
      </x:c>
      <x:c r="N23" s="25" t="str">
        <x:f>IF(D23=VLOOKUP(A23,'02_筑基丹方表'!$A$5:$Q$19,7,FALSE),"通过","失败")</x:f>
        <x:v>通过</x:v>
      </x:c>
      <x:c r="O23" s="25" t="str">
        <x:f>IF(VLOOKUP(F23,'03_筑基灵植表'!$A$5:$N$49,6,FALSE)=VLOOKUP(A23,'02_筑基丹方表'!$A$5:$Q$19,8,FALSE),"通过","失败")</x:f>
        <x:v>通过</x:v>
      </x:c>
      <x:c r="P23" s="25" t="str">
        <x:f>IF(VLOOKUP(J23,'03_筑基灵植表'!$A$5:$N$49,9,FALSE)=VLOOKUP(A23,'02_筑基丹方表'!$A$5:$Q$19,11,FALSE),"通过","失败")</x:f>
        <x:v>通过</x:v>
      </x:c>
      <x:c r="Q23" s="41" t="n">
        <x:f>VLOOKUP(D23,'03_筑基灵植表'!$A$5:$N$49,8,FALSE)+VLOOKUP(F23,'03_筑基灵植表'!$A$5:$N$49,8,FALSE)+VLOOKUP(H23,'03_筑基灵植表'!$A$5:$N$49,8,FALSE)+VLOOKUP(J23,'03_筑基灵植表'!$A$5:$N$49,8,FALSE)</x:f>
        <x:v>0</x:v>
      </x:c>
      <x:c r="R23" s="41" t="str">
        <x:f>IF(Q23=VLOOKUP(A23,'02_筑基丹方表'!$A$5:$Q$19,10,FALSE),"通过","失败")</x:f>
        <x:v>通过</x:v>
      </x:c>
      <x:c r="S23" s="41" t="n">
        <x:f>M23*(VLOOKUP(D23,'03_筑基灵植表'!$A$5:$N$49,10,FALSE)*E23+VLOOKUP(F23,'03_筑基灵植表'!$A$5:$N$49,10,FALSE)*G23+VLOOKUP(H23,'03_筑基灵植表'!$A$5:$N$49,10,FALSE)*I23+VLOOKUP(J23,'03_筑基灵植表'!$A$5:$N$49,10,FALSE)*K23)</x:f>
        <x:v>24</x:v>
      </x:c>
      <x:c r="T23" s="41" t="str">
        <x:f>IF(S23&gt;=VLOOKUP(A23,'02_筑基丹方表'!$A$5:$Q$19,12,FALSE),"通过","失败")</x:f>
        <x:v>通过</x:v>
      </x:c>
      <x:c r="U23" s="41" t="n">
        <x:f>SUM(E23,G23,I23,K23)</x:f>
        <x:v>8</x:v>
      </x:c>
      <x:c r="V23" s="41" t="str">
        <x:f>IF(U23&lt;=VLOOKUP(A23,'02_筑基丹方表'!$A$5:$Q$19,13,FALSE),"通过","失败")</x:f>
        <x:v>通过</x:v>
      </x:c>
      <x:c r="W23" s="41" t="n">
        <x:f>VLOOKUP(L23,'01_参数与词典'!$A$6:$D$10,3,FALSE)*(VLOOKUP(D23,'03_筑基灵植表'!$A$5:$N$49,12,FALSE)*E23+VLOOKUP(F23,'03_筑基灵植表'!$A$5:$N$49,12,FALSE)*G23+VLOOKUP(H23,'03_筑基灵植表'!$A$5:$N$49,12,FALSE)*I23+VLOOKUP(J23,'03_筑基灵植表'!$A$5:$N$49,12,FALSE)*K23)</x:f>
        <x:v>50</x:v>
      </x:c>
      <x:c r="X23" s="25" t="str">
        <x:v>凡</x:v>
      </x:c>
      <x:c r="Y23" s="41" t="n">
        <x:f>VLOOKUP(A23,'02_筑基丹方表'!$A$5:$Q$19,16,FALSE)*VLOOKUP(X23,'01_参数与词典'!$A$6:$D$10,4,FALSE)</x:f>
        <x:v>120</x:v>
      </x:c>
      <x:c r="Z23" s="41" t="n">
        <x:f>Y23-W23</x:f>
        <x:v>70</x:v>
      </x:c>
      <x:c r="AA23" s="25" t="str">
        <x:f>IF(AND(N23="通过",O23="通过",P23="通过",R23="通过",T23="通过",V23="通过"),"通过","失败")</x:f>
        <x:v>通过</x:v>
      </x:c>
      <x:c r="AB23" s="25" t="str">
        <x:f>D23&amp;"+"&amp;F23&amp;"+"&amp;H23&amp;"+"&amp;J23</x:f>
        <x:v>J-ZJ-07+M-ZJ-MU-W+A-ZJ-C+E-ZJ-SUAN-P</x:v>
      </x:c>
      <x:c r="AC23" s="25" t="str">
        <x:v>廉价辅材，多占份数；适合卖药与资源紧张时</x:v>
      </x:c>
    </x:row>
    <x:row r="24" ht="15" hidden="0" customHeight="1">
      <x:c r="A24" s="25" t="str">
        <x:v>F-ZJ-07</x:v>
      </x:c>
      <x:c r="B24" s="25" t="n">
        <x:v>2</x:v>
      </x:c>
      <x:c r="C24" s="25" t="str">
        <x:v>标准解</x:v>
      </x:c>
      <x:c r="D24" s="25" t="str">
        <x:v>J-ZJ-07</x:v>
      </x:c>
      <x:c r="E24" s="25" t="n">
        <x:v>1</x:v>
      </x:c>
      <x:c r="F24" s="25" t="str">
        <x:v>M-ZJ-MU-P</x:v>
      </x:c>
      <x:c r="G24" s="25" t="n">
        <x:v>1</x:v>
      </x:c>
      <x:c r="H24" s="25" t="str">
        <x:v>A-ZJ-P</x:v>
      </x:c>
      <x:c r="I24" s="25" t="n">
        <x:v>1</x:v>
      </x:c>
      <x:c r="J24" s="25" t="str">
        <x:v>E-ZJ-SUAN-P</x:v>
      </x:c>
      <x:c r="K24" s="25" t="n">
        <x:v>1</x:v>
      </x:c>
      <x:c r="L24" s="25" t="str">
        <x:v>灵</x:v>
      </x:c>
      <x:c r="M24" s="26" t="n">
        <x:f>VLOOKUP(L24,'01_参数与词典'!$A$6:$D$10,2,FALSE)</x:f>
        <x:v>2</x:v>
      </x:c>
      <x:c r="N24" s="25" t="str">
        <x:f>IF(D24=VLOOKUP(A24,'02_筑基丹方表'!$A$5:$Q$19,7,FALSE),"通过","失败")</x:f>
        <x:v>通过</x:v>
      </x:c>
      <x:c r="O24" s="25" t="str">
        <x:f>IF(VLOOKUP(F24,'03_筑基灵植表'!$A$5:$N$49,6,FALSE)=VLOOKUP(A24,'02_筑基丹方表'!$A$5:$Q$19,8,FALSE),"通过","失败")</x:f>
        <x:v>通过</x:v>
      </x:c>
      <x:c r="P24" s="25" t="str">
        <x:f>IF(VLOOKUP(J24,'03_筑基灵植表'!$A$5:$N$49,9,FALSE)=VLOOKUP(A24,'02_筑基丹方表'!$A$5:$Q$19,11,FALSE),"通过","失败")</x:f>
        <x:v>通过</x:v>
      </x:c>
      <x:c r="Q24" s="41" t="n">
        <x:f>VLOOKUP(D24,'03_筑基灵植表'!$A$5:$N$49,8,FALSE)+VLOOKUP(F24,'03_筑基灵植表'!$A$5:$N$49,8,FALSE)+VLOOKUP(H24,'03_筑基灵植表'!$A$5:$N$49,8,FALSE)+VLOOKUP(J24,'03_筑基灵植表'!$A$5:$N$49,8,FALSE)</x:f>
        <x:v>0</x:v>
      </x:c>
      <x:c r="R24" s="41" t="str">
        <x:f>IF(Q24=VLOOKUP(A24,'02_筑基丹方表'!$A$5:$Q$19,10,FALSE),"通过","失败")</x:f>
        <x:v>通过</x:v>
      </x:c>
      <x:c r="S24" s="41" t="n">
        <x:f>M24*(VLOOKUP(D24,'03_筑基灵植表'!$A$5:$N$49,10,FALSE)*E24+VLOOKUP(F24,'03_筑基灵植表'!$A$5:$N$49,10,FALSE)*G24+VLOOKUP(H24,'03_筑基灵植表'!$A$5:$N$49,10,FALSE)*I24+VLOOKUP(J24,'03_筑基灵植表'!$A$5:$N$49,10,FALSE)*K24)</x:f>
        <x:v>24</x:v>
      </x:c>
      <x:c r="T24" s="41" t="str">
        <x:f>IF(S24&gt;=VLOOKUP(A24,'02_筑基丹方表'!$A$5:$Q$19,12,FALSE),"通过","失败")</x:f>
        <x:v>通过</x:v>
      </x:c>
      <x:c r="U24" s="41" t="n">
        <x:f>SUM(E24,G24,I24,K24)</x:f>
        <x:v>4</x:v>
      </x:c>
      <x:c r="V24" s="41" t="str">
        <x:f>IF(U24&lt;=VLOOKUP(A24,'02_筑基丹方表'!$A$5:$Q$19,13,FALSE),"通过","失败")</x:f>
        <x:v>通过</x:v>
      </x:c>
      <x:c r="W24" s="41" t="n">
        <x:f>VLOOKUP(L24,'01_参数与词典'!$A$6:$D$10,3,FALSE)*(VLOOKUP(D24,'03_筑基灵植表'!$A$5:$N$49,12,FALSE)*E24+VLOOKUP(F24,'03_筑基灵植表'!$A$5:$N$49,12,FALSE)*G24+VLOOKUP(H24,'03_筑基灵植表'!$A$5:$N$49,12,FALSE)*I24+VLOOKUP(J24,'03_筑基灵植表'!$A$5:$N$49,12,FALSE)*K24)</x:f>
        <x:v>49.3</x:v>
      </x:c>
      <x:c r="X24" s="25" t="str">
        <x:v>凡</x:v>
      </x:c>
      <x:c r="Y24" s="41" t="n">
        <x:f>VLOOKUP(A24,'02_筑基丹方表'!$A$5:$Q$19,16,FALSE)*VLOOKUP(X24,'01_参数与词典'!$A$6:$D$10,4,FALSE)</x:f>
        <x:v>120</x:v>
      </x:c>
      <x:c r="Z24" s="41" t="n">
        <x:f>Y24-W24</x:f>
        <x:v>70.7</x:v>
      </x:c>
      <x:c r="AA24" s="25" t="str">
        <x:f>IF(AND(N24="通过",O24="通过",P24="通过",R24="通过",T24="通过",V24="通过"),"通过","失败")</x:f>
        <x:v>通过</x:v>
      </x:c>
      <x:c r="AB24" s="25" t="str">
        <x:f>D24&amp;"+"&amp;F24&amp;"+"&amp;H24&amp;"+"&amp;J24</x:f>
        <x:v>J-ZJ-07+M-ZJ-MU-P+A-ZJ-P+E-ZJ-SUAN-P</x:v>
      </x:c>
      <x:c r="AC24" s="25" t="str">
        <x:v>四材易认、方性直观；师承默认教学解</x:v>
      </x:c>
    </x:row>
    <x:row r="25" ht="15" hidden="0" customHeight="1">
      <x:c r="A25" s="25" t="str">
        <x:v>F-ZJ-07</x:v>
      </x:c>
      <x:c r="B25" s="25" t="n">
        <x:v>3</x:v>
      </x:c>
      <x:c r="C25" s="25" t="str">
        <x:v>精炼解</x:v>
      </x:c>
      <x:c r="D25" s="25" t="str">
        <x:v>J-ZJ-07</x:v>
      </x:c>
      <x:c r="E25" s="25" t="n">
        <x:v>1</x:v>
      </x:c>
      <x:c r="F25" s="25" t="str">
        <x:v>M-ZJ-MU-C</x:v>
      </x:c>
      <x:c r="G25" s="25" t="n">
        <x:v>1</x:v>
      </x:c>
      <x:c r="H25" s="25" t="str">
        <x:v>A-ZJ-P</x:v>
      </x:c>
      <x:c r="I25" s="25" t="n">
        <x:v>1</x:v>
      </x:c>
      <x:c r="J25" s="25" t="str">
        <x:v>E-ZJ-SUAN-W</x:v>
      </x:c>
      <x:c r="K25" s="25" t="n">
        <x:v>1</x:v>
      </x:c>
      <x:c r="L25" s="25" t="str">
        <x:v>玄</x:v>
      </x:c>
      <x:c r="M25" s="26" t="n">
        <x:f>VLOOKUP(L25,'01_参数与词典'!$A$6:$D$10,2,FALSE)</x:f>
        <x:v>3</x:v>
      </x:c>
      <x:c r="N25" s="25" t="str">
        <x:f>IF(D25=VLOOKUP(A25,'02_筑基丹方表'!$A$5:$Q$19,7,FALSE),"通过","失败")</x:f>
        <x:v>通过</x:v>
      </x:c>
      <x:c r="O25" s="25" t="str">
        <x:f>IF(VLOOKUP(F25,'03_筑基灵植表'!$A$5:$N$49,6,FALSE)=VLOOKUP(A25,'02_筑基丹方表'!$A$5:$Q$19,8,FALSE),"通过","失败")</x:f>
        <x:v>通过</x:v>
      </x:c>
      <x:c r="P25" s="25" t="str">
        <x:f>IF(VLOOKUP(J25,'03_筑基灵植表'!$A$5:$N$49,9,FALSE)=VLOOKUP(A25,'02_筑基丹方表'!$A$5:$Q$19,11,FALSE),"通过","失败")</x:f>
        <x:v>通过</x:v>
      </x:c>
      <x:c r="Q25" s="41" t="n">
        <x:f>VLOOKUP(D25,'03_筑基灵植表'!$A$5:$N$49,8,FALSE)+VLOOKUP(F25,'03_筑基灵植表'!$A$5:$N$49,8,FALSE)+VLOOKUP(H25,'03_筑基灵植表'!$A$5:$N$49,8,FALSE)+VLOOKUP(J25,'03_筑基灵植表'!$A$5:$N$49,8,FALSE)</x:f>
        <x:v>0</x:v>
      </x:c>
      <x:c r="R25" s="41" t="str">
        <x:f>IF(Q25=VLOOKUP(A25,'02_筑基丹方表'!$A$5:$Q$19,10,FALSE),"通过","失败")</x:f>
        <x:v>通过</x:v>
      </x:c>
      <x:c r="S25" s="41" t="n">
        <x:f>M25*(VLOOKUP(D25,'03_筑基灵植表'!$A$5:$N$49,10,FALSE)*E25+VLOOKUP(F25,'03_筑基灵植表'!$A$5:$N$49,10,FALSE)*G25+VLOOKUP(H25,'03_筑基灵植表'!$A$5:$N$49,10,FALSE)*I25+VLOOKUP(J25,'03_筑基灵植表'!$A$5:$N$49,10,FALSE)*K25)</x:f>
        <x:v>36</x:v>
      </x:c>
      <x:c r="T25" s="41" t="str">
        <x:f>IF(S25&gt;=VLOOKUP(A25,'02_筑基丹方表'!$A$5:$Q$19,12,FALSE),"通过","失败")</x:f>
        <x:v>通过</x:v>
      </x:c>
      <x:c r="U25" s="41" t="n">
        <x:f>SUM(E25,G25,I25,K25)</x:f>
        <x:v>4</x:v>
      </x:c>
      <x:c r="V25" s="41" t="str">
        <x:f>IF(U25&lt;=VLOOKUP(A25,'02_筑基丹方表'!$A$5:$Q$19,13,FALSE),"通过","失败")</x:f>
        <x:v>通过</x:v>
      </x:c>
      <x:c r="W25" s="41" t="n">
        <x:f>VLOOKUP(L25,'01_参数与词典'!$A$6:$D$10,3,FALSE)*(VLOOKUP(D25,'03_筑基灵植表'!$A$5:$N$49,12,FALSE)*E25+VLOOKUP(F25,'03_筑基灵植表'!$A$5:$N$49,12,FALSE)*G25+VLOOKUP(H25,'03_筑基灵植表'!$A$5:$N$49,12,FALSE)*I25+VLOOKUP(J25,'03_筑基灵植表'!$A$5:$N$49,12,FALSE)*K25)</x:f>
        <x:v>115.2</x:v>
      </x:c>
      <x:c r="X25" s="25" t="str">
        <x:v>灵</x:v>
      </x:c>
      <x:c r="Y25" s="41" t="n">
        <x:f>VLOOKUP(A25,'02_筑基丹方表'!$A$5:$Q$19,16,FALSE)*VLOOKUP(X25,'01_参数与词典'!$A$6:$D$10,4,FALSE)</x:f>
        <x:v>240</x:v>
      </x:c>
      <x:c r="Z25" s="41" t="n">
        <x:f>Y25-W25</x:f>
        <x:v>124.8</x:v>
      </x:c>
      <x:c r="AA25" s="25" t="str">
        <x:f>IF(AND(N25="通过",O25="通过",P25="通过",R25="通过",T25="通过",V25="通过"),"通过","失败")</x:f>
        <x:v>通过</x:v>
      </x:c>
      <x:c r="AB25" s="25" t="str">
        <x:f>D25&amp;"+"&amp;F25&amp;"+"&amp;H25&amp;"+"&amp;J25</x:f>
        <x:v>J-ZJ-07+M-ZJ-MU-C+A-ZJ-P+E-ZJ-SUAN-W</x:v>
      </x:c>
      <x:c r="AC25" s="25" t="str">
        <x:v>臣凉使温相抵，药力留余；用于冲击较高品质</x:v>
      </x:c>
    </x:row>
    <x:row r="26" ht="15" hidden="0" customHeight="1">
      <x:c r="A26" s="25" t="str">
        <x:v>F-ZJ-08</x:v>
      </x:c>
      <x:c r="B26" s="25" t="n">
        <x:v>1</x:v>
      </x:c>
      <x:c r="C26" s="25" t="str">
        <x:v>廉价解</x:v>
      </x:c>
      <x:c r="D26" s="25" t="str">
        <x:v>J-ZJ-08</x:v>
      </x:c>
      <x:c r="E26" s="25" t="n">
        <x:v>2</x:v>
      </x:c>
      <x:c r="F26" s="25" t="str">
        <x:v>M-ZJ-JIN-W</x:v>
      </x:c>
      <x:c r="G26" s="25" t="n">
        <x:v>1</x:v>
      </x:c>
      <x:c r="H26" s="25" t="str">
        <x:v>A-ZJ-C</x:v>
      </x:c>
      <x:c r="I26" s="25" t="n">
        <x:v>1</x:v>
      </x:c>
      <x:c r="J26" s="25" t="str">
        <x:v>E-ZJ-GAN-P</x:v>
      </x:c>
      <x:c r="K26" s="25" t="n">
        <x:v>1</x:v>
      </x:c>
      <x:c r="L26" s="25" t="str">
        <x:v>灵</x:v>
      </x:c>
      <x:c r="M26" s="26" t="n">
        <x:f>VLOOKUP(L26,'01_参数与词典'!$A$6:$D$10,2,FALSE)</x:f>
        <x:v>2</x:v>
      </x:c>
      <x:c r="N26" s="25" t="str">
        <x:f>IF(D26=VLOOKUP(A26,'02_筑基丹方表'!$A$5:$Q$19,7,FALSE),"通过","失败")</x:f>
        <x:v>通过</x:v>
      </x:c>
      <x:c r="O26" s="25" t="str">
        <x:f>IF(VLOOKUP(F26,'03_筑基灵植表'!$A$5:$N$49,6,FALSE)=VLOOKUP(A26,'02_筑基丹方表'!$A$5:$Q$19,8,FALSE),"通过","失败")</x:f>
        <x:v>通过</x:v>
      </x:c>
      <x:c r="P26" s="25" t="str">
        <x:f>IF(VLOOKUP(J26,'03_筑基灵植表'!$A$5:$N$49,9,FALSE)=VLOOKUP(A26,'02_筑基丹方表'!$A$5:$Q$19,11,FALSE),"通过","失败")</x:f>
        <x:v>通过</x:v>
      </x:c>
      <x:c r="Q26" s="41" t="n">
        <x:f>VLOOKUP(D26,'03_筑基灵植表'!$A$5:$N$49,8,FALSE)+VLOOKUP(F26,'03_筑基灵植表'!$A$5:$N$49,8,FALSE)+VLOOKUP(H26,'03_筑基灵植表'!$A$5:$N$49,8,FALSE)+VLOOKUP(J26,'03_筑基灵植表'!$A$5:$N$49,8,FALSE)</x:f>
        <x:v>-1</x:v>
      </x:c>
      <x:c r="R26" s="41" t="str">
        <x:f>IF(Q26=VLOOKUP(A26,'02_筑基丹方表'!$A$5:$Q$19,10,FALSE),"通过","失败")</x:f>
        <x:v>通过</x:v>
      </x:c>
      <x:c r="S26" s="41" t="n">
        <x:f>M26*(VLOOKUP(D26,'03_筑基灵植表'!$A$5:$N$49,10,FALSE)*E26+VLOOKUP(F26,'03_筑基灵植表'!$A$5:$N$49,10,FALSE)*G26+VLOOKUP(H26,'03_筑基灵植表'!$A$5:$N$49,10,FALSE)*I26+VLOOKUP(J26,'03_筑基灵植表'!$A$5:$N$49,10,FALSE)*K26)</x:f>
        <x:v>30</x:v>
      </x:c>
      <x:c r="T26" s="41" t="str">
        <x:f>IF(S26&gt;=VLOOKUP(A26,'02_筑基丹方表'!$A$5:$Q$19,12,FALSE),"通过","失败")</x:f>
        <x:v>通过</x:v>
      </x:c>
      <x:c r="U26" s="41" t="n">
        <x:f>SUM(E26,G26,I26,K26)</x:f>
        <x:v>5</x:v>
      </x:c>
      <x:c r="V26" s="41" t="str">
        <x:f>IF(U26&lt;=VLOOKUP(A26,'02_筑基丹方表'!$A$5:$Q$19,13,FALSE),"通过","失败")</x:f>
        <x:v>通过</x:v>
      </x:c>
      <x:c r="W26" s="41" t="n">
        <x:f>VLOOKUP(L26,'01_参数与词典'!$A$6:$D$10,3,FALSE)*(VLOOKUP(D26,'03_筑基灵植表'!$A$5:$N$49,12,FALSE)*E26+VLOOKUP(F26,'03_筑基灵植表'!$A$5:$N$49,12,FALSE)*G26+VLOOKUP(H26,'03_筑基灵植表'!$A$5:$N$49,12,FALSE)*I26+VLOOKUP(J26,'03_筑基灵植表'!$A$5:$N$49,12,FALSE)*K26)</x:f>
        <x:v>110.5</x:v>
      </x:c>
      <x:c r="X26" s="25" t="str">
        <x:v>凡</x:v>
      </x:c>
      <x:c r="Y26" s="41" t="n">
        <x:f>VLOOKUP(A26,'02_筑基丹方表'!$A$5:$Q$19,16,FALSE)*VLOOKUP(X26,'01_参数与词典'!$A$6:$D$10,4,FALSE)</x:f>
        <x:v>260</x:v>
      </x:c>
      <x:c r="Z26" s="41" t="n">
        <x:f>Y26-W26</x:f>
        <x:v>149.5</x:v>
      </x:c>
      <x:c r="AA26" s="25" t="str">
        <x:f>IF(AND(N26="通过",O26="通过",P26="通过",R26="通过",T26="通过",V26="通过"),"通过","失败")</x:f>
        <x:v>通过</x:v>
      </x:c>
      <x:c r="AB26" s="25" t="str">
        <x:f>D26&amp;"+"&amp;F26&amp;"+"&amp;H26&amp;"+"&amp;J26</x:f>
        <x:v>J-ZJ-08+M-ZJ-JIN-W+A-ZJ-C+E-ZJ-GAN-P</x:v>
      </x:c>
      <x:c r="AC26" s="25" t="str">
        <x:v>廉价辅材，多占份数；适合卖药与资源紧张时</x:v>
      </x:c>
    </x:row>
    <x:row r="27" ht="15" hidden="0" customHeight="1">
      <x:c r="A27" s="25" t="str">
        <x:v>F-ZJ-08</x:v>
      </x:c>
      <x:c r="B27" s="25" t="n">
        <x:v>2</x:v>
      </x:c>
      <x:c r="C27" s="25" t="str">
        <x:v>标准解</x:v>
      </x:c>
      <x:c r="D27" s="25" t="str">
        <x:v>J-ZJ-08</x:v>
      </x:c>
      <x:c r="E27" s="25" t="n">
        <x:v>2</x:v>
      </x:c>
      <x:c r="F27" s="25" t="str">
        <x:v>M-ZJ-JIN-P</x:v>
      </x:c>
      <x:c r="G27" s="25" t="n">
        <x:v>1</x:v>
      </x:c>
      <x:c r="H27" s="25" t="str">
        <x:v>A-ZJ-P</x:v>
      </x:c>
      <x:c r="I27" s="25" t="n">
        <x:v>1</x:v>
      </x:c>
      <x:c r="J27" s="25" t="str">
        <x:v>E-ZJ-GAN-P</x:v>
      </x:c>
      <x:c r="K27" s="25" t="n">
        <x:v>1</x:v>
      </x:c>
      <x:c r="L27" s="25" t="str">
        <x:v>灵</x:v>
      </x:c>
      <x:c r="M27" s="26" t="n">
        <x:f>VLOOKUP(L27,'01_参数与词典'!$A$6:$D$10,2,FALSE)</x:f>
        <x:v>2</x:v>
      </x:c>
      <x:c r="N27" s="25" t="str">
        <x:f>IF(D27=VLOOKUP(A27,'02_筑基丹方表'!$A$5:$Q$19,7,FALSE),"通过","失败")</x:f>
        <x:v>通过</x:v>
      </x:c>
      <x:c r="O27" s="25" t="str">
        <x:f>IF(VLOOKUP(F27,'03_筑基灵植表'!$A$5:$N$49,6,FALSE)=VLOOKUP(A27,'02_筑基丹方表'!$A$5:$Q$19,8,FALSE),"通过","失败")</x:f>
        <x:v>通过</x:v>
      </x:c>
      <x:c r="P27" s="25" t="str">
        <x:f>IF(VLOOKUP(J27,'03_筑基灵植表'!$A$5:$N$49,9,FALSE)=VLOOKUP(A27,'02_筑基丹方表'!$A$5:$Q$19,11,FALSE),"通过","失败")</x:f>
        <x:v>通过</x:v>
      </x:c>
      <x:c r="Q27" s="41" t="n">
        <x:f>VLOOKUP(D27,'03_筑基灵植表'!$A$5:$N$49,8,FALSE)+VLOOKUP(F27,'03_筑基灵植表'!$A$5:$N$49,8,FALSE)+VLOOKUP(H27,'03_筑基灵植表'!$A$5:$N$49,8,FALSE)+VLOOKUP(J27,'03_筑基灵植表'!$A$5:$N$49,8,FALSE)</x:f>
        <x:v>-1</x:v>
      </x:c>
      <x:c r="R27" s="41" t="str">
        <x:f>IF(Q27=VLOOKUP(A27,'02_筑基丹方表'!$A$5:$Q$19,10,FALSE),"通过","失败")</x:f>
        <x:v>通过</x:v>
      </x:c>
      <x:c r="S27" s="41" t="n">
        <x:f>M27*(VLOOKUP(D27,'03_筑基灵植表'!$A$5:$N$49,10,FALSE)*E27+VLOOKUP(F27,'03_筑基灵植表'!$A$5:$N$49,10,FALSE)*G27+VLOOKUP(H27,'03_筑基灵植表'!$A$5:$N$49,10,FALSE)*I27+VLOOKUP(J27,'03_筑基灵植表'!$A$5:$N$49,10,FALSE)*K27)</x:f>
        <x:v>30</x:v>
      </x:c>
      <x:c r="T27" s="41" t="str">
        <x:f>IF(S27&gt;=VLOOKUP(A27,'02_筑基丹方表'!$A$5:$Q$19,12,FALSE),"通过","失败")</x:f>
        <x:v>通过</x:v>
      </x:c>
      <x:c r="U27" s="41" t="n">
        <x:f>SUM(E27,G27,I27,K27)</x:f>
        <x:v>5</x:v>
      </x:c>
      <x:c r="V27" s="41" t="str">
        <x:f>IF(U27&lt;=VLOOKUP(A27,'02_筑基丹方表'!$A$5:$Q$19,13,FALSE),"通过","失败")</x:f>
        <x:v>通过</x:v>
      </x:c>
      <x:c r="W27" s="41" t="n">
        <x:f>VLOOKUP(L27,'01_参数与词典'!$A$6:$D$10,3,FALSE)*(VLOOKUP(D27,'03_筑基灵植表'!$A$5:$N$49,12,FALSE)*E27+VLOOKUP(F27,'03_筑基灵植表'!$A$5:$N$49,12,FALSE)*G27+VLOOKUP(H27,'03_筑基灵植表'!$A$5:$N$49,12,FALSE)*I27+VLOOKUP(J27,'03_筑基灵植表'!$A$5:$N$49,12,FALSE)*K27)</x:f>
        <x:v>117.3</x:v>
      </x:c>
      <x:c r="X27" s="25" t="str">
        <x:v>凡</x:v>
      </x:c>
      <x:c r="Y27" s="41" t="n">
        <x:f>VLOOKUP(A27,'02_筑基丹方表'!$A$5:$Q$19,16,FALSE)*VLOOKUP(X27,'01_参数与词典'!$A$6:$D$10,4,FALSE)</x:f>
        <x:v>260</x:v>
      </x:c>
      <x:c r="Z27" s="41" t="n">
        <x:f>Y27-W27</x:f>
        <x:v>142.7</x:v>
      </x:c>
      <x:c r="AA27" s="25" t="str">
        <x:f>IF(AND(N27="通过",O27="通过",P27="通过",R27="通过",T27="通过",V27="通过"),"通过","失败")</x:f>
        <x:v>通过</x:v>
      </x:c>
      <x:c r="AB27" s="25" t="str">
        <x:f>D27&amp;"+"&amp;F27&amp;"+"&amp;H27&amp;"+"&amp;J27</x:f>
        <x:v>J-ZJ-08+M-ZJ-JIN-P+A-ZJ-P+E-ZJ-GAN-P</x:v>
      </x:c>
      <x:c r="AC27" s="25" t="str">
        <x:v>四材易认、方性直观；师承默认教学解</x:v>
      </x:c>
    </x:row>
    <x:row r="28" ht="15" hidden="0" customHeight="1">
      <x:c r="A28" s="25" t="str">
        <x:v>F-ZJ-08</x:v>
      </x:c>
      <x:c r="B28" s="25" t="n">
        <x:v>3</x:v>
      </x:c>
      <x:c r="C28" s="25" t="str">
        <x:v>精炼解</x:v>
      </x:c>
      <x:c r="D28" s="25" t="str">
        <x:v>J-ZJ-08</x:v>
      </x:c>
      <x:c r="E28" s="25" t="n">
        <x:v>2</x:v>
      </x:c>
      <x:c r="F28" s="25" t="str">
        <x:v>M-ZJ-JIN-C</x:v>
      </x:c>
      <x:c r="G28" s="25" t="n">
        <x:v>1</x:v>
      </x:c>
      <x:c r="H28" s="25" t="str">
        <x:v>A-ZJ-P</x:v>
      </x:c>
      <x:c r="I28" s="25" t="n">
        <x:v>1</x:v>
      </x:c>
      <x:c r="J28" s="25" t="str">
        <x:v>E-ZJ-GAN-W</x:v>
      </x:c>
      <x:c r="K28" s="25" t="n">
        <x:v>1</x:v>
      </x:c>
      <x:c r="L28" s="25" t="str">
        <x:v>玄</x:v>
      </x:c>
      <x:c r="M28" s="26" t="n">
        <x:f>VLOOKUP(L28,'01_参数与词典'!$A$6:$D$10,2,FALSE)</x:f>
        <x:v>3</x:v>
      </x:c>
      <x:c r="N28" s="25" t="str">
        <x:f>IF(D28=VLOOKUP(A28,'02_筑基丹方表'!$A$5:$Q$19,7,FALSE),"通过","失败")</x:f>
        <x:v>通过</x:v>
      </x:c>
      <x:c r="O28" s="25" t="str">
        <x:f>IF(VLOOKUP(F28,'03_筑基灵植表'!$A$5:$N$49,6,FALSE)=VLOOKUP(A28,'02_筑基丹方表'!$A$5:$Q$19,8,FALSE),"通过","失败")</x:f>
        <x:v>通过</x:v>
      </x:c>
      <x:c r="P28" s="25" t="str">
        <x:f>IF(VLOOKUP(J28,'03_筑基灵植表'!$A$5:$N$49,9,FALSE)=VLOOKUP(A28,'02_筑基丹方表'!$A$5:$Q$19,11,FALSE),"通过","失败")</x:f>
        <x:v>通过</x:v>
      </x:c>
      <x:c r="Q28" s="41" t="n">
        <x:f>VLOOKUP(D28,'03_筑基灵植表'!$A$5:$N$49,8,FALSE)+VLOOKUP(F28,'03_筑基灵植表'!$A$5:$N$49,8,FALSE)+VLOOKUP(H28,'03_筑基灵植表'!$A$5:$N$49,8,FALSE)+VLOOKUP(J28,'03_筑基灵植表'!$A$5:$N$49,8,FALSE)</x:f>
        <x:v>-1</x:v>
      </x:c>
      <x:c r="R28" s="41" t="str">
        <x:f>IF(Q28=VLOOKUP(A28,'02_筑基丹方表'!$A$5:$Q$19,10,FALSE),"通过","失败")</x:f>
        <x:v>通过</x:v>
      </x:c>
      <x:c r="S28" s="41" t="n">
        <x:f>M28*(VLOOKUP(D28,'03_筑基灵植表'!$A$5:$N$49,10,FALSE)*E28+VLOOKUP(F28,'03_筑基灵植表'!$A$5:$N$49,10,FALSE)*G28+VLOOKUP(H28,'03_筑基灵植表'!$A$5:$N$49,10,FALSE)*I28+VLOOKUP(J28,'03_筑基灵植表'!$A$5:$N$49,10,FALSE)*K28)</x:f>
        <x:v>45</x:v>
      </x:c>
      <x:c r="T28" s="41" t="str">
        <x:f>IF(S28&gt;=VLOOKUP(A28,'02_筑基丹方表'!$A$5:$Q$19,12,FALSE),"通过","失败")</x:f>
        <x:v>通过</x:v>
      </x:c>
      <x:c r="U28" s="41" t="n">
        <x:f>SUM(E28,G28,I28,K28)</x:f>
        <x:v>5</x:v>
      </x:c>
      <x:c r="V28" s="41" t="str">
        <x:f>IF(U28&lt;=VLOOKUP(A28,'02_筑基丹方表'!$A$5:$Q$19,13,FALSE),"通过","失败")</x:f>
        <x:v>通过</x:v>
      </x:c>
      <x:c r="W28" s="41" t="n">
        <x:f>VLOOKUP(L28,'01_参数与词典'!$A$6:$D$10,3,FALSE)*(VLOOKUP(D28,'03_筑基灵植表'!$A$5:$N$49,12,FALSE)*E28+VLOOKUP(F28,'03_筑基灵植表'!$A$5:$N$49,12,FALSE)*G28+VLOOKUP(H28,'03_筑基灵植表'!$A$5:$N$49,12,FALSE)*I28+VLOOKUP(J28,'03_筑基灵植表'!$A$5:$N$49,12,FALSE)*K28)</x:f>
        <x:v>243.20000000000002</x:v>
      </x:c>
      <x:c r="X28" s="25" t="str">
        <x:v>灵</x:v>
      </x:c>
      <x:c r="Y28" s="41" t="n">
        <x:f>VLOOKUP(A28,'02_筑基丹方表'!$A$5:$Q$19,16,FALSE)*VLOOKUP(X28,'01_参数与词典'!$A$6:$D$10,4,FALSE)</x:f>
        <x:v>520</x:v>
      </x:c>
      <x:c r="Z28" s="41" t="n">
        <x:f>Y28-W28</x:f>
        <x:v>276.79999999999995</x:v>
      </x:c>
      <x:c r="AA28" s="25" t="str">
        <x:f>IF(AND(N28="通过",O28="通过",P28="通过",R28="通过",T28="通过",V28="通过"),"通过","失败")</x:f>
        <x:v>通过</x:v>
      </x:c>
      <x:c r="AB28" s="25" t="str">
        <x:f>D28&amp;"+"&amp;F28&amp;"+"&amp;H28&amp;"+"&amp;J28</x:f>
        <x:v>J-ZJ-08+M-ZJ-JIN-C+A-ZJ-P+E-ZJ-GAN-W</x:v>
      </x:c>
      <x:c r="AC28" s="25" t="str">
        <x:v>臣凉使温相抵，药力留余；用于冲击较高品质</x:v>
      </x:c>
    </x:row>
    <x:row r="29" ht="15" hidden="0" customHeight="1">
      <x:c r="A29" s="25" t="str">
        <x:v>F-ZJ-09</x:v>
      </x:c>
      <x:c r="B29" s="25" t="n">
        <x:v>1</x:v>
      </x:c>
      <x:c r="C29" s="25" t="str">
        <x:v>廉价解</x:v>
      </x:c>
      <x:c r="D29" s="25" t="str">
        <x:v>J-ZJ-09</x:v>
      </x:c>
      <x:c r="E29" s="25" t="n">
        <x:v>2</x:v>
      </x:c>
      <x:c r="F29" s="25" t="str">
        <x:v>M-ZJ-TU-W</x:v>
      </x:c>
      <x:c r="G29" s="25" t="n">
        <x:v>1</x:v>
      </x:c>
      <x:c r="H29" s="25" t="str">
        <x:v>A-ZJ-C</x:v>
      </x:c>
      <x:c r="I29" s="25" t="n">
        <x:v>1</x:v>
      </x:c>
      <x:c r="J29" s="25" t="str">
        <x:v>E-ZJ-XIAN-P</x:v>
      </x:c>
      <x:c r="K29" s="25" t="n">
        <x:v>1</x:v>
      </x:c>
      <x:c r="L29" s="25" t="str">
        <x:v>灵</x:v>
      </x:c>
      <x:c r="M29" s="26" t="n">
        <x:f>VLOOKUP(L29,'01_参数与词典'!$A$6:$D$10,2,FALSE)</x:f>
        <x:v>2</x:v>
      </x:c>
      <x:c r="N29" s="25" t="str">
        <x:f>IF(D29=VLOOKUP(A29,'02_筑基丹方表'!$A$5:$Q$19,7,FALSE),"通过","失败")</x:f>
        <x:v>通过</x:v>
      </x:c>
      <x:c r="O29" s="25" t="str">
        <x:f>IF(VLOOKUP(F29,'03_筑基灵植表'!$A$5:$N$49,6,FALSE)=VLOOKUP(A29,'02_筑基丹方表'!$A$5:$Q$19,8,FALSE),"通过","失败")</x:f>
        <x:v>通过</x:v>
      </x:c>
      <x:c r="P29" s="25" t="str">
        <x:f>IF(VLOOKUP(J29,'03_筑基灵植表'!$A$5:$N$49,9,FALSE)=VLOOKUP(A29,'02_筑基丹方表'!$A$5:$Q$19,11,FALSE),"通过","失败")</x:f>
        <x:v>通过</x:v>
      </x:c>
      <x:c r="Q29" s="41" t="n">
        <x:f>VLOOKUP(D29,'03_筑基灵植表'!$A$5:$N$49,8,FALSE)+VLOOKUP(F29,'03_筑基灵植表'!$A$5:$N$49,8,FALSE)+VLOOKUP(H29,'03_筑基灵植表'!$A$5:$N$49,8,FALSE)+VLOOKUP(J29,'03_筑基灵植表'!$A$5:$N$49,8,FALSE)</x:f>
        <x:v>1</x:v>
      </x:c>
      <x:c r="R29" s="41" t="str">
        <x:f>IF(Q29=VLOOKUP(A29,'02_筑基丹方表'!$A$5:$Q$19,10,FALSE),"通过","失败")</x:f>
        <x:v>通过</x:v>
      </x:c>
      <x:c r="S29" s="41" t="n">
        <x:f>M29*(VLOOKUP(D29,'03_筑基灵植表'!$A$5:$N$49,10,FALSE)*E29+VLOOKUP(F29,'03_筑基灵植表'!$A$5:$N$49,10,FALSE)*G29+VLOOKUP(H29,'03_筑基灵植表'!$A$5:$N$49,10,FALSE)*I29+VLOOKUP(J29,'03_筑基灵植表'!$A$5:$N$49,10,FALSE)*K29)</x:f>
        <x:v>30</x:v>
      </x:c>
      <x:c r="T29" s="41" t="str">
        <x:f>IF(S29&gt;=VLOOKUP(A29,'02_筑基丹方表'!$A$5:$Q$19,12,FALSE),"通过","失败")</x:f>
        <x:v>通过</x:v>
      </x:c>
      <x:c r="U29" s="41" t="n">
        <x:f>SUM(E29,G29,I29,K29)</x:f>
        <x:v>5</x:v>
      </x:c>
      <x:c r="V29" s="41" t="str">
        <x:f>IF(U29&lt;=VLOOKUP(A29,'02_筑基丹方表'!$A$5:$Q$19,13,FALSE),"通过","失败")</x:f>
        <x:v>通过</x:v>
      </x:c>
      <x:c r="W29" s="41" t="n">
        <x:f>VLOOKUP(L29,'01_参数与词典'!$A$6:$D$10,3,FALSE)*(VLOOKUP(D29,'03_筑基灵植表'!$A$5:$N$49,12,FALSE)*E29+VLOOKUP(F29,'03_筑基灵植表'!$A$5:$N$49,12,FALSE)*G29+VLOOKUP(H29,'03_筑基灵植表'!$A$5:$N$49,12,FALSE)*I29+VLOOKUP(J29,'03_筑基灵植表'!$A$5:$N$49,12,FALSE)*K29)</x:f>
        <x:v>103.7</x:v>
      </x:c>
      <x:c r="X29" s="25" t="str">
        <x:v>凡</x:v>
      </x:c>
      <x:c r="Y29" s="41" t="n">
        <x:f>VLOOKUP(A29,'02_筑基丹方表'!$A$5:$Q$19,16,FALSE)*VLOOKUP(X29,'01_参数与词典'!$A$6:$D$10,4,FALSE)</x:f>
        <x:v>320</x:v>
      </x:c>
      <x:c r="Z29" s="41" t="n">
        <x:f>Y29-W29</x:f>
        <x:v>216.3</x:v>
      </x:c>
      <x:c r="AA29" s="25" t="str">
        <x:f>IF(AND(N29="通过",O29="通过",P29="通过",R29="通过",T29="通过",V29="通过"),"通过","失败")</x:f>
        <x:v>通过</x:v>
      </x:c>
      <x:c r="AB29" s="25" t="str">
        <x:f>D29&amp;"+"&amp;F29&amp;"+"&amp;H29&amp;"+"&amp;J29</x:f>
        <x:v>J-ZJ-09+M-ZJ-TU-W+A-ZJ-C+E-ZJ-XIAN-P</x:v>
      </x:c>
      <x:c r="AC29" s="25" t="str">
        <x:v>廉价辅材，多占份数；适合卖药与资源紧张时</x:v>
      </x:c>
    </x:row>
    <x:row r="30" ht="15" hidden="0" customHeight="1">
      <x:c r="A30" s="25" t="str">
        <x:v>F-ZJ-09</x:v>
      </x:c>
      <x:c r="B30" s="25" t="n">
        <x:v>2</x:v>
      </x:c>
      <x:c r="C30" s="25" t="str">
        <x:v>标准解</x:v>
      </x:c>
      <x:c r="D30" s="25" t="str">
        <x:v>J-ZJ-09</x:v>
      </x:c>
      <x:c r="E30" s="25" t="n">
        <x:v>2</x:v>
      </x:c>
      <x:c r="F30" s="25" t="str">
        <x:v>M-ZJ-TU-P</x:v>
      </x:c>
      <x:c r="G30" s="25" t="n">
        <x:v>1</x:v>
      </x:c>
      <x:c r="H30" s="25" t="str">
        <x:v>A-ZJ-P</x:v>
      </x:c>
      <x:c r="I30" s="25" t="n">
        <x:v>1</x:v>
      </x:c>
      <x:c r="J30" s="25" t="str">
        <x:v>E-ZJ-XIAN-P</x:v>
      </x:c>
      <x:c r="K30" s="25" t="n">
        <x:v>1</x:v>
      </x:c>
      <x:c r="L30" s="25" t="str">
        <x:v>灵</x:v>
      </x:c>
      <x:c r="M30" s="26" t="n">
        <x:f>VLOOKUP(L30,'01_参数与词典'!$A$6:$D$10,2,FALSE)</x:f>
        <x:v>2</x:v>
      </x:c>
      <x:c r="N30" s="25" t="str">
        <x:f>IF(D30=VLOOKUP(A30,'02_筑基丹方表'!$A$5:$Q$19,7,FALSE),"通过","失败")</x:f>
        <x:v>通过</x:v>
      </x:c>
      <x:c r="O30" s="25" t="str">
        <x:f>IF(VLOOKUP(F30,'03_筑基灵植表'!$A$5:$N$49,6,FALSE)=VLOOKUP(A30,'02_筑基丹方表'!$A$5:$Q$19,8,FALSE),"通过","失败")</x:f>
        <x:v>通过</x:v>
      </x:c>
      <x:c r="P30" s="25" t="str">
        <x:f>IF(VLOOKUP(J30,'03_筑基灵植表'!$A$5:$N$49,9,FALSE)=VLOOKUP(A30,'02_筑基丹方表'!$A$5:$Q$19,11,FALSE),"通过","失败")</x:f>
        <x:v>通过</x:v>
      </x:c>
      <x:c r="Q30" s="41" t="n">
        <x:f>VLOOKUP(D30,'03_筑基灵植表'!$A$5:$N$49,8,FALSE)+VLOOKUP(F30,'03_筑基灵植表'!$A$5:$N$49,8,FALSE)+VLOOKUP(H30,'03_筑基灵植表'!$A$5:$N$49,8,FALSE)+VLOOKUP(J30,'03_筑基灵植表'!$A$5:$N$49,8,FALSE)</x:f>
        <x:v>1</x:v>
      </x:c>
      <x:c r="R30" s="41" t="str">
        <x:f>IF(Q30=VLOOKUP(A30,'02_筑基丹方表'!$A$5:$Q$19,10,FALSE),"通过","失败")</x:f>
        <x:v>通过</x:v>
      </x:c>
      <x:c r="S30" s="41" t="n">
        <x:f>M30*(VLOOKUP(D30,'03_筑基灵植表'!$A$5:$N$49,10,FALSE)*E30+VLOOKUP(F30,'03_筑基灵植表'!$A$5:$N$49,10,FALSE)*G30+VLOOKUP(H30,'03_筑基灵植表'!$A$5:$N$49,10,FALSE)*I30+VLOOKUP(J30,'03_筑基灵植表'!$A$5:$N$49,10,FALSE)*K30)</x:f>
        <x:v>30</x:v>
      </x:c>
      <x:c r="T30" s="41" t="str">
        <x:f>IF(S30&gt;=VLOOKUP(A30,'02_筑基丹方表'!$A$5:$Q$19,12,FALSE),"通过","失败")</x:f>
        <x:v>通过</x:v>
      </x:c>
      <x:c r="U30" s="41" t="n">
        <x:f>SUM(E30,G30,I30,K30)</x:f>
        <x:v>5</x:v>
      </x:c>
      <x:c r="V30" s="41" t="str">
        <x:f>IF(U30&lt;=VLOOKUP(A30,'02_筑基丹方表'!$A$5:$Q$19,13,FALSE),"通过","失败")</x:f>
        <x:v>通过</x:v>
      </x:c>
      <x:c r="W30" s="41" t="n">
        <x:f>VLOOKUP(L30,'01_参数与词典'!$A$6:$D$10,3,FALSE)*(VLOOKUP(D30,'03_筑基灵植表'!$A$5:$N$49,12,FALSE)*E30+VLOOKUP(F30,'03_筑基灵植表'!$A$5:$N$49,12,FALSE)*G30+VLOOKUP(H30,'03_筑基灵植表'!$A$5:$N$49,12,FALSE)*I30+VLOOKUP(J30,'03_筑基灵植表'!$A$5:$N$49,12,FALSE)*K30)</x:f>
        <x:v>110.5</x:v>
      </x:c>
      <x:c r="X30" s="25" t="str">
        <x:v>凡</x:v>
      </x:c>
      <x:c r="Y30" s="41" t="n">
        <x:f>VLOOKUP(A30,'02_筑基丹方表'!$A$5:$Q$19,16,FALSE)*VLOOKUP(X30,'01_参数与词典'!$A$6:$D$10,4,FALSE)</x:f>
        <x:v>320</x:v>
      </x:c>
      <x:c r="Z30" s="41" t="n">
        <x:f>Y30-W30</x:f>
        <x:v>209.5</x:v>
      </x:c>
      <x:c r="AA30" s="25" t="str">
        <x:f>IF(AND(N30="通过",O30="通过",P30="通过",R30="通过",T30="通过",V30="通过"),"通过","失败")</x:f>
        <x:v>通过</x:v>
      </x:c>
      <x:c r="AB30" s="25" t="str">
        <x:f>D30&amp;"+"&amp;F30&amp;"+"&amp;H30&amp;"+"&amp;J30</x:f>
        <x:v>J-ZJ-09+M-ZJ-TU-P+A-ZJ-P+E-ZJ-XIAN-P</x:v>
      </x:c>
      <x:c r="AC30" s="25" t="str">
        <x:v>四材易认、方性直观；师承默认教学解</x:v>
      </x:c>
    </x:row>
    <x:row r="31" ht="15" hidden="0" customHeight="1">
      <x:c r="A31" s="25" t="str">
        <x:v>F-ZJ-09</x:v>
      </x:c>
      <x:c r="B31" s="25" t="n">
        <x:v>3</x:v>
      </x:c>
      <x:c r="C31" s="25" t="str">
        <x:v>精炼解</x:v>
      </x:c>
      <x:c r="D31" s="25" t="str">
        <x:v>J-ZJ-09</x:v>
      </x:c>
      <x:c r="E31" s="25" t="n">
        <x:v>2</x:v>
      </x:c>
      <x:c r="F31" s="25" t="str">
        <x:v>M-ZJ-TU-C</x:v>
      </x:c>
      <x:c r="G31" s="25" t="n">
        <x:v>1</x:v>
      </x:c>
      <x:c r="H31" s="25" t="str">
        <x:v>A-ZJ-P</x:v>
      </x:c>
      <x:c r="I31" s="25" t="n">
        <x:v>1</x:v>
      </x:c>
      <x:c r="J31" s="25" t="str">
        <x:v>E-ZJ-XIAN-W</x:v>
      </x:c>
      <x:c r="K31" s="25" t="n">
        <x:v>1</x:v>
      </x:c>
      <x:c r="L31" s="25" t="str">
        <x:v>玄</x:v>
      </x:c>
      <x:c r="M31" s="26" t="n">
        <x:f>VLOOKUP(L31,'01_参数与词典'!$A$6:$D$10,2,FALSE)</x:f>
        <x:v>3</x:v>
      </x:c>
      <x:c r="N31" s="25" t="str">
        <x:f>IF(D31=VLOOKUP(A31,'02_筑基丹方表'!$A$5:$Q$19,7,FALSE),"通过","失败")</x:f>
        <x:v>通过</x:v>
      </x:c>
      <x:c r="O31" s="25" t="str">
        <x:f>IF(VLOOKUP(F31,'03_筑基灵植表'!$A$5:$N$49,6,FALSE)=VLOOKUP(A31,'02_筑基丹方表'!$A$5:$Q$19,8,FALSE),"通过","失败")</x:f>
        <x:v>通过</x:v>
      </x:c>
      <x:c r="P31" s="25" t="str">
        <x:f>IF(VLOOKUP(J31,'03_筑基灵植表'!$A$5:$N$49,9,FALSE)=VLOOKUP(A31,'02_筑基丹方表'!$A$5:$Q$19,11,FALSE),"通过","失败")</x:f>
        <x:v>通过</x:v>
      </x:c>
      <x:c r="Q31" s="41" t="n">
        <x:f>VLOOKUP(D31,'03_筑基灵植表'!$A$5:$N$49,8,FALSE)+VLOOKUP(F31,'03_筑基灵植表'!$A$5:$N$49,8,FALSE)+VLOOKUP(H31,'03_筑基灵植表'!$A$5:$N$49,8,FALSE)+VLOOKUP(J31,'03_筑基灵植表'!$A$5:$N$49,8,FALSE)</x:f>
        <x:v>1</x:v>
      </x:c>
      <x:c r="R31" s="41" t="str">
        <x:f>IF(Q31=VLOOKUP(A31,'02_筑基丹方表'!$A$5:$Q$19,10,FALSE),"通过","失败")</x:f>
        <x:v>通过</x:v>
      </x:c>
      <x:c r="S31" s="41" t="n">
        <x:f>M31*(VLOOKUP(D31,'03_筑基灵植表'!$A$5:$N$49,10,FALSE)*E31+VLOOKUP(F31,'03_筑基灵植表'!$A$5:$N$49,10,FALSE)*G31+VLOOKUP(H31,'03_筑基灵植表'!$A$5:$N$49,10,FALSE)*I31+VLOOKUP(J31,'03_筑基灵植表'!$A$5:$N$49,10,FALSE)*K31)</x:f>
        <x:v>45</x:v>
      </x:c>
      <x:c r="T31" s="41" t="str">
        <x:f>IF(S31&gt;=VLOOKUP(A31,'02_筑基丹方表'!$A$5:$Q$19,12,FALSE),"通过","失败")</x:f>
        <x:v>通过</x:v>
      </x:c>
      <x:c r="U31" s="41" t="n">
        <x:f>SUM(E31,G31,I31,K31)</x:f>
        <x:v>5</x:v>
      </x:c>
      <x:c r="V31" s="41" t="str">
        <x:f>IF(U31&lt;=VLOOKUP(A31,'02_筑基丹方表'!$A$5:$Q$19,13,FALSE),"通过","失败")</x:f>
        <x:v>通过</x:v>
      </x:c>
      <x:c r="W31" s="41" t="n">
        <x:f>VLOOKUP(L31,'01_参数与词典'!$A$6:$D$10,3,FALSE)*(VLOOKUP(D31,'03_筑基灵植表'!$A$5:$N$49,12,FALSE)*E31+VLOOKUP(F31,'03_筑基灵植表'!$A$5:$N$49,12,FALSE)*G31+VLOOKUP(H31,'03_筑基灵植表'!$A$5:$N$49,12,FALSE)*I31+VLOOKUP(J31,'03_筑基灵植表'!$A$5:$N$49,12,FALSE)*K31)</x:f>
        <x:v>230.4</x:v>
      </x:c>
      <x:c r="X31" s="25" t="str">
        <x:v>灵</x:v>
      </x:c>
      <x:c r="Y31" s="41" t="n">
        <x:f>VLOOKUP(A31,'02_筑基丹方表'!$A$5:$Q$19,16,FALSE)*VLOOKUP(X31,'01_参数与词典'!$A$6:$D$10,4,FALSE)</x:f>
        <x:v>640</x:v>
      </x:c>
      <x:c r="Z31" s="41" t="n">
        <x:f>Y31-W31</x:f>
        <x:v>409.6</x:v>
      </x:c>
      <x:c r="AA31" s="25" t="str">
        <x:f>IF(AND(N31="通过",O31="通过",P31="通过",R31="通过",T31="通过",V31="通过"),"通过","失败")</x:f>
        <x:v>通过</x:v>
      </x:c>
      <x:c r="AB31" s="25" t="str">
        <x:f>D31&amp;"+"&amp;F31&amp;"+"&amp;H31&amp;"+"&amp;J31</x:f>
        <x:v>J-ZJ-09+M-ZJ-TU-C+A-ZJ-P+E-ZJ-XIAN-W</x:v>
      </x:c>
      <x:c r="AC31" s="25" t="str">
        <x:v>臣凉使温相抵，药力留余；用于冲击较高品质</x:v>
      </x:c>
    </x:row>
    <x:row r="32" ht="15" hidden="0" customHeight="1">
      <x:c r="A32" s="25" t="str">
        <x:v>F-ZJ-10</x:v>
      </x:c>
      <x:c r="B32" s="25" t="n">
        <x:v>1</x:v>
      </x:c>
      <x:c r="C32" s="25" t="str">
        <x:v>廉价解</x:v>
      </x:c>
      <x:c r="D32" s="25" t="str">
        <x:v>J-ZJ-10</x:v>
      </x:c>
      <x:c r="E32" s="25" t="n">
        <x:v>2</x:v>
      </x:c>
      <x:c r="F32" s="25" t="str">
        <x:v>M-ZJ-TU-W</x:v>
      </x:c>
      <x:c r="G32" s="25" t="n">
        <x:v>1</x:v>
      </x:c>
      <x:c r="H32" s="25" t="str">
        <x:v>A-ZJ-C</x:v>
      </x:c>
      <x:c r="I32" s="25" t="n">
        <x:v>1</x:v>
      </x:c>
      <x:c r="J32" s="25" t="str">
        <x:v>E-ZJ-KU-P</x:v>
      </x:c>
      <x:c r="K32" s="25" t="n">
        <x:v>1</x:v>
      </x:c>
      <x:c r="L32" s="25" t="str">
        <x:v>灵</x:v>
      </x:c>
      <x:c r="M32" s="26" t="n">
        <x:f>VLOOKUP(L32,'01_参数与词典'!$A$6:$D$10,2,FALSE)</x:f>
        <x:v>2</x:v>
      </x:c>
      <x:c r="N32" s="25" t="str">
        <x:f>IF(D32=VLOOKUP(A32,'02_筑基丹方表'!$A$5:$Q$19,7,FALSE),"通过","失败")</x:f>
        <x:v>通过</x:v>
      </x:c>
      <x:c r="O32" s="25" t="str">
        <x:f>IF(VLOOKUP(F32,'03_筑基灵植表'!$A$5:$N$49,6,FALSE)=VLOOKUP(A32,'02_筑基丹方表'!$A$5:$Q$19,8,FALSE),"通过","失败")</x:f>
        <x:v>通过</x:v>
      </x:c>
      <x:c r="P32" s="25" t="str">
        <x:f>IF(VLOOKUP(J32,'03_筑基灵植表'!$A$5:$N$49,9,FALSE)=VLOOKUP(A32,'02_筑基丹方表'!$A$5:$Q$19,11,FALSE),"通过","失败")</x:f>
        <x:v>通过</x:v>
      </x:c>
      <x:c r="Q32" s="41" t="n">
        <x:f>VLOOKUP(D32,'03_筑基灵植表'!$A$5:$N$49,8,FALSE)+VLOOKUP(F32,'03_筑基灵植表'!$A$5:$N$49,8,FALSE)+VLOOKUP(H32,'03_筑基灵植表'!$A$5:$N$49,8,FALSE)+VLOOKUP(J32,'03_筑基灵植表'!$A$5:$N$49,8,FALSE)</x:f>
        <x:v>0</x:v>
      </x:c>
      <x:c r="R32" s="41" t="str">
        <x:f>IF(Q32=VLOOKUP(A32,'02_筑基丹方表'!$A$5:$Q$19,10,FALSE),"通过","失败")</x:f>
        <x:v>通过</x:v>
      </x:c>
      <x:c r="S32" s="41" t="n">
        <x:f>M32*(VLOOKUP(D32,'03_筑基灵植表'!$A$5:$N$49,10,FALSE)*E32+VLOOKUP(F32,'03_筑基灵植表'!$A$5:$N$49,10,FALSE)*G32+VLOOKUP(H32,'03_筑基灵植表'!$A$5:$N$49,10,FALSE)*I32+VLOOKUP(J32,'03_筑基灵植表'!$A$5:$N$49,10,FALSE)*K32)</x:f>
        <x:v>30</x:v>
      </x:c>
      <x:c r="T32" s="41" t="str">
        <x:f>IF(S32&gt;=VLOOKUP(A32,'02_筑基丹方表'!$A$5:$Q$19,12,FALSE),"通过","失败")</x:f>
        <x:v>通过</x:v>
      </x:c>
      <x:c r="U32" s="41" t="n">
        <x:f>SUM(E32,G32,I32,K32)</x:f>
        <x:v>5</x:v>
      </x:c>
      <x:c r="V32" s="41" t="str">
        <x:f>IF(U32&lt;=VLOOKUP(A32,'02_筑基丹方表'!$A$5:$Q$19,13,FALSE),"通过","失败")</x:f>
        <x:v>通过</x:v>
      </x:c>
      <x:c r="W32" s="41" t="n">
        <x:f>VLOOKUP(L32,'01_参数与词典'!$A$6:$D$10,3,FALSE)*(VLOOKUP(D32,'03_筑基灵植表'!$A$5:$N$49,12,FALSE)*E32+VLOOKUP(F32,'03_筑基灵植表'!$A$5:$N$49,12,FALSE)*G32+VLOOKUP(H32,'03_筑基灵植表'!$A$5:$N$49,12,FALSE)*I32+VLOOKUP(J32,'03_筑基灵植表'!$A$5:$N$49,12,FALSE)*K32)</x:f>
        <x:v>103.7</x:v>
      </x:c>
      <x:c r="X32" s="25" t="str">
        <x:v>凡</x:v>
      </x:c>
      <x:c r="Y32" s="41" t="n">
        <x:f>VLOOKUP(A32,'02_筑基丹方表'!$A$5:$Q$19,16,FALSE)*VLOOKUP(X32,'01_参数与词典'!$A$6:$D$10,4,FALSE)</x:f>
        <x:v>320</x:v>
      </x:c>
      <x:c r="Z32" s="41" t="n">
        <x:f>Y32-W32</x:f>
        <x:v>216.3</x:v>
      </x:c>
      <x:c r="AA32" s="25" t="str">
        <x:f>IF(AND(N32="通过",O32="通过",P32="通过",R32="通过",T32="通过",V32="通过"),"通过","失败")</x:f>
        <x:v>通过</x:v>
      </x:c>
      <x:c r="AB32" s="25" t="str">
        <x:f>D32&amp;"+"&amp;F32&amp;"+"&amp;H32&amp;"+"&amp;J32</x:f>
        <x:v>J-ZJ-10+M-ZJ-TU-W+A-ZJ-C+E-ZJ-KU-P</x:v>
      </x:c>
      <x:c r="AC32" s="25" t="str">
        <x:v>廉价辅材，多占份数；适合卖药与资源紧张时</x:v>
      </x:c>
    </x:row>
    <x:row r="33" ht="15" hidden="0" customHeight="1">
      <x:c r="A33" s="25" t="str">
        <x:v>F-ZJ-10</x:v>
      </x:c>
      <x:c r="B33" s="25" t="n">
        <x:v>2</x:v>
      </x:c>
      <x:c r="C33" s="25" t="str">
        <x:v>标准解</x:v>
      </x:c>
      <x:c r="D33" s="25" t="str">
        <x:v>J-ZJ-10</x:v>
      </x:c>
      <x:c r="E33" s="25" t="n">
        <x:v>2</x:v>
      </x:c>
      <x:c r="F33" s="25" t="str">
        <x:v>M-ZJ-TU-P</x:v>
      </x:c>
      <x:c r="G33" s="25" t="n">
        <x:v>1</x:v>
      </x:c>
      <x:c r="H33" s="25" t="str">
        <x:v>A-ZJ-P</x:v>
      </x:c>
      <x:c r="I33" s="25" t="n">
        <x:v>1</x:v>
      </x:c>
      <x:c r="J33" s="25" t="str">
        <x:v>E-ZJ-KU-P</x:v>
      </x:c>
      <x:c r="K33" s="25" t="n">
        <x:v>1</x:v>
      </x:c>
      <x:c r="L33" s="25" t="str">
        <x:v>灵</x:v>
      </x:c>
      <x:c r="M33" s="26" t="n">
        <x:f>VLOOKUP(L33,'01_参数与词典'!$A$6:$D$10,2,FALSE)</x:f>
        <x:v>2</x:v>
      </x:c>
      <x:c r="N33" s="25" t="str">
        <x:f>IF(D33=VLOOKUP(A33,'02_筑基丹方表'!$A$5:$Q$19,7,FALSE),"通过","失败")</x:f>
        <x:v>通过</x:v>
      </x:c>
      <x:c r="O33" s="25" t="str">
        <x:f>IF(VLOOKUP(F33,'03_筑基灵植表'!$A$5:$N$49,6,FALSE)=VLOOKUP(A33,'02_筑基丹方表'!$A$5:$Q$19,8,FALSE),"通过","失败")</x:f>
        <x:v>通过</x:v>
      </x:c>
      <x:c r="P33" s="25" t="str">
        <x:f>IF(VLOOKUP(J33,'03_筑基灵植表'!$A$5:$N$49,9,FALSE)=VLOOKUP(A33,'02_筑基丹方表'!$A$5:$Q$19,11,FALSE),"通过","失败")</x:f>
        <x:v>通过</x:v>
      </x:c>
      <x:c r="Q33" s="41" t="n">
        <x:f>VLOOKUP(D33,'03_筑基灵植表'!$A$5:$N$49,8,FALSE)+VLOOKUP(F33,'03_筑基灵植表'!$A$5:$N$49,8,FALSE)+VLOOKUP(H33,'03_筑基灵植表'!$A$5:$N$49,8,FALSE)+VLOOKUP(J33,'03_筑基灵植表'!$A$5:$N$49,8,FALSE)</x:f>
        <x:v>0</x:v>
      </x:c>
      <x:c r="R33" s="41" t="str">
        <x:f>IF(Q33=VLOOKUP(A33,'02_筑基丹方表'!$A$5:$Q$19,10,FALSE),"通过","失败")</x:f>
        <x:v>通过</x:v>
      </x:c>
      <x:c r="S33" s="41" t="n">
        <x:f>M33*(VLOOKUP(D33,'03_筑基灵植表'!$A$5:$N$49,10,FALSE)*E33+VLOOKUP(F33,'03_筑基灵植表'!$A$5:$N$49,10,FALSE)*G33+VLOOKUP(H33,'03_筑基灵植表'!$A$5:$N$49,10,FALSE)*I33+VLOOKUP(J33,'03_筑基灵植表'!$A$5:$N$49,10,FALSE)*K33)</x:f>
        <x:v>30</x:v>
      </x:c>
      <x:c r="T33" s="41" t="str">
        <x:f>IF(S33&gt;=VLOOKUP(A33,'02_筑基丹方表'!$A$5:$Q$19,12,FALSE),"通过","失败")</x:f>
        <x:v>通过</x:v>
      </x:c>
      <x:c r="U33" s="41" t="n">
        <x:f>SUM(E33,G33,I33,K33)</x:f>
        <x:v>5</x:v>
      </x:c>
      <x:c r="V33" s="41" t="str">
        <x:f>IF(U33&lt;=VLOOKUP(A33,'02_筑基丹方表'!$A$5:$Q$19,13,FALSE),"通过","失败")</x:f>
        <x:v>通过</x:v>
      </x:c>
      <x:c r="W33" s="41" t="n">
        <x:f>VLOOKUP(L33,'01_参数与词典'!$A$6:$D$10,3,FALSE)*(VLOOKUP(D33,'03_筑基灵植表'!$A$5:$N$49,12,FALSE)*E33+VLOOKUP(F33,'03_筑基灵植表'!$A$5:$N$49,12,FALSE)*G33+VLOOKUP(H33,'03_筑基灵植表'!$A$5:$N$49,12,FALSE)*I33+VLOOKUP(J33,'03_筑基灵植表'!$A$5:$N$49,12,FALSE)*K33)</x:f>
        <x:v>110.5</x:v>
      </x:c>
      <x:c r="X33" s="25" t="str">
        <x:v>凡</x:v>
      </x:c>
      <x:c r="Y33" s="41" t="n">
        <x:f>VLOOKUP(A33,'02_筑基丹方表'!$A$5:$Q$19,16,FALSE)*VLOOKUP(X33,'01_参数与词典'!$A$6:$D$10,4,FALSE)</x:f>
        <x:v>320</x:v>
      </x:c>
      <x:c r="Z33" s="41" t="n">
        <x:f>Y33-W33</x:f>
        <x:v>209.5</x:v>
      </x:c>
      <x:c r="AA33" s="25" t="str">
        <x:f>IF(AND(N33="通过",O33="通过",P33="通过",R33="通过",T33="通过",V33="通过"),"通过","失败")</x:f>
        <x:v>通过</x:v>
      </x:c>
      <x:c r="AB33" s="25" t="str">
        <x:f>D33&amp;"+"&amp;F33&amp;"+"&amp;H33&amp;"+"&amp;J33</x:f>
        <x:v>J-ZJ-10+M-ZJ-TU-P+A-ZJ-P+E-ZJ-KU-P</x:v>
      </x:c>
      <x:c r="AC33" s="25" t="str">
        <x:v>四材易认、方性直观；师承默认教学解</x:v>
      </x:c>
    </x:row>
    <x:row r="34" ht="15" hidden="0" customHeight="1">
      <x:c r="A34" s="25" t="str">
        <x:v>F-ZJ-10</x:v>
      </x:c>
      <x:c r="B34" s="25" t="n">
        <x:v>3</x:v>
      </x:c>
      <x:c r="C34" s="25" t="str">
        <x:v>精炼解</x:v>
      </x:c>
      <x:c r="D34" s="25" t="str">
        <x:v>J-ZJ-10</x:v>
      </x:c>
      <x:c r="E34" s="25" t="n">
        <x:v>2</x:v>
      </x:c>
      <x:c r="F34" s="25" t="str">
        <x:v>M-ZJ-TU-C</x:v>
      </x:c>
      <x:c r="G34" s="25" t="n">
        <x:v>1</x:v>
      </x:c>
      <x:c r="H34" s="25" t="str">
        <x:v>A-ZJ-P</x:v>
      </x:c>
      <x:c r="I34" s="25" t="n">
        <x:v>1</x:v>
      </x:c>
      <x:c r="J34" s="25" t="str">
        <x:v>E-ZJ-KU-W</x:v>
      </x:c>
      <x:c r="K34" s="25" t="n">
        <x:v>1</x:v>
      </x:c>
      <x:c r="L34" s="25" t="str">
        <x:v>玄</x:v>
      </x:c>
      <x:c r="M34" s="26" t="n">
        <x:f>VLOOKUP(L34,'01_参数与词典'!$A$6:$D$10,2,FALSE)</x:f>
        <x:v>3</x:v>
      </x:c>
      <x:c r="N34" s="25" t="str">
        <x:f>IF(D34=VLOOKUP(A34,'02_筑基丹方表'!$A$5:$Q$19,7,FALSE),"通过","失败")</x:f>
        <x:v>通过</x:v>
      </x:c>
      <x:c r="O34" s="25" t="str">
        <x:f>IF(VLOOKUP(F34,'03_筑基灵植表'!$A$5:$N$49,6,FALSE)=VLOOKUP(A34,'02_筑基丹方表'!$A$5:$Q$19,8,FALSE),"通过","失败")</x:f>
        <x:v>通过</x:v>
      </x:c>
      <x:c r="P34" s="25" t="str">
        <x:f>IF(VLOOKUP(J34,'03_筑基灵植表'!$A$5:$N$49,9,FALSE)=VLOOKUP(A34,'02_筑基丹方表'!$A$5:$Q$19,11,FALSE),"通过","失败")</x:f>
        <x:v>通过</x:v>
      </x:c>
      <x:c r="Q34" s="41" t="n">
        <x:f>VLOOKUP(D34,'03_筑基灵植表'!$A$5:$N$49,8,FALSE)+VLOOKUP(F34,'03_筑基灵植表'!$A$5:$N$49,8,FALSE)+VLOOKUP(H34,'03_筑基灵植表'!$A$5:$N$49,8,FALSE)+VLOOKUP(J34,'03_筑基灵植表'!$A$5:$N$49,8,FALSE)</x:f>
        <x:v>0</x:v>
      </x:c>
      <x:c r="R34" s="41" t="str">
        <x:f>IF(Q34=VLOOKUP(A34,'02_筑基丹方表'!$A$5:$Q$19,10,FALSE),"通过","失败")</x:f>
        <x:v>通过</x:v>
      </x:c>
      <x:c r="S34" s="41" t="n">
        <x:f>M34*(VLOOKUP(D34,'03_筑基灵植表'!$A$5:$N$49,10,FALSE)*E34+VLOOKUP(F34,'03_筑基灵植表'!$A$5:$N$49,10,FALSE)*G34+VLOOKUP(H34,'03_筑基灵植表'!$A$5:$N$49,10,FALSE)*I34+VLOOKUP(J34,'03_筑基灵植表'!$A$5:$N$49,10,FALSE)*K34)</x:f>
        <x:v>45</x:v>
      </x:c>
      <x:c r="T34" s="41" t="str">
        <x:f>IF(S34&gt;=VLOOKUP(A34,'02_筑基丹方表'!$A$5:$Q$19,12,FALSE),"通过","失败")</x:f>
        <x:v>通过</x:v>
      </x:c>
      <x:c r="U34" s="41" t="n">
        <x:f>SUM(E34,G34,I34,K34)</x:f>
        <x:v>5</x:v>
      </x:c>
      <x:c r="V34" s="41" t="str">
        <x:f>IF(U34&lt;=VLOOKUP(A34,'02_筑基丹方表'!$A$5:$Q$19,13,FALSE),"通过","失败")</x:f>
        <x:v>通过</x:v>
      </x:c>
      <x:c r="W34" s="41" t="n">
        <x:f>VLOOKUP(L34,'01_参数与词典'!$A$6:$D$10,3,FALSE)*(VLOOKUP(D34,'03_筑基灵植表'!$A$5:$N$49,12,FALSE)*E34+VLOOKUP(F34,'03_筑基灵植表'!$A$5:$N$49,12,FALSE)*G34+VLOOKUP(H34,'03_筑基灵植表'!$A$5:$N$49,12,FALSE)*I34+VLOOKUP(J34,'03_筑基灵植表'!$A$5:$N$49,12,FALSE)*K34)</x:f>
        <x:v>230.4</x:v>
      </x:c>
      <x:c r="X34" s="25" t="str">
        <x:v>灵</x:v>
      </x:c>
      <x:c r="Y34" s="41" t="n">
        <x:f>VLOOKUP(A34,'02_筑基丹方表'!$A$5:$Q$19,16,FALSE)*VLOOKUP(X34,'01_参数与词典'!$A$6:$D$10,4,FALSE)</x:f>
        <x:v>640</x:v>
      </x:c>
      <x:c r="Z34" s="41" t="n">
        <x:f>Y34-W34</x:f>
        <x:v>409.6</x:v>
      </x:c>
      <x:c r="AA34" s="25" t="str">
        <x:f>IF(AND(N34="通过",O34="通过",P34="通过",R34="通过",T34="通过",V34="通过"),"通过","失败")</x:f>
        <x:v>通过</x:v>
      </x:c>
      <x:c r="AB34" s="25" t="str">
        <x:f>D34&amp;"+"&amp;F34&amp;"+"&amp;H34&amp;"+"&amp;J34</x:f>
        <x:v>J-ZJ-10+M-ZJ-TU-C+A-ZJ-P+E-ZJ-KU-W</x:v>
      </x:c>
      <x:c r="AC34" s="25" t="str">
        <x:v>臣凉使温相抵，药力留余；用于冲击较高品质</x:v>
      </x:c>
    </x:row>
    <x:row r="35" ht="15" hidden="0" customHeight="1">
      <x:c r="A35" s="25" t="str">
        <x:v>F-ZJ-11</x:v>
      </x:c>
      <x:c r="B35" s="25" t="n">
        <x:v>1</x:v>
      </x:c>
      <x:c r="C35" s="25" t="str">
        <x:v>廉价解</x:v>
      </x:c>
      <x:c r="D35" s="25" t="str">
        <x:v>J-ZJ-11</x:v>
      </x:c>
      <x:c r="E35" s="25" t="n">
        <x:v>2</x:v>
      </x:c>
      <x:c r="F35" s="25" t="str">
        <x:v>M-ZJ-HUO-W</x:v>
      </x:c>
      <x:c r="G35" s="25" t="n">
        <x:v>2</x:v>
      </x:c>
      <x:c r="H35" s="25" t="str">
        <x:v>A-ZJ-C</x:v>
      </x:c>
      <x:c r="I35" s="25" t="n">
        <x:v>1</x:v>
      </x:c>
      <x:c r="J35" s="25" t="str">
        <x:v>E-ZJ-XIN-P</x:v>
      </x:c>
      <x:c r="K35" s="25" t="n">
        <x:v>1</x:v>
      </x:c>
      <x:c r="L35" s="25" t="str">
        <x:v>灵</x:v>
      </x:c>
      <x:c r="M35" s="26" t="n">
        <x:f>VLOOKUP(L35,'01_参数与词典'!$A$6:$D$10,2,FALSE)</x:f>
        <x:v>2</x:v>
      </x:c>
      <x:c r="N35" s="25" t="str">
        <x:f>IF(D35=VLOOKUP(A35,'02_筑基丹方表'!$A$5:$Q$19,7,FALSE),"通过","失败")</x:f>
        <x:v>通过</x:v>
      </x:c>
      <x:c r="O35" s="25" t="str">
        <x:f>IF(VLOOKUP(F35,'03_筑基灵植表'!$A$5:$N$49,6,FALSE)=VLOOKUP(A35,'02_筑基丹方表'!$A$5:$Q$19,8,FALSE),"通过","失败")</x:f>
        <x:v>通过</x:v>
      </x:c>
      <x:c r="P35" s="25" t="str">
        <x:f>IF(VLOOKUP(J35,'03_筑基灵植表'!$A$5:$N$49,9,FALSE)=VLOOKUP(A35,'02_筑基丹方表'!$A$5:$Q$19,11,FALSE),"通过","失败")</x:f>
        <x:v>通过</x:v>
      </x:c>
      <x:c r="Q35" s="41" t="n">
        <x:f>VLOOKUP(D35,'03_筑基灵植表'!$A$5:$N$49,8,FALSE)+VLOOKUP(F35,'03_筑基灵植表'!$A$5:$N$49,8,FALSE)+VLOOKUP(H35,'03_筑基灵植表'!$A$5:$N$49,8,FALSE)+VLOOKUP(J35,'03_筑基灵植表'!$A$5:$N$49,8,FALSE)</x:f>
        <x:v>2</x:v>
      </x:c>
      <x:c r="R35" s="41" t="str">
        <x:f>IF(Q35=VLOOKUP(A35,'02_筑基丹方表'!$A$5:$Q$19,10,FALSE),"通过","失败")</x:f>
        <x:v>通过</x:v>
      </x:c>
      <x:c r="S35" s="41" t="n">
        <x:f>M35*(VLOOKUP(D35,'03_筑基灵植表'!$A$5:$N$49,10,FALSE)*E35+VLOOKUP(F35,'03_筑基灵植表'!$A$5:$N$49,10,FALSE)*G35+VLOOKUP(H35,'03_筑基灵植表'!$A$5:$N$49,10,FALSE)*I35+VLOOKUP(J35,'03_筑基灵植表'!$A$5:$N$49,10,FALSE)*K35)</x:f>
        <x:v>36</x:v>
      </x:c>
      <x:c r="T35" s="41" t="str">
        <x:f>IF(S35&gt;=VLOOKUP(A35,'02_筑基丹方表'!$A$5:$Q$19,12,FALSE),"通过","失败")</x:f>
        <x:v>通过</x:v>
      </x:c>
      <x:c r="U35" s="41" t="n">
        <x:f>SUM(E35,G35,I35,K35)</x:f>
        <x:v>6</x:v>
      </x:c>
      <x:c r="V35" s="41" t="str">
        <x:f>IF(U35&lt;=VLOOKUP(A35,'02_筑基丹方表'!$A$5:$Q$19,13,FALSE),"通过","失败")</x:f>
        <x:v>通过</x:v>
      </x:c>
      <x:c r="W35" s="41" t="n">
        <x:f>VLOOKUP(L35,'01_参数与词典'!$A$6:$D$10,3,FALSE)*(VLOOKUP(D35,'03_筑基灵植表'!$A$5:$N$49,12,FALSE)*E35+VLOOKUP(F35,'03_筑基灵植表'!$A$5:$N$49,12,FALSE)*G35+VLOOKUP(H35,'03_筑基灵植表'!$A$5:$N$49,12,FALSE)*I35+VLOOKUP(J35,'03_筑基灵植表'!$A$5:$N$49,12,FALSE)*K35)</x:f>
        <x:v>83.3</x:v>
      </x:c>
      <x:c r="X35" s="25" t="str">
        <x:v>凡</x:v>
      </x:c>
      <x:c r="Y35" s="41" t="n">
        <x:f>VLOOKUP(A35,'02_筑基丹方表'!$A$5:$Q$19,16,FALSE)*VLOOKUP(X35,'01_参数与词典'!$A$6:$D$10,4,FALSE)</x:f>
        <x:v>180</x:v>
      </x:c>
      <x:c r="Z35" s="41" t="n">
        <x:f>Y35-W35</x:f>
        <x:v>96.7</x:v>
      </x:c>
      <x:c r="AA35" s="25" t="str">
        <x:f>IF(AND(N35="通过",O35="通过",P35="通过",R35="通过",T35="通过",V35="通过"),"通过","失败")</x:f>
        <x:v>通过</x:v>
      </x:c>
      <x:c r="AB35" s="25" t="str">
        <x:f>D35&amp;"+"&amp;F35&amp;"+"&amp;H35&amp;"+"&amp;J35</x:f>
        <x:v>J-ZJ-11+M-ZJ-HUO-W+A-ZJ-C+E-ZJ-XIN-P</x:v>
      </x:c>
      <x:c r="AC35" s="25" t="str">
        <x:v>廉价辅材，多占份数；适合卖药与资源紧张时</x:v>
      </x:c>
    </x:row>
    <x:row r="36" ht="15" hidden="0" customHeight="1">
      <x:c r="A36" s="25" t="str">
        <x:v>F-ZJ-11</x:v>
      </x:c>
      <x:c r="B36" s="25" t="n">
        <x:v>2</x:v>
      </x:c>
      <x:c r="C36" s="25" t="str">
        <x:v>标准解</x:v>
      </x:c>
      <x:c r="D36" s="25" t="str">
        <x:v>J-ZJ-11</x:v>
      </x:c>
      <x:c r="E36" s="25" t="n">
        <x:v>2</x:v>
      </x:c>
      <x:c r="F36" s="25" t="str">
        <x:v>M-ZJ-HUO-P</x:v>
      </x:c>
      <x:c r="G36" s="25" t="n">
        <x:v>2</x:v>
      </x:c>
      <x:c r="H36" s="25" t="str">
        <x:v>A-ZJ-P</x:v>
      </x:c>
      <x:c r="I36" s="25" t="n">
        <x:v>1</x:v>
      </x:c>
      <x:c r="J36" s="25" t="str">
        <x:v>E-ZJ-XIN-P</x:v>
      </x:c>
      <x:c r="K36" s="25" t="n">
        <x:v>1</x:v>
      </x:c>
      <x:c r="L36" s="25" t="str">
        <x:v>灵</x:v>
      </x:c>
      <x:c r="M36" s="26" t="n">
        <x:f>VLOOKUP(L36,'01_参数与词典'!$A$6:$D$10,2,FALSE)</x:f>
        <x:v>2</x:v>
      </x:c>
      <x:c r="N36" s="25" t="str">
        <x:f>IF(D36=VLOOKUP(A36,'02_筑基丹方表'!$A$5:$Q$19,7,FALSE),"通过","失败")</x:f>
        <x:v>通过</x:v>
      </x:c>
      <x:c r="O36" s="25" t="str">
        <x:f>IF(VLOOKUP(F36,'03_筑基灵植表'!$A$5:$N$49,6,FALSE)=VLOOKUP(A36,'02_筑基丹方表'!$A$5:$Q$19,8,FALSE),"通过","失败")</x:f>
        <x:v>通过</x:v>
      </x:c>
      <x:c r="P36" s="25" t="str">
        <x:f>IF(VLOOKUP(J36,'03_筑基灵植表'!$A$5:$N$49,9,FALSE)=VLOOKUP(A36,'02_筑基丹方表'!$A$5:$Q$19,11,FALSE),"通过","失败")</x:f>
        <x:v>通过</x:v>
      </x:c>
      <x:c r="Q36" s="41" t="n">
        <x:f>VLOOKUP(D36,'03_筑基灵植表'!$A$5:$N$49,8,FALSE)+VLOOKUP(F36,'03_筑基灵植表'!$A$5:$N$49,8,FALSE)+VLOOKUP(H36,'03_筑基灵植表'!$A$5:$N$49,8,FALSE)+VLOOKUP(J36,'03_筑基灵植表'!$A$5:$N$49,8,FALSE)</x:f>
        <x:v>2</x:v>
      </x:c>
      <x:c r="R36" s="41" t="str">
        <x:f>IF(Q36=VLOOKUP(A36,'02_筑基丹方表'!$A$5:$Q$19,10,FALSE),"通过","失败")</x:f>
        <x:v>通过</x:v>
      </x:c>
      <x:c r="S36" s="41" t="n">
        <x:f>M36*(VLOOKUP(D36,'03_筑基灵植表'!$A$5:$N$49,10,FALSE)*E36+VLOOKUP(F36,'03_筑基灵植表'!$A$5:$N$49,10,FALSE)*G36+VLOOKUP(H36,'03_筑基灵植表'!$A$5:$N$49,10,FALSE)*I36+VLOOKUP(J36,'03_筑基灵植表'!$A$5:$N$49,10,FALSE)*K36)</x:f>
        <x:v>36</x:v>
      </x:c>
      <x:c r="T36" s="41" t="str">
        <x:f>IF(S36&gt;=VLOOKUP(A36,'02_筑基丹方表'!$A$5:$Q$19,12,FALSE),"通过","失败")</x:f>
        <x:v>通过</x:v>
      </x:c>
      <x:c r="U36" s="41" t="n">
        <x:f>SUM(E36,G36,I36,K36)</x:f>
        <x:v>6</x:v>
      </x:c>
      <x:c r="V36" s="41" t="str">
        <x:f>IF(U36&lt;=VLOOKUP(A36,'02_筑基丹方表'!$A$5:$Q$19,13,FALSE),"通过","失败")</x:f>
        <x:v>通过</x:v>
      </x:c>
      <x:c r="W36" s="41" t="n">
        <x:f>VLOOKUP(L36,'01_参数与词典'!$A$6:$D$10,3,FALSE)*(VLOOKUP(D36,'03_筑基灵植表'!$A$5:$N$49,12,FALSE)*E36+VLOOKUP(F36,'03_筑基灵植表'!$A$5:$N$49,12,FALSE)*G36+VLOOKUP(H36,'03_筑基灵植表'!$A$5:$N$49,12,FALSE)*I36+VLOOKUP(J36,'03_筑基灵植表'!$A$5:$N$49,12,FALSE)*K36)</x:f>
        <x:v>93.5</x:v>
      </x:c>
      <x:c r="X36" s="25" t="str">
        <x:v>凡</x:v>
      </x:c>
      <x:c r="Y36" s="41" t="n">
        <x:f>VLOOKUP(A36,'02_筑基丹方表'!$A$5:$Q$19,16,FALSE)*VLOOKUP(X36,'01_参数与词典'!$A$6:$D$10,4,FALSE)</x:f>
        <x:v>180</x:v>
      </x:c>
      <x:c r="Z36" s="41" t="n">
        <x:f>Y36-W36</x:f>
        <x:v>86.5</x:v>
      </x:c>
      <x:c r="AA36" s="25" t="str">
        <x:f>IF(AND(N36="通过",O36="通过",P36="通过",R36="通过",T36="通过",V36="通过"),"通过","失败")</x:f>
        <x:v>通过</x:v>
      </x:c>
      <x:c r="AB36" s="25" t="str">
        <x:f>D36&amp;"+"&amp;F36&amp;"+"&amp;H36&amp;"+"&amp;J36</x:f>
        <x:v>J-ZJ-11+M-ZJ-HUO-P+A-ZJ-P+E-ZJ-XIN-P</x:v>
      </x:c>
      <x:c r="AC36" s="25" t="str">
        <x:v>四材易认、方性直观；师承默认教学解</x:v>
      </x:c>
    </x:row>
    <x:row r="37" ht="15" hidden="0" customHeight="1">
      <x:c r="A37" s="25" t="str">
        <x:v>F-ZJ-11</x:v>
      </x:c>
      <x:c r="B37" s="25" t="n">
        <x:v>3</x:v>
      </x:c>
      <x:c r="C37" s="25" t="str">
        <x:v>精炼解</x:v>
      </x:c>
      <x:c r="D37" s="25" t="str">
        <x:v>J-ZJ-11</x:v>
      </x:c>
      <x:c r="E37" s="25" t="n">
        <x:v>2</x:v>
      </x:c>
      <x:c r="F37" s="25" t="str">
        <x:v>M-ZJ-HUO-C</x:v>
      </x:c>
      <x:c r="G37" s="25" t="n">
        <x:v>2</x:v>
      </x:c>
      <x:c r="H37" s="25" t="str">
        <x:v>A-ZJ-P</x:v>
      </x:c>
      <x:c r="I37" s="25" t="n">
        <x:v>1</x:v>
      </x:c>
      <x:c r="J37" s="25" t="str">
        <x:v>E-ZJ-XIN-W</x:v>
      </x:c>
      <x:c r="K37" s="25" t="n">
        <x:v>1</x:v>
      </x:c>
      <x:c r="L37" s="25" t="str">
        <x:v>玄</x:v>
      </x:c>
      <x:c r="M37" s="26" t="n">
        <x:f>VLOOKUP(L37,'01_参数与词典'!$A$6:$D$10,2,FALSE)</x:f>
        <x:v>3</x:v>
      </x:c>
      <x:c r="N37" s="25" t="str">
        <x:f>IF(D37=VLOOKUP(A37,'02_筑基丹方表'!$A$5:$Q$19,7,FALSE),"通过","失败")</x:f>
        <x:v>通过</x:v>
      </x:c>
      <x:c r="O37" s="25" t="str">
        <x:f>IF(VLOOKUP(F37,'03_筑基灵植表'!$A$5:$N$49,6,FALSE)=VLOOKUP(A37,'02_筑基丹方表'!$A$5:$Q$19,8,FALSE),"通过","失败")</x:f>
        <x:v>通过</x:v>
      </x:c>
      <x:c r="P37" s="25" t="str">
        <x:f>IF(VLOOKUP(J37,'03_筑基灵植表'!$A$5:$N$49,9,FALSE)=VLOOKUP(A37,'02_筑基丹方表'!$A$5:$Q$19,11,FALSE),"通过","失败")</x:f>
        <x:v>通过</x:v>
      </x:c>
      <x:c r="Q37" s="41" t="n">
        <x:f>VLOOKUP(D37,'03_筑基灵植表'!$A$5:$N$49,8,FALSE)+VLOOKUP(F37,'03_筑基灵植表'!$A$5:$N$49,8,FALSE)+VLOOKUP(H37,'03_筑基灵植表'!$A$5:$N$49,8,FALSE)+VLOOKUP(J37,'03_筑基灵植表'!$A$5:$N$49,8,FALSE)</x:f>
        <x:v>2</x:v>
      </x:c>
      <x:c r="R37" s="41" t="str">
        <x:f>IF(Q37=VLOOKUP(A37,'02_筑基丹方表'!$A$5:$Q$19,10,FALSE),"通过","失败")</x:f>
        <x:v>通过</x:v>
      </x:c>
      <x:c r="S37" s="41" t="n">
        <x:f>M37*(VLOOKUP(D37,'03_筑基灵植表'!$A$5:$N$49,10,FALSE)*E37+VLOOKUP(F37,'03_筑基灵植表'!$A$5:$N$49,10,FALSE)*G37+VLOOKUP(H37,'03_筑基灵植表'!$A$5:$N$49,10,FALSE)*I37+VLOOKUP(J37,'03_筑基灵植表'!$A$5:$N$49,10,FALSE)*K37)</x:f>
        <x:v>54</x:v>
      </x:c>
      <x:c r="T37" s="41" t="str">
        <x:f>IF(S37&gt;=VLOOKUP(A37,'02_筑基丹方表'!$A$5:$Q$19,12,FALSE),"通过","失败")</x:f>
        <x:v>通过</x:v>
      </x:c>
      <x:c r="U37" s="41" t="n">
        <x:f>SUM(E37,G37,I37,K37)</x:f>
        <x:v>6</x:v>
      </x:c>
      <x:c r="V37" s="41" t="str">
        <x:f>IF(U37&lt;=VLOOKUP(A37,'02_筑基丹方表'!$A$5:$Q$19,13,FALSE),"通过","失败")</x:f>
        <x:v>通过</x:v>
      </x:c>
      <x:c r="W37" s="41" t="n">
        <x:f>VLOOKUP(L37,'01_参数与词典'!$A$6:$D$10,3,FALSE)*(VLOOKUP(D37,'03_筑基灵植表'!$A$5:$N$49,12,FALSE)*E37+VLOOKUP(F37,'03_筑基灵植表'!$A$5:$N$49,12,FALSE)*G37+VLOOKUP(H37,'03_筑基灵植表'!$A$5:$N$49,12,FALSE)*I37+VLOOKUP(J37,'03_筑基灵植表'!$A$5:$N$49,12,FALSE)*K37)</x:f>
        <x:v>208</x:v>
      </x:c>
      <x:c r="X37" s="25" t="str">
        <x:v>灵</x:v>
      </x:c>
      <x:c r="Y37" s="41" t="n">
        <x:f>VLOOKUP(A37,'02_筑基丹方表'!$A$5:$Q$19,16,FALSE)*VLOOKUP(X37,'01_参数与词典'!$A$6:$D$10,4,FALSE)</x:f>
        <x:v>360</x:v>
      </x:c>
      <x:c r="Z37" s="41" t="n">
        <x:f>Y37-W37</x:f>
        <x:v>152</x:v>
      </x:c>
      <x:c r="AA37" s="25" t="str">
        <x:f>IF(AND(N37="通过",O37="通过",P37="通过",R37="通过",T37="通过",V37="通过"),"通过","失败")</x:f>
        <x:v>通过</x:v>
      </x:c>
      <x:c r="AB37" s="25" t="str">
        <x:f>D37&amp;"+"&amp;F37&amp;"+"&amp;H37&amp;"+"&amp;J37</x:f>
        <x:v>J-ZJ-11+M-ZJ-HUO-C+A-ZJ-P+E-ZJ-XIN-W</x:v>
      </x:c>
      <x:c r="AC37" s="25" t="str">
        <x:v>臣凉使温相抵，药力留余；用于冲击较高品质</x:v>
      </x:c>
    </x:row>
    <x:row r="38" ht="15" hidden="0" customHeight="1">
      <x:c r="A38" s="25" t="str">
        <x:v>F-ZJ-12</x:v>
      </x:c>
      <x:c r="B38" s="25" t="n">
        <x:v>1</x:v>
      </x:c>
      <x:c r="C38" s="25" t="str">
        <x:v>廉价解</x:v>
      </x:c>
      <x:c r="D38" s="25" t="str">
        <x:v>J-ZJ-12</x:v>
      </x:c>
      <x:c r="E38" s="25" t="n">
        <x:v>2</x:v>
      </x:c>
      <x:c r="F38" s="25" t="str">
        <x:v>M-ZJ-JIN-W</x:v>
      </x:c>
      <x:c r="G38" s="25" t="n">
        <x:v>1</x:v>
      </x:c>
      <x:c r="H38" s="25" t="str">
        <x:v>A-ZJ-C</x:v>
      </x:c>
      <x:c r="I38" s="25" t="n">
        <x:v>1</x:v>
      </x:c>
      <x:c r="J38" s="25" t="str">
        <x:v>E-ZJ-XIN-P</x:v>
      </x:c>
      <x:c r="K38" s="25" t="n">
        <x:v>1</x:v>
      </x:c>
      <x:c r="L38" s="25" t="str">
        <x:v>灵</x:v>
      </x:c>
      <x:c r="M38" s="26" t="n">
        <x:f>VLOOKUP(L38,'01_参数与词典'!$A$6:$D$10,2,FALSE)</x:f>
        <x:v>2</x:v>
      </x:c>
      <x:c r="N38" s="25" t="str">
        <x:f>IF(D38=VLOOKUP(A38,'02_筑基丹方表'!$A$5:$Q$19,7,FALSE),"通过","失败")</x:f>
        <x:v>通过</x:v>
      </x:c>
      <x:c r="O38" s="25" t="str">
        <x:f>IF(VLOOKUP(F38,'03_筑基灵植表'!$A$5:$N$49,6,FALSE)=VLOOKUP(A38,'02_筑基丹方表'!$A$5:$Q$19,8,FALSE),"通过","失败")</x:f>
        <x:v>通过</x:v>
      </x:c>
      <x:c r="P38" s="25" t="str">
        <x:f>IF(VLOOKUP(J38,'03_筑基灵植表'!$A$5:$N$49,9,FALSE)=VLOOKUP(A38,'02_筑基丹方表'!$A$5:$Q$19,11,FALSE),"通过","失败")</x:f>
        <x:v>通过</x:v>
      </x:c>
      <x:c r="Q38" s="41" t="n">
        <x:f>VLOOKUP(D38,'03_筑基灵植表'!$A$5:$N$49,8,FALSE)+VLOOKUP(F38,'03_筑基灵植表'!$A$5:$N$49,8,FALSE)+VLOOKUP(H38,'03_筑基灵植表'!$A$5:$N$49,8,FALSE)+VLOOKUP(J38,'03_筑基灵植表'!$A$5:$N$49,8,FALSE)</x:f>
        <x:v>-1</x:v>
      </x:c>
      <x:c r="R38" s="41" t="str">
        <x:f>IF(Q38=VLOOKUP(A38,'02_筑基丹方表'!$A$5:$Q$19,10,FALSE),"通过","失败")</x:f>
        <x:v>通过</x:v>
      </x:c>
      <x:c r="S38" s="41" t="n">
        <x:f>M38*(VLOOKUP(D38,'03_筑基灵植表'!$A$5:$N$49,10,FALSE)*E38+VLOOKUP(F38,'03_筑基灵植表'!$A$5:$N$49,10,FALSE)*G38+VLOOKUP(H38,'03_筑基灵植表'!$A$5:$N$49,10,FALSE)*I38+VLOOKUP(J38,'03_筑基灵植表'!$A$5:$N$49,10,FALSE)*K38)</x:f>
        <x:v>30</x:v>
      </x:c>
      <x:c r="T38" s="41" t="str">
        <x:f>IF(S38&gt;=VLOOKUP(A38,'02_筑基丹方表'!$A$5:$Q$19,12,FALSE),"通过","失败")</x:f>
        <x:v>通过</x:v>
      </x:c>
      <x:c r="U38" s="41" t="n">
        <x:f>SUM(E38,G38,I38,K38)</x:f>
        <x:v>5</x:v>
      </x:c>
      <x:c r="V38" s="41" t="str">
        <x:f>IF(U38&lt;=VLOOKUP(A38,'02_筑基丹方表'!$A$5:$Q$19,13,FALSE),"通过","失败")</x:f>
        <x:v>通过</x:v>
      </x:c>
      <x:c r="W38" s="41" t="n">
        <x:f>VLOOKUP(L38,'01_参数与词典'!$A$6:$D$10,3,FALSE)*(VLOOKUP(D38,'03_筑基灵植表'!$A$5:$N$49,12,FALSE)*E38+VLOOKUP(F38,'03_筑基灵植表'!$A$5:$N$49,12,FALSE)*G38+VLOOKUP(H38,'03_筑基灵植表'!$A$5:$N$49,12,FALSE)*I38+VLOOKUP(J38,'03_筑基灵植表'!$A$5:$N$49,12,FALSE)*K38)</x:f>
        <x:v>76.5</x:v>
      </x:c>
      <x:c r="X38" s="25" t="str">
        <x:v>凡</x:v>
      </x:c>
      <x:c r="Y38" s="41" t="n">
        <x:f>VLOOKUP(A38,'02_筑基丹方表'!$A$5:$Q$19,16,FALSE)*VLOOKUP(X38,'01_参数与词典'!$A$6:$D$10,4,FALSE)</x:f>
        <x:v>160</x:v>
      </x:c>
      <x:c r="Z38" s="41" t="n">
        <x:f>Y38-W38</x:f>
        <x:v>83.5</x:v>
      </x:c>
      <x:c r="AA38" s="25" t="str">
        <x:f>IF(AND(N38="通过",O38="通过",P38="通过",R38="通过",T38="通过",V38="通过"),"通过","失败")</x:f>
        <x:v>通过</x:v>
      </x:c>
      <x:c r="AB38" s="25" t="str">
        <x:f>D38&amp;"+"&amp;F38&amp;"+"&amp;H38&amp;"+"&amp;J38</x:f>
        <x:v>J-ZJ-12+M-ZJ-JIN-W+A-ZJ-C+E-ZJ-XIN-P</x:v>
      </x:c>
      <x:c r="AC38" s="25" t="str">
        <x:v>廉价辅材，多占份数；适合卖药与资源紧张时</x:v>
      </x:c>
    </x:row>
    <x:row r="39" ht="15" hidden="0" customHeight="1">
      <x:c r="A39" s="25" t="str">
        <x:v>F-ZJ-12</x:v>
      </x:c>
      <x:c r="B39" s="25" t="n">
        <x:v>2</x:v>
      </x:c>
      <x:c r="C39" s="25" t="str">
        <x:v>标准解</x:v>
      </x:c>
      <x:c r="D39" s="25" t="str">
        <x:v>J-ZJ-12</x:v>
      </x:c>
      <x:c r="E39" s="25" t="n">
        <x:v>2</x:v>
      </x:c>
      <x:c r="F39" s="25" t="str">
        <x:v>M-ZJ-JIN-P</x:v>
      </x:c>
      <x:c r="G39" s="25" t="n">
        <x:v>1</x:v>
      </x:c>
      <x:c r="H39" s="25" t="str">
        <x:v>A-ZJ-P</x:v>
      </x:c>
      <x:c r="I39" s="25" t="n">
        <x:v>1</x:v>
      </x:c>
      <x:c r="J39" s="25" t="str">
        <x:v>E-ZJ-XIN-P</x:v>
      </x:c>
      <x:c r="K39" s="25" t="n">
        <x:v>1</x:v>
      </x:c>
      <x:c r="L39" s="25" t="str">
        <x:v>灵</x:v>
      </x:c>
      <x:c r="M39" s="26" t="n">
        <x:f>VLOOKUP(L39,'01_参数与词典'!$A$6:$D$10,2,FALSE)</x:f>
        <x:v>2</x:v>
      </x:c>
      <x:c r="N39" s="25" t="str">
        <x:f>IF(D39=VLOOKUP(A39,'02_筑基丹方表'!$A$5:$Q$19,7,FALSE),"通过","失败")</x:f>
        <x:v>通过</x:v>
      </x:c>
      <x:c r="O39" s="25" t="str">
        <x:f>IF(VLOOKUP(F39,'03_筑基灵植表'!$A$5:$N$49,6,FALSE)=VLOOKUP(A39,'02_筑基丹方表'!$A$5:$Q$19,8,FALSE),"通过","失败")</x:f>
        <x:v>通过</x:v>
      </x:c>
      <x:c r="P39" s="25" t="str">
        <x:f>IF(VLOOKUP(J39,'03_筑基灵植表'!$A$5:$N$49,9,FALSE)=VLOOKUP(A39,'02_筑基丹方表'!$A$5:$Q$19,11,FALSE),"通过","失败")</x:f>
        <x:v>通过</x:v>
      </x:c>
      <x:c r="Q39" s="41" t="n">
        <x:f>VLOOKUP(D39,'03_筑基灵植表'!$A$5:$N$49,8,FALSE)+VLOOKUP(F39,'03_筑基灵植表'!$A$5:$N$49,8,FALSE)+VLOOKUP(H39,'03_筑基灵植表'!$A$5:$N$49,8,FALSE)+VLOOKUP(J39,'03_筑基灵植表'!$A$5:$N$49,8,FALSE)</x:f>
        <x:v>-1</x:v>
      </x:c>
      <x:c r="R39" s="41" t="str">
        <x:f>IF(Q39=VLOOKUP(A39,'02_筑基丹方表'!$A$5:$Q$19,10,FALSE),"通过","失败")</x:f>
        <x:v>通过</x:v>
      </x:c>
      <x:c r="S39" s="41" t="n">
        <x:f>M39*(VLOOKUP(D39,'03_筑基灵植表'!$A$5:$N$49,10,FALSE)*E39+VLOOKUP(F39,'03_筑基灵植表'!$A$5:$N$49,10,FALSE)*G39+VLOOKUP(H39,'03_筑基灵植表'!$A$5:$N$49,10,FALSE)*I39+VLOOKUP(J39,'03_筑基灵植表'!$A$5:$N$49,10,FALSE)*K39)</x:f>
        <x:v>30</x:v>
      </x:c>
      <x:c r="T39" s="41" t="str">
        <x:f>IF(S39&gt;=VLOOKUP(A39,'02_筑基丹方表'!$A$5:$Q$19,12,FALSE),"通过","失败")</x:f>
        <x:v>通过</x:v>
      </x:c>
      <x:c r="U39" s="41" t="n">
        <x:f>SUM(E39,G39,I39,K39)</x:f>
        <x:v>5</x:v>
      </x:c>
      <x:c r="V39" s="41" t="str">
        <x:f>IF(U39&lt;=VLOOKUP(A39,'02_筑基丹方表'!$A$5:$Q$19,13,FALSE),"通过","失败")</x:f>
        <x:v>通过</x:v>
      </x:c>
      <x:c r="W39" s="41" t="n">
        <x:f>VLOOKUP(L39,'01_参数与词典'!$A$6:$D$10,3,FALSE)*(VLOOKUP(D39,'03_筑基灵植表'!$A$5:$N$49,12,FALSE)*E39+VLOOKUP(F39,'03_筑基灵植表'!$A$5:$N$49,12,FALSE)*G39+VLOOKUP(H39,'03_筑基灵植表'!$A$5:$N$49,12,FALSE)*I39+VLOOKUP(J39,'03_筑基灵植表'!$A$5:$N$49,12,FALSE)*K39)</x:f>
        <x:v>83.3</x:v>
      </x:c>
      <x:c r="X39" s="25" t="str">
        <x:v>凡</x:v>
      </x:c>
      <x:c r="Y39" s="41" t="n">
        <x:f>VLOOKUP(A39,'02_筑基丹方表'!$A$5:$Q$19,16,FALSE)*VLOOKUP(X39,'01_参数与词典'!$A$6:$D$10,4,FALSE)</x:f>
        <x:v>160</x:v>
      </x:c>
      <x:c r="Z39" s="41" t="n">
        <x:f>Y39-W39</x:f>
        <x:v>76.7</x:v>
      </x:c>
      <x:c r="AA39" s="25" t="str">
        <x:f>IF(AND(N39="通过",O39="通过",P39="通过",R39="通过",T39="通过",V39="通过"),"通过","失败")</x:f>
        <x:v>通过</x:v>
      </x:c>
      <x:c r="AB39" s="25" t="str">
        <x:f>D39&amp;"+"&amp;F39&amp;"+"&amp;H39&amp;"+"&amp;J39</x:f>
        <x:v>J-ZJ-12+M-ZJ-JIN-P+A-ZJ-P+E-ZJ-XIN-P</x:v>
      </x:c>
      <x:c r="AC39" s="25" t="str">
        <x:v>四材易认、方性直观；师承默认教学解</x:v>
      </x:c>
    </x:row>
    <x:row r="40" ht="15" hidden="0" customHeight="1">
      <x:c r="A40" s="25" t="str">
        <x:v>F-ZJ-12</x:v>
      </x:c>
      <x:c r="B40" s="25" t="n">
        <x:v>3</x:v>
      </x:c>
      <x:c r="C40" s="25" t="str">
        <x:v>精炼解</x:v>
      </x:c>
      <x:c r="D40" s="25" t="str">
        <x:v>J-ZJ-12</x:v>
      </x:c>
      <x:c r="E40" s="25" t="n">
        <x:v>2</x:v>
      </x:c>
      <x:c r="F40" s="25" t="str">
        <x:v>M-ZJ-JIN-C</x:v>
      </x:c>
      <x:c r="G40" s="25" t="n">
        <x:v>1</x:v>
      </x:c>
      <x:c r="H40" s="25" t="str">
        <x:v>A-ZJ-P</x:v>
      </x:c>
      <x:c r="I40" s="25" t="n">
        <x:v>1</x:v>
      </x:c>
      <x:c r="J40" s="25" t="str">
        <x:v>E-ZJ-XIN-W</x:v>
      </x:c>
      <x:c r="K40" s="25" t="n">
        <x:v>1</x:v>
      </x:c>
      <x:c r="L40" s="25" t="str">
        <x:v>玄</x:v>
      </x:c>
      <x:c r="M40" s="26" t="n">
        <x:f>VLOOKUP(L40,'01_参数与词典'!$A$6:$D$10,2,FALSE)</x:f>
        <x:v>3</x:v>
      </x:c>
      <x:c r="N40" s="25" t="str">
        <x:f>IF(D40=VLOOKUP(A40,'02_筑基丹方表'!$A$5:$Q$19,7,FALSE),"通过","失败")</x:f>
        <x:v>通过</x:v>
      </x:c>
      <x:c r="O40" s="25" t="str">
        <x:f>IF(VLOOKUP(F40,'03_筑基灵植表'!$A$5:$N$49,6,FALSE)=VLOOKUP(A40,'02_筑基丹方表'!$A$5:$Q$19,8,FALSE),"通过","失败")</x:f>
        <x:v>通过</x:v>
      </x:c>
      <x:c r="P40" s="25" t="str">
        <x:f>IF(VLOOKUP(J40,'03_筑基灵植表'!$A$5:$N$49,9,FALSE)=VLOOKUP(A40,'02_筑基丹方表'!$A$5:$Q$19,11,FALSE),"通过","失败")</x:f>
        <x:v>通过</x:v>
      </x:c>
      <x:c r="Q40" s="41" t="n">
        <x:f>VLOOKUP(D40,'03_筑基灵植表'!$A$5:$N$49,8,FALSE)+VLOOKUP(F40,'03_筑基灵植表'!$A$5:$N$49,8,FALSE)+VLOOKUP(H40,'03_筑基灵植表'!$A$5:$N$49,8,FALSE)+VLOOKUP(J40,'03_筑基灵植表'!$A$5:$N$49,8,FALSE)</x:f>
        <x:v>-1</x:v>
      </x:c>
      <x:c r="R40" s="41" t="str">
        <x:f>IF(Q40=VLOOKUP(A40,'02_筑基丹方表'!$A$5:$Q$19,10,FALSE),"通过","失败")</x:f>
        <x:v>通过</x:v>
      </x:c>
      <x:c r="S40" s="41" t="n">
        <x:f>M40*(VLOOKUP(D40,'03_筑基灵植表'!$A$5:$N$49,10,FALSE)*E40+VLOOKUP(F40,'03_筑基灵植表'!$A$5:$N$49,10,FALSE)*G40+VLOOKUP(H40,'03_筑基灵植表'!$A$5:$N$49,10,FALSE)*I40+VLOOKUP(J40,'03_筑基灵植表'!$A$5:$N$49,10,FALSE)*K40)</x:f>
        <x:v>45</x:v>
      </x:c>
      <x:c r="T40" s="41" t="str">
        <x:f>IF(S40&gt;=VLOOKUP(A40,'02_筑基丹方表'!$A$5:$Q$19,12,FALSE),"通过","失败")</x:f>
        <x:v>通过</x:v>
      </x:c>
      <x:c r="U40" s="41" t="n">
        <x:f>SUM(E40,G40,I40,K40)</x:f>
        <x:v>5</x:v>
      </x:c>
      <x:c r="V40" s="41" t="str">
        <x:f>IF(U40&lt;=VLOOKUP(A40,'02_筑基丹方表'!$A$5:$Q$19,13,FALSE),"通过","失败")</x:f>
        <x:v>通过</x:v>
      </x:c>
      <x:c r="W40" s="41" t="n">
        <x:f>VLOOKUP(L40,'01_参数与词典'!$A$6:$D$10,3,FALSE)*(VLOOKUP(D40,'03_筑基灵植表'!$A$5:$N$49,12,FALSE)*E40+VLOOKUP(F40,'03_筑基灵植表'!$A$5:$N$49,12,FALSE)*G40+VLOOKUP(H40,'03_筑基灵植表'!$A$5:$N$49,12,FALSE)*I40+VLOOKUP(J40,'03_筑基灵植表'!$A$5:$N$49,12,FALSE)*K40)</x:f>
        <x:v>179.20000000000002</x:v>
      </x:c>
      <x:c r="X40" s="25" t="str">
        <x:v>灵</x:v>
      </x:c>
      <x:c r="Y40" s="41" t="n">
        <x:f>VLOOKUP(A40,'02_筑基丹方表'!$A$5:$Q$19,16,FALSE)*VLOOKUP(X40,'01_参数与词典'!$A$6:$D$10,4,FALSE)</x:f>
        <x:v>320</x:v>
      </x:c>
      <x:c r="Z40" s="41" t="n">
        <x:f>Y40-W40</x:f>
        <x:v>140.79999999999998</x:v>
      </x:c>
      <x:c r="AA40" s="25" t="str">
        <x:f>IF(AND(N40="通过",O40="通过",P40="通过",R40="通过",T40="通过",V40="通过"),"通过","失败")</x:f>
        <x:v>通过</x:v>
      </x:c>
      <x:c r="AB40" s="25" t="str">
        <x:f>D40&amp;"+"&amp;F40&amp;"+"&amp;H40&amp;"+"&amp;J40</x:f>
        <x:v>J-ZJ-12+M-ZJ-JIN-C+A-ZJ-P+E-ZJ-XIN-W</x:v>
      </x:c>
      <x:c r="AC40" s="25" t="str">
        <x:v>臣凉使温相抵，药力留余；用于冲击较高品质</x:v>
      </x:c>
    </x:row>
    <x:row r="41" ht="15" hidden="0" customHeight="1">
      <x:c r="A41" s="25" t="str">
        <x:v>F-ZJ-13</x:v>
      </x:c>
      <x:c r="B41" s="25" t="n">
        <x:v>1</x:v>
      </x:c>
      <x:c r="C41" s="25" t="str">
        <x:v>廉价解</x:v>
      </x:c>
      <x:c r="D41" s="25" t="str">
        <x:v>J-ZJ-13</x:v>
      </x:c>
      <x:c r="E41" s="25" t="n">
        <x:v>2</x:v>
      </x:c>
      <x:c r="F41" s="25" t="str">
        <x:v>M-ZJ-MU-W</x:v>
      </x:c>
      <x:c r="G41" s="25" t="n">
        <x:v>2</x:v>
      </x:c>
      <x:c r="H41" s="25" t="str">
        <x:v>A-ZJ-C</x:v>
      </x:c>
      <x:c r="I41" s="25" t="n">
        <x:v>2</x:v>
      </x:c>
      <x:c r="J41" s="25" t="str">
        <x:v>E-ZJ-XIN-P</x:v>
      </x:c>
      <x:c r="K41" s="25" t="n">
        <x:v>2</x:v>
      </x:c>
      <x:c r="L41" s="25" t="str">
        <x:v>凡</x:v>
      </x:c>
      <x:c r="M41" s="26" t="n">
        <x:f>VLOOKUP(L41,'01_参数与词典'!$A$6:$D$10,2,FALSE)</x:f>
        <x:v>1</x:v>
      </x:c>
      <x:c r="N41" s="25" t="str">
        <x:f>IF(D41=VLOOKUP(A41,'02_筑基丹方表'!$A$5:$Q$19,7,FALSE),"通过","失败")</x:f>
        <x:v>通过</x:v>
      </x:c>
      <x:c r="O41" s="25" t="str">
        <x:f>IF(VLOOKUP(F41,'03_筑基灵植表'!$A$5:$N$49,6,FALSE)=VLOOKUP(A41,'02_筑基丹方表'!$A$5:$Q$19,8,FALSE),"通过","失败")</x:f>
        <x:v>通过</x:v>
      </x:c>
      <x:c r="P41" s="25" t="str">
        <x:f>IF(VLOOKUP(J41,'03_筑基灵植表'!$A$5:$N$49,9,FALSE)=VLOOKUP(A41,'02_筑基丹方表'!$A$5:$Q$19,11,FALSE),"通过","失败")</x:f>
        <x:v>通过</x:v>
      </x:c>
      <x:c r="Q41" s="41" t="n">
        <x:f>VLOOKUP(D41,'03_筑基灵植表'!$A$5:$N$49,8,FALSE)+VLOOKUP(F41,'03_筑基灵植表'!$A$5:$N$49,8,FALSE)+VLOOKUP(H41,'03_筑基灵植表'!$A$5:$N$49,8,FALSE)+VLOOKUP(J41,'03_筑基灵植表'!$A$5:$N$49,8,FALSE)</x:f>
        <x:v>1</x:v>
      </x:c>
      <x:c r="R41" s="41" t="str">
        <x:f>IF(Q41=VLOOKUP(A41,'02_筑基丹方表'!$A$5:$Q$19,10,FALSE),"通过","失败")</x:f>
        <x:v>通过</x:v>
      </x:c>
      <x:c r="S41" s="41" t="n">
        <x:f>M41*(VLOOKUP(D41,'03_筑基灵植表'!$A$5:$N$49,10,FALSE)*E41+VLOOKUP(F41,'03_筑基灵植表'!$A$5:$N$49,10,FALSE)*G41+VLOOKUP(H41,'03_筑基灵植表'!$A$5:$N$49,10,FALSE)*I41+VLOOKUP(J41,'03_筑基灵植表'!$A$5:$N$49,10,FALSE)*K41)</x:f>
        <x:v>24</x:v>
      </x:c>
      <x:c r="T41" s="41" t="str">
        <x:f>IF(S41&gt;=VLOOKUP(A41,'02_筑基丹方表'!$A$5:$Q$19,12,FALSE),"通过","失败")</x:f>
        <x:v>通过</x:v>
      </x:c>
      <x:c r="U41" s="41" t="n">
        <x:f>SUM(E41,G41,I41,K41)</x:f>
        <x:v>8</x:v>
      </x:c>
      <x:c r="V41" s="41" t="str">
        <x:f>IF(U41&lt;=VLOOKUP(A41,'02_筑基丹方表'!$A$5:$Q$19,13,FALSE),"通过","失败")</x:f>
        <x:v>通过</x:v>
      </x:c>
      <x:c r="W41" s="41" t="n">
        <x:f>VLOOKUP(L41,'01_参数与词典'!$A$6:$D$10,3,FALSE)*(VLOOKUP(D41,'03_筑基灵植表'!$A$5:$N$49,12,FALSE)*E41+VLOOKUP(F41,'03_筑基灵植表'!$A$5:$N$49,12,FALSE)*G41+VLOOKUP(H41,'03_筑基灵植表'!$A$5:$N$49,12,FALSE)*I41+VLOOKUP(J41,'03_筑基灵植表'!$A$5:$N$49,12,FALSE)*K41)</x:f>
        <x:v>56</x:v>
      </x:c>
      <x:c r="X41" s="25" t="str">
        <x:v>凡</x:v>
      </x:c>
      <x:c r="Y41" s="41" t="n">
        <x:f>VLOOKUP(A41,'02_筑基丹方表'!$A$5:$Q$19,16,FALSE)*VLOOKUP(X41,'01_参数与词典'!$A$6:$D$10,4,FALSE)</x:f>
        <x:v>150</x:v>
      </x:c>
      <x:c r="Z41" s="41" t="n">
        <x:f>Y41-W41</x:f>
        <x:v>94</x:v>
      </x:c>
      <x:c r="AA41" s="25" t="str">
        <x:f>IF(AND(N41="通过",O41="通过",P41="通过",R41="通过",T41="通过",V41="通过"),"通过","失败")</x:f>
        <x:v>通过</x:v>
      </x:c>
      <x:c r="AB41" s="25" t="str">
        <x:f>D41&amp;"+"&amp;F41&amp;"+"&amp;H41&amp;"+"&amp;J41</x:f>
        <x:v>J-ZJ-13+M-ZJ-MU-W+A-ZJ-C+E-ZJ-XIN-P</x:v>
      </x:c>
      <x:c r="AC41" s="25" t="str">
        <x:v>廉价辅材，多占份数；适合卖药与资源紧张时</x:v>
      </x:c>
    </x:row>
    <x:row r="42" ht="15" hidden="0" customHeight="1">
      <x:c r="A42" s="25" t="str">
        <x:v>F-ZJ-13</x:v>
      </x:c>
      <x:c r="B42" s="25" t="n">
        <x:v>2</x:v>
      </x:c>
      <x:c r="C42" s="25" t="str">
        <x:v>标准解</x:v>
      </x:c>
      <x:c r="D42" s="25" t="str">
        <x:v>J-ZJ-13</x:v>
      </x:c>
      <x:c r="E42" s="25" t="n">
        <x:v>1</x:v>
      </x:c>
      <x:c r="F42" s="25" t="str">
        <x:v>M-ZJ-MU-P</x:v>
      </x:c>
      <x:c r="G42" s="25" t="n">
        <x:v>1</x:v>
      </x:c>
      <x:c r="H42" s="25" t="str">
        <x:v>A-ZJ-P</x:v>
      </x:c>
      <x:c r="I42" s="25" t="n">
        <x:v>1</x:v>
      </x:c>
      <x:c r="J42" s="25" t="str">
        <x:v>E-ZJ-XIN-P</x:v>
      </x:c>
      <x:c r="K42" s="25" t="n">
        <x:v>1</x:v>
      </x:c>
      <x:c r="L42" s="25" t="str">
        <x:v>灵</x:v>
      </x:c>
      <x:c r="M42" s="26" t="n">
        <x:f>VLOOKUP(L42,'01_参数与词典'!$A$6:$D$10,2,FALSE)</x:f>
        <x:v>2</x:v>
      </x:c>
      <x:c r="N42" s="25" t="str">
        <x:f>IF(D42=VLOOKUP(A42,'02_筑基丹方表'!$A$5:$Q$19,7,FALSE),"通过","失败")</x:f>
        <x:v>通过</x:v>
      </x:c>
      <x:c r="O42" s="25" t="str">
        <x:f>IF(VLOOKUP(F42,'03_筑基灵植表'!$A$5:$N$49,6,FALSE)=VLOOKUP(A42,'02_筑基丹方表'!$A$5:$Q$19,8,FALSE),"通过","失败")</x:f>
        <x:v>通过</x:v>
      </x:c>
      <x:c r="P42" s="25" t="str">
        <x:f>IF(VLOOKUP(J42,'03_筑基灵植表'!$A$5:$N$49,9,FALSE)=VLOOKUP(A42,'02_筑基丹方表'!$A$5:$Q$19,11,FALSE),"通过","失败")</x:f>
        <x:v>通过</x:v>
      </x:c>
      <x:c r="Q42" s="41" t="n">
        <x:f>VLOOKUP(D42,'03_筑基灵植表'!$A$5:$N$49,8,FALSE)+VLOOKUP(F42,'03_筑基灵植表'!$A$5:$N$49,8,FALSE)+VLOOKUP(H42,'03_筑基灵植表'!$A$5:$N$49,8,FALSE)+VLOOKUP(J42,'03_筑基灵植表'!$A$5:$N$49,8,FALSE)</x:f>
        <x:v>1</x:v>
      </x:c>
      <x:c r="R42" s="41" t="str">
        <x:f>IF(Q42=VLOOKUP(A42,'02_筑基丹方表'!$A$5:$Q$19,10,FALSE),"通过","失败")</x:f>
        <x:v>通过</x:v>
      </x:c>
      <x:c r="S42" s="41" t="n">
        <x:f>M42*(VLOOKUP(D42,'03_筑基灵植表'!$A$5:$N$49,10,FALSE)*E42+VLOOKUP(F42,'03_筑基灵植表'!$A$5:$N$49,10,FALSE)*G42+VLOOKUP(H42,'03_筑基灵植表'!$A$5:$N$49,10,FALSE)*I42+VLOOKUP(J42,'03_筑基灵植表'!$A$5:$N$49,10,FALSE)*K42)</x:f>
        <x:v>24</x:v>
      </x:c>
      <x:c r="T42" s="41" t="str">
        <x:f>IF(S42&gt;=VLOOKUP(A42,'02_筑基丹方表'!$A$5:$Q$19,12,FALSE),"通过","失败")</x:f>
        <x:v>通过</x:v>
      </x:c>
      <x:c r="U42" s="41" t="n">
        <x:f>SUM(E42,G42,I42,K42)</x:f>
        <x:v>4</x:v>
      </x:c>
      <x:c r="V42" s="41" t="str">
        <x:f>IF(U42&lt;=VLOOKUP(A42,'02_筑基丹方表'!$A$5:$Q$19,13,FALSE),"通过","失败")</x:f>
        <x:v>通过</x:v>
      </x:c>
      <x:c r="W42" s="41" t="n">
        <x:f>VLOOKUP(L42,'01_参数与词典'!$A$6:$D$10,3,FALSE)*(VLOOKUP(D42,'03_筑基灵植表'!$A$5:$N$49,12,FALSE)*E42+VLOOKUP(F42,'03_筑基灵植表'!$A$5:$N$49,12,FALSE)*G42+VLOOKUP(H42,'03_筑基灵植表'!$A$5:$N$49,12,FALSE)*I42+VLOOKUP(J42,'03_筑基灵植表'!$A$5:$N$49,12,FALSE)*K42)</x:f>
        <x:v>54.4</x:v>
      </x:c>
      <x:c r="X42" s="25" t="str">
        <x:v>凡</x:v>
      </x:c>
      <x:c r="Y42" s="41" t="n">
        <x:f>VLOOKUP(A42,'02_筑基丹方表'!$A$5:$Q$19,16,FALSE)*VLOOKUP(X42,'01_参数与词典'!$A$6:$D$10,4,FALSE)</x:f>
        <x:v>150</x:v>
      </x:c>
      <x:c r="Z42" s="41" t="n">
        <x:f>Y42-W42</x:f>
        <x:v>95.6</x:v>
      </x:c>
      <x:c r="AA42" s="25" t="str">
        <x:f>IF(AND(N42="通过",O42="通过",P42="通过",R42="通过",T42="通过",V42="通过"),"通过","失败")</x:f>
        <x:v>通过</x:v>
      </x:c>
      <x:c r="AB42" s="25" t="str">
        <x:f>D42&amp;"+"&amp;F42&amp;"+"&amp;H42&amp;"+"&amp;J42</x:f>
        <x:v>J-ZJ-13+M-ZJ-MU-P+A-ZJ-P+E-ZJ-XIN-P</x:v>
      </x:c>
      <x:c r="AC42" s="25" t="str">
        <x:v>四材易认、方性直观；师承默认教学解</x:v>
      </x:c>
    </x:row>
    <x:row r="43" ht="15" hidden="0" customHeight="1">
      <x:c r="A43" s="25" t="str">
        <x:v>F-ZJ-13</x:v>
      </x:c>
      <x:c r="B43" s="25" t="n">
        <x:v>3</x:v>
      </x:c>
      <x:c r="C43" s="25" t="str">
        <x:v>精炼解</x:v>
      </x:c>
      <x:c r="D43" s="25" t="str">
        <x:v>J-ZJ-13</x:v>
      </x:c>
      <x:c r="E43" s="25" t="n">
        <x:v>1</x:v>
      </x:c>
      <x:c r="F43" s="25" t="str">
        <x:v>M-ZJ-MU-C</x:v>
      </x:c>
      <x:c r="G43" s="25" t="n">
        <x:v>1</x:v>
      </x:c>
      <x:c r="H43" s="25" t="str">
        <x:v>A-ZJ-P</x:v>
      </x:c>
      <x:c r="I43" s="25" t="n">
        <x:v>1</x:v>
      </x:c>
      <x:c r="J43" s="25" t="str">
        <x:v>E-ZJ-XIN-W</x:v>
      </x:c>
      <x:c r="K43" s="25" t="n">
        <x:v>1</x:v>
      </x:c>
      <x:c r="L43" s="25" t="str">
        <x:v>玄</x:v>
      </x:c>
      <x:c r="M43" s="26" t="n">
        <x:f>VLOOKUP(L43,'01_参数与词典'!$A$6:$D$10,2,FALSE)</x:f>
        <x:v>3</x:v>
      </x:c>
      <x:c r="N43" s="25" t="str">
        <x:f>IF(D43=VLOOKUP(A43,'02_筑基丹方表'!$A$5:$Q$19,7,FALSE),"通过","失败")</x:f>
        <x:v>通过</x:v>
      </x:c>
      <x:c r="O43" s="25" t="str">
        <x:f>IF(VLOOKUP(F43,'03_筑基灵植表'!$A$5:$N$49,6,FALSE)=VLOOKUP(A43,'02_筑基丹方表'!$A$5:$Q$19,8,FALSE),"通过","失败")</x:f>
        <x:v>通过</x:v>
      </x:c>
      <x:c r="P43" s="25" t="str">
        <x:f>IF(VLOOKUP(J43,'03_筑基灵植表'!$A$5:$N$49,9,FALSE)=VLOOKUP(A43,'02_筑基丹方表'!$A$5:$Q$19,11,FALSE),"通过","失败")</x:f>
        <x:v>通过</x:v>
      </x:c>
      <x:c r="Q43" s="41" t="n">
        <x:f>VLOOKUP(D43,'03_筑基灵植表'!$A$5:$N$49,8,FALSE)+VLOOKUP(F43,'03_筑基灵植表'!$A$5:$N$49,8,FALSE)+VLOOKUP(H43,'03_筑基灵植表'!$A$5:$N$49,8,FALSE)+VLOOKUP(J43,'03_筑基灵植表'!$A$5:$N$49,8,FALSE)</x:f>
        <x:v>1</x:v>
      </x:c>
      <x:c r="R43" s="41" t="str">
        <x:f>IF(Q43=VLOOKUP(A43,'02_筑基丹方表'!$A$5:$Q$19,10,FALSE),"通过","失败")</x:f>
        <x:v>通过</x:v>
      </x:c>
      <x:c r="S43" s="41" t="n">
        <x:f>M43*(VLOOKUP(D43,'03_筑基灵植表'!$A$5:$N$49,10,FALSE)*E43+VLOOKUP(F43,'03_筑基灵植表'!$A$5:$N$49,10,FALSE)*G43+VLOOKUP(H43,'03_筑基灵植表'!$A$5:$N$49,10,FALSE)*I43+VLOOKUP(J43,'03_筑基灵植表'!$A$5:$N$49,10,FALSE)*K43)</x:f>
        <x:v>36</x:v>
      </x:c>
      <x:c r="T43" s="41" t="str">
        <x:f>IF(S43&gt;=VLOOKUP(A43,'02_筑基丹方表'!$A$5:$Q$19,12,FALSE),"通过","失败")</x:f>
        <x:v>通过</x:v>
      </x:c>
      <x:c r="U43" s="41" t="n">
        <x:f>SUM(E43,G43,I43,K43)</x:f>
        <x:v>4</x:v>
      </x:c>
      <x:c r="V43" s="41" t="str">
        <x:f>IF(U43&lt;=VLOOKUP(A43,'02_筑基丹方表'!$A$5:$Q$19,13,FALSE),"通过","失败")</x:f>
        <x:v>通过</x:v>
      </x:c>
      <x:c r="W43" s="41" t="n">
        <x:f>VLOOKUP(L43,'01_参数与词典'!$A$6:$D$10,3,FALSE)*(VLOOKUP(D43,'03_筑基灵植表'!$A$5:$N$49,12,FALSE)*E43+VLOOKUP(F43,'03_筑基灵植表'!$A$5:$N$49,12,FALSE)*G43+VLOOKUP(H43,'03_筑基灵植表'!$A$5:$N$49,12,FALSE)*I43+VLOOKUP(J43,'03_筑基灵植表'!$A$5:$N$49,12,FALSE)*K43)</x:f>
        <x:v>124.80000000000001</x:v>
      </x:c>
      <x:c r="X43" s="25" t="str">
        <x:v>灵</x:v>
      </x:c>
      <x:c r="Y43" s="41" t="n">
        <x:f>VLOOKUP(A43,'02_筑基丹方表'!$A$5:$Q$19,16,FALSE)*VLOOKUP(X43,'01_参数与词典'!$A$6:$D$10,4,FALSE)</x:f>
        <x:v>300</x:v>
      </x:c>
      <x:c r="Z43" s="41" t="n">
        <x:f>Y43-W43</x:f>
        <x:v>175.2</x:v>
      </x:c>
      <x:c r="AA43" s="25" t="str">
        <x:f>IF(AND(N43="通过",O43="通过",P43="通过",R43="通过",T43="通过",V43="通过"),"通过","失败")</x:f>
        <x:v>通过</x:v>
      </x:c>
      <x:c r="AB43" s="25" t="str">
        <x:f>D43&amp;"+"&amp;F43&amp;"+"&amp;H43&amp;"+"&amp;J43</x:f>
        <x:v>J-ZJ-13+M-ZJ-MU-C+A-ZJ-P+E-ZJ-XIN-W</x:v>
      </x:c>
      <x:c r="AC43" s="25" t="str">
        <x:v>臣凉使温相抵，药力留余；用于冲击较高品质</x:v>
      </x:c>
    </x:row>
    <x:row r="44" ht="15" hidden="0" customHeight="1">
      <x:c r="A44" s="25" t="str">
        <x:v>F-ZJ-14</x:v>
      </x:c>
      <x:c r="B44" s="25" t="n">
        <x:v>1</x:v>
      </x:c>
      <x:c r="C44" s="25" t="str">
        <x:v>廉价解</x:v>
      </x:c>
      <x:c r="D44" s="25" t="str">
        <x:v>J-ZJ-14</x:v>
      </x:c>
      <x:c r="E44" s="25" t="n">
        <x:v>2</x:v>
      </x:c>
      <x:c r="F44" s="25" t="str">
        <x:v>M-ZJ-HUO-W</x:v>
      </x:c>
      <x:c r="G44" s="25" t="n">
        <x:v>1</x:v>
      </x:c>
      <x:c r="H44" s="25" t="str">
        <x:v>A-ZJ-C</x:v>
      </x:c>
      <x:c r="I44" s="25" t="n">
        <x:v>1</x:v>
      </x:c>
      <x:c r="J44" s="25" t="str">
        <x:v>E-ZJ-KU-P</x:v>
      </x:c>
      <x:c r="K44" s="25" t="n">
        <x:v>1</x:v>
      </x:c>
      <x:c r="L44" s="25" t="str">
        <x:v>灵</x:v>
      </x:c>
      <x:c r="M44" s="26" t="n">
        <x:f>VLOOKUP(L44,'01_参数与词典'!$A$6:$D$10,2,FALSE)</x:f>
        <x:v>2</x:v>
      </x:c>
      <x:c r="N44" s="25" t="str">
        <x:f>IF(D44=VLOOKUP(A44,'02_筑基丹方表'!$A$5:$Q$19,7,FALSE),"通过","失败")</x:f>
        <x:v>通过</x:v>
      </x:c>
      <x:c r="O44" s="25" t="str">
        <x:f>IF(VLOOKUP(F44,'03_筑基灵植表'!$A$5:$N$49,6,FALSE)=VLOOKUP(A44,'02_筑基丹方表'!$A$5:$Q$19,8,FALSE),"通过","失败")</x:f>
        <x:v>通过</x:v>
      </x:c>
      <x:c r="P44" s="25" t="str">
        <x:f>IF(VLOOKUP(J44,'03_筑基灵植表'!$A$5:$N$49,9,FALSE)=VLOOKUP(A44,'02_筑基丹方表'!$A$5:$Q$19,11,FALSE),"通过","失败")</x:f>
        <x:v>通过</x:v>
      </x:c>
      <x:c r="Q44" s="41" t="n">
        <x:f>VLOOKUP(D44,'03_筑基灵植表'!$A$5:$N$49,8,FALSE)+VLOOKUP(F44,'03_筑基灵植表'!$A$5:$N$49,8,FALSE)+VLOOKUP(H44,'03_筑基灵植表'!$A$5:$N$49,8,FALSE)+VLOOKUP(J44,'03_筑基灵植表'!$A$5:$N$49,8,FALSE)</x:f>
        <x:v>1</x:v>
      </x:c>
      <x:c r="R44" s="41" t="str">
        <x:f>IF(Q44=VLOOKUP(A44,'02_筑基丹方表'!$A$5:$Q$19,10,FALSE),"通过","失败")</x:f>
        <x:v>通过</x:v>
      </x:c>
      <x:c r="S44" s="41" t="n">
        <x:f>M44*(VLOOKUP(D44,'03_筑基灵植表'!$A$5:$N$49,10,FALSE)*E44+VLOOKUP(F44,'03_筑基灵植表'!$A$5:$N$49,10,FALSE)*G44+VLOOKUP(H44,'03_筑基灵植表'!$A$5:$N$49,10,FALSE)*I44+VLOOKUP(J44,'03_筑基灵植表'!$A$5:$N$49,10,FALSE)*K44)</x:f>
        <x:v>30</x:v>
      </x:c>
      <x:c r="T44" s="41" t="str">
        <x:f>IF(S44&gt;=VLOOKUP(A44,'02_筑基丹方表'!$A$5:$Q$19,12,FALSE),"通过","失败")</x:f>
        <x:v>通过</x:v>
      </x:c>
      <x:c r="U44" s="41" t="n">
        <x:f>SUM(E44,G44,I44,K44)</x:f>
        <x:v>5</x:v>
      </x:c>
      <x:c r="V44" s="41" t="str">
        <x:f>IF(U44&lt;=VLOOKUP(A44,'02_筑基丹方表'!$A$5:$Q$19,13,FALSE),"通过","失败")</x:f>
        <x:v>通过</x:v>
      </x:c>
      <x:c r="W44" s="41" t="n">
        <x:f>VLOOKUP(L44,'01_参数与词典'!$A$6:$D$10,3,FALSE)*(VLOOKUP(D44,'03_筑基灵植表'!$A$5:$N$49,12,FALSE)*E44+VLOOKUP(F44,'03_筑基灵植表'!$A$5:$N$49,12,FALSE)*G44+VLOOKUP(H44,'03_筑基灵植表'!$A$5:$N$49,12,FALSE)*I44+VLOOKUP(J44,'03_筑基灵植表'!$A$5:$N$49,12,FALSE)*K44)</x:f>
        <x:v>83.3</x:v>
      </x:c>
      <x:c r="X44" s="25" t="str">
        <x:v>凡</x:v>
      </x:c>
      <x:c r="Y44" s="41" t="n">
        <x:f>VLOOKUP(A44,'02_筑基丹方表'!$A$5:$Q$19,16,FALSE)*VLOOKUP(X44,'01_参数与词典'!$A$6:$D$10,4,FALSE)</x:f>
        <x:v>170</x:v>
      </x:c>
      <x:c r="Z44" s="41" t="n">
        <x:f>Y44-W44</x:f>
        <x:v>86.7</x:v>
      </x:c>
      <x:c r="AA44" s="25" t="str">
        <x:f>IF(AND(N44="通过",O44="通过",P44="通过",R44="通过",T44="通过",V44="通过"),"通过","失败")</x:f>
        <x:v>通过</x:v>
      </x:c>
      <x:c r="AB44" s="25" t="str">
        <x:f>D44&amp;"+"&amp;F44&amp;"+"&amp;H44&amp;"+"&amp;J44</x:f>
        <x:v>J-ZJ-14+M-ZJ-HUO-W+A-ZJ-C+E-ZJ-KU-P</x:v>
      </x:c>
      <x:c r="AC44" s="25" t="str">
        <x:v>廉价辅材，多占份数；适合卖药与资源紧张时</x:v>
      </x:c>
    </x:row>
    <x:row r="45" ht="15" hidden="0" customHeight="1">
      <x:c r="A45" s="25" t="str">
        <x:v>F-ZJ-14</x:v>
      </x:c>
      <x:c r="B45" s="25" t="n">
        <x:v>2</x:v>
      </x:c>
      <x:c r="C45" s="25" t="str">
        <x:v>标准解</x:v>
      </x:c>
      <x:c r="D45" s="25" t="str">
        <x:v>J-ZJ-14</x:v>
      </x:c>
      <x:c r="E45" s="25" t="n">
        <x:v>2</x:v>
      </x:c>
      <x:c r="F45" s="25" t="str">
        <x:v>M-ZJ-HUO-P</x:v>
      </x:c>
      <x:c r="G45" s="25" t="n">
        <x:v>1</x:v>
      </x:c>
      <x:c r="H45" s="25" t="str">
        <x:v>A-ZJ-P</x:v>
      </x:c>
      <x:c r="I45" s="25" t="n">
        <x:v>1</x:v>
      </x:c>
      <x:c r="J45" s="25" t="str">
        <x:v>E-ZJ-KU-P</x:v>
      </x:c>
      <x:c r="K45" s="25" t="n">
        <x:v>1</x:v>
      </x:c>
      <x:c r="L45" s="25" t="str">
        <x:v>灵</x:v>
      </x:c>
      <x:c r="M45" s="26" t="n">
        <x:f>VLOOKUP(L45,'01_参数与词典'!$A$6:$D$10,2,FALSE)</x:f>
        <x:v>2</x:v>
      </x:c>
      <x:c r="N45" s="25" t="str">
        <x:f>IF(D45=VLOOKUP(A45,'02_筑基丹方表'!$A$5:$Q$19,7,FALSE),"通过","失败")</x:f>
        <x:v>通过</x:v>
      </x:c>
      <x:c r="O45" s="25" t="str">
        <x:f>IF(VLOOKUP(F45,'03_筑基灵植表'!$A$5:$N$49,6,FALSE)=VLOOKUP(A45,'02_筑基丹方表'!$A$5:$Q$19,8,FALSE),"通过","失败")</x:f>
        <x:v>通过</x:v>
      </x:c>
      <x:c r="P45" s="25" t="str">
        <x:f>IF(VLOOKUP(J45,'03_筑基灵植表'!$A$5:$N$49,9,FALSE)=VLOOKUP(A45,'02_筑基丹方表'!$A$5:$Q$19,11,FALSE),"通过","失败")</x:f>
        <x:v>通过</x:v>
      </x:c>
      <x:c r="Q45" s="41" t="n">
        <x:f>VLOOKUP(D45,'03_筑基灵植表'!$A$5:$N$49,8,FALSE)+VLOOKUP(F45,'03_筑基灵植表'!$A$5:$N$49,8,FALSE)+VLOOKUP(H45,'03_筑基灵植表'!$A$5:$N$49,8,FALSE)+VLOOKUP(J45,'03_筑基灵植表'!$A$5:$N$49,8,FALSE)</x:f>
        <x:v>1</x:v>
      </x:c>
      <x:c r="R45" s="41" t="str">
        <x:f>IF(Q45=VLOOKUP(A45,'02_筑基丹方表'!$A$5:$Q$19,10,FALSE),"通过","失败")</x:f>
        <x:v>通过</x:v>
      </x:c>
      <x:c r="S45" s="41" t="n">
        <x:f>M45*(VLOOKUP(D45,'03_筑基灵植表'!$A$5:$N$49,10,FALSE)*E45+VLOOKUP(F45,'03_筑基灵植表'!$A$5:$N$49,10,FALSE)*G45+VLOOKUP(H45,'03_筑基灵植表'!$A$5:$N$49,10,FALSE)*I45+VLOOKUP(J45,'03_筑基灵植表'!$A$5:$N$49,10,FALSE)*K45)</x:f>
        <x:v>30</x:v>
      </x:c>
      <x:c r="T45" s="41" t="str">
        <x:f>IF(S45&gt;=VLOOKUP(A45,'02_筑基丹方表'!$A$5:$Q$19,12,FALSE),"通过","失败")</x:f>
        <x:v>通过</x:v>
      </x:c>
      <x:c r="U45" s="41" t="n">
        <x:f>SUM(E45,G45,I45,K45)</x:f>
        <x:v>5</x:v>
      </x:c>
      <x:c r="V45" s="41" t="str">
        <x:f>IF(U45&lt;=VLOOKUP(A45,'02_筑基丹方表'!$A$5:$Q$19,13,FALSE),"通过","失败")</x:f>
        <x:v>通过</x:v>
      </x:c>
      <x:c r="W45" s="41" t="n">
        <x:f>VLOOKUP(L45,'01_参数与词典'!$A$6:$D$10,3,FALSE)*(VLOOKUP(D45,'03_筑基灵植表'!$A$5:$N$49,12,FALSE)*E45+VLOOKUP(F45,'03_筑基灵植表'!$A$5:$N$49,12,FALSE)*G45+VLOOKUP(H45,'03_筑基灵植表'!$A$5:$N$49,12,FALSE)*I45+VLOOKUP(J45,'03_筑基灵植表'!$A$5:$N$49,12,FALSE)*K45)</x:f>
        <x:v>90.1</x:v>
      </x:c>
      <x:c r="X45" s="25" t="str">
        <x:v>凡</x:v>
      </x:c>
      <x:c r="Y45" s="41" t="n">
        <x:f>VLOOKUP(A45,'02_筑基丹方表'!$A$5:$Q$19,16,FALSE)*VLOOKUP(X45,'01_参数与词典'!$A$6:$D$10,4,FALSE)</x:f>
        <x:v>170</x:v>
      </x:c>
      <x:c r="Z45" s="41" t="n">
        <x:f>Y45-W45</x:f>
        <x:v>79.9</x:v>
      </x:c>
      <x:c r="AA45" s="25" t="str">
        <x:f>IF(AND(N45="通过",O45="通过",P45="通过",R45="通过",T45="通过",V45="通过"),"通过","失败")</x:f>
        <x:v>通过</x:v>
      </x:c>
      <x:c r="AB45" s="25" t="str">
        <x:f>D45&amp;"+"&amp;F45&amp;"+"&amp;H45&amp;"+"&amp;J45</x:f>
        <x:v>J-ZJ-14+M-ZJ-HUO-P+A-ZJ-P+E-ZJ-KU-P</x:v>
      </x:c>
      <x:c r="AC45" s="25" t="str">
        <x:v>四材易认、方性直观；师承默认教学解</x:v>
      </x:c>
    </x:row>
    <x:row r="46" ht="15" hidden="0" customHeight="1">
      <x:c r="A46" s="25" t="str">
        <x:v>F-ZJ-14</x:v>
      </x:c>
      <x:c r="B46" s="25" t="n">
        <x:v>3</x:v>
      </x:c>
      <x:c r="C46" s="25" t="str">
        <x:v>精炼解</x:v>
      </x:c>
      <x:c r="D46" s="25" t="str">
        <x:v>J-ZJ-14</x:v>
      </x:c>
      <x:c r="E46" s="25" t="n">
        <x:v>2</x:v>
      </x:c>
      <x:c r="F46" s="25" t="str">
        <x:v>M-ZJ-HUO-C</x:v>
      </x:c>
      <x:c r="G46" s="25" t="n">
        <x:v>1</x:v>
      </x:c>
      <x:c r="H46" s="25" t="str">
        <x:v>A-ZJ-P</x:v>
      </x:c>
      <x:c r="I46" s="25" t="n">
        <x:v>1</x:v>
      </x:c>
      <x:c r="J46" s="25" t="str">
        <x:v>E-ZJ-KU-W</x:v>
      </x:c>
      <x:c r="K46" s="25" t="n">
        <x:v>1</x:v>
      </x:c>
      <x:c r="L46" s="25" t="str">
        <x:v>玄</x:v>
      </x:c>
      <x:c r="M46" s="26" t="n">
        <x:f>VLOOKUP(L46,'01_参数与词典'!$A$6:$D$10,2,FALSE)</x:f>
        <x:v>3</x:v>
      </x:c>
      <x:c r="N46" s="25" t="str">
        <x:f>IF(D46=VLOOKUP(A46,'02_筑基丹方表'!$A$5:$Q$19,7,FALSE),"通过","失败")</x:f>
        <x:v>通过</x:v>
      </x:c>
      <x:c r="O46" s="25" t="str">
        <x:f>IF(VLOOKUP(F46,'03_筑基灵植表'!$A$5:$N$49,6,FALSE)=VLOOKUP(A46,'02_筑基丹方表'!$A$5:$Q$19,8,FALSE),"通过","失败")</x:f>
        <x:v>通过</x:v>
      </x:c>
      <x:c r="P46" s="25" t="str">
        <x:f>IF(VLOOKUP(J46,'03_筑基灵植表'!$A$5:$N$49,9,FALSE)=VLOOKUP(A46,'02_筑基丹方表'!$A$5:$Q$19,11,FALSE),"通过","失败")</x:f>
        <x:v>通过</x:v>
      </x:c>
      <x:c r="Q46" s="41" t="n">
        <x:f>VLOOKUP(D46,'03_筑基灵植表'!$A$5:$N$49,8,FALSE)+VLOOKUP(F46,'03_筑基灵植表'!$A$5:$N$49,8,FALSE)+VLOOKUP(H46,'03_筑基灵植表'!$A$5:$N$49,8,FALSE)+VLOOKUP(J46,'03_筑基灵植表'!$A$5:$N$49,8,FALSE)</x:f>
        <x:v>1</x:v>
      </x:c>
      <x:c r="R46" s="41" t="str">
        <x:f>IF(Q46=VLOOKUP(A46,'02_筑基丹方表'!$A$5:$Q$19,10,FALSE),"通过","失败")</x:f>
        <x:v>通过</x:v>
      </x:c>
      <x:c r="S46" s="41" t="n">
        <x:f>M46*(VLOOKUP(D46,'03_筑基灵植表'!$A$5:$N$49,10,FALSE)*E46+VLOOKUP(F46,'03_筑基灵植表'!$A$5:$N$49,10,FALSE)*G46+VLOOKUP(H46,'03_筑基灵植表'!$A$5:$N$49,10,FALSE)*I46+VLOOKUP(J46,'03_筑基灵植表'!$A$5:$N$49,10,FALSE)*K46)</x:f>
        <x:v>45</x:v>
      </x:c>
      <x:c r="T46" s="41" t="str">
        <x:f>IF(S46&gt;=VLOOKUP(A46,'02_筑基丹方表'!$A$5:$Q$19,12,FALSE),"通过","失败")</x:f>
        <x:v>通过</x:v>
      </x:c>
      <x:c r="U46" s="41" t="n">
        <x:f>SUM(E46,G46,I46,K46)</x:f>
        <x:v>5</x:v>
      </x:c>
      <x:c r="V46" s="41" t="str">
        <x:f>IF(U46&lt;=VLOOKUP(A46,'02_筑基丹方表'!$A$5:$Q$19,13,FALSE),"通过","失败")</x:f>
        <x:v>通过</x:v>
      </x:c>
      <x:c r="W46" s="41" t="n">
        <x:f>VLOOKUP(L46,'01_参数与词典'!$A$6:$D$10,3,FALSE)*(VLOOKUP(D46,'03_筑基灵植表'!$A$5:$N$49,12,FALSE)*E46+VLOOKUP(F46,'03_筑基灵植表'!$A$5:$N$49,12,FALSE)*G46+VLOOKUP(H46,'03_筑基灵植表'!$A$5:$N$49,12,FALSE)*I46+VLOOKUP(J46,'03_筑基灵植表'!$A$5:$N$49,12,FALSE)*K46)</x:f>
        <x:v>192</x:v>
      </x:c>
      <x:c r="X46" s="25" t="str">
        <x:v>灵</x:v>
      </x:c>
      <x:c r="Y46" s="41" t="n">
        <x:f>VLOOKUP(A46,'02_筑基丹方表'!$A$5:$Q$19,16,FALSE)*VLOOKUP(X46,'01_参数与词典'!$A$6:$D$10,4,FALSE)</x:f>
        <x:v>340</x:v>
      </x:c>
      <x:c r="Z46" s="41" t="n">
        <x:f>Y46-W46</x:f>
        <x:v>148</x:v>
      </x:c>
      <x:c r="AA46" s="25" t="str">
        <x:f>IF(AND(N46="通过",O46="通过",P46="通过",R46="通过",T46="通过",V46="通过"),"通过","失败")</x:f>
        <x:v>通过</x:v>
      </x:c>
      <x:c r="AB46" s="25" t="str">
        <x:f>D46&amp;"+"&amp;F46&amp;"+"&amp;H46&amp;"+"&amp;J46</x:f>
        <x:v>J-ZJ-14+M-ZJ-HUO-C+A-ZJ-P+E-ZJ-KU-W</x:v>
      </x:c>
      <x:c r="AC46" s="25" t="str">
        <x:v>臣凉使温相抵，药力留余；用于冲击较高品质</x:v>
      </x:c>
    </x:row>
    <x:row r="47" ht="15" hidden="0" customHeight="1">
      <x:c r="A47" s="25" t="str">
        <x:v>F-ZJ-15</x:v>
      </x:c>
      <x:c r="B47" s="25" t="n">
        <x:v>1</x:v>
      </x:c>
      <x:c r="C47" s="25" t="str">
        <x:v>廉价解</x:v>
      </x:c>
      <x:c r="D47" s="25" t="str">
        <x:v>J-ZJ-15</x:v>
      </x:c>
      <x:c r="E47" s="25" t="n">
        <x:v>2</x:v>
      </x:c>
      <x:c r="F47" s="25" t="str">
        <x:v>M-ZJ-SHUI-W</x:v>
      </x:c>
      <x:c r="G47" s="25" t="n">
        <x:v>2</x:v>
      </x:c>
      <x:c r="H47" s="25" t="str">
        <x:v>A-ZJ-C</x:v>
      </x:c>
      <x:c r="I47" s="25" t="n">
        <x:v>1</x:v>
      </x:c>
      <x:c r="J47" s="25" t="str">
        <x:v>E-ZJ-XIAN-P</x:v>
      </x:c>
      <x:c r="K47" s="25" t="n">
        <x:v>1</x:v>
      </x:c>
      <x:c r="L47" s="25" t="str">
        <x:v>灵</x:v>
      </x:c>
      <x:c r="M47" s="26" t="n">
        <x:f>VLOOKUP(L47,'01_参数与词典'!$A$6:$D$10,2,FALSE)</x:f>
        <x:v>2</x:v>
      </x:c>
      <x:c r="N47" s="25" t="str">
        <x:f>IF(D47=VLOOKUP(A47,'02_筑基丹方表'!$A$5:$Q$19,7,FALSE),"通过","失败")</x:f>
        <x:v>通过</x:v>
      </x:c>
      <x:c r="O47" s="25" t="str">
        <x:f>IF(VLOOKUP(F47,'03_筑基灵植表'!$A$5:$N$49,6,FALSE)=VLOOKUP(A47,'02_筑基丹方表'!$A$5:$Q$19,8,FALSE),"通过","失败")</x:f>
        <x:v>通过</x:v>
      </x:c>
      <x:c r="P47" s="25" t="str">
        <x:f>IF(VLOOKUP(J47,'03_筑基灵植表'!$A$5:$N$49,9,FALSE)=VLOOKUP(A47,'02_筑基丹方表'!$A$5:$Q$19,11,FALSE),"通过","失败")</x:f>
        <x:v>通过</x:v>
      </x:c>
      <x:c r="Q47" s="41" t="n">
        <x:f>VLOOKUP(D47,'03_筑基灵植表'!$A$5:$N$49,8,FALSE)+VLOOKUP(F47,'03_筑基灵植表'!$A$5:$N$49,8,FALSE)+VLOOKUP(H47,'03_筑基灵植表'!$A$5:$N$49,8,FALSE)+VLOOKUP(J47,'03_筑基灵植表'!$A$5:$N$49,8,FALSE)</x:f>
        <x:v>0</x:v>
      </x:c>
      <x:c r="R47" s="41" t="str">
        <x:f>IF(Q47=VLOOKUP(A47,'02_筑基丹方表'!$A$5:$Q$19,10,FALSE),"通过","失败")</x:f>
        <x:v>通过</x:v>
      </x:c>
      <x:c r="S47" s="41" t="n">
        <x:f>M47*(VLOOKUP(D47,'03_筑基灵植表'!$A$5:$N$49,10,FALSE)*E47+VLOOKUP(F47,'03_筑基灵植表'!$A$5:$N$49,10,FALSE)*G47+VLOOKUP(H47,'03_筑基灵植表'!$A$5:$N$49,10,FALSE)*I47+VLOOKUP(J47,'03_筑基灵植表'!$A$5:$N$49,10,FALSE)*K47)</x:f>
        <x:v>36</x:v>
      </x:c>
      <x:c r="T47" s="41" t="str">
        <x:f>IF(S47&gt;=VLOOKUP(A47,'02_筑基丹方表'!$A$5:$Q$19,12,FALSE),"通过","失败")</x:f>
        <x:v>通过</x:v>
      </x:c>
      <x:c r="U47" s="41" t="n">
        <x:f>SUM(E47,G47,I47,K47)</x:f>
        <x:v>6</x:v>
      </x:c>
      <x:c r="V47" s="41" t="str">
        <x:f>IF(U47&lt;=VLOOKUP(A47,'02_筑基丹方表'!$A$5:$Q$19,13,FALSE),"通过","失败")</x:f>
        <x:v>通过</x:v>
      </x:c>
      <x:c r="W47" s="41" t="n">
        <x:f>VLOOKUP(L47,'01_参数与词典'!$A$6:$D$10,3,FALSE)*(VLOOKUP(D47,'03_筑基灵植表'!$A$5:$N$49,12,FALSE)*E47+VLOOKUP(F47,'03_筑基灵植表'!$A$5:$N$49,12,FALSE)*G47+VLOOKUP(H47,'03_筑基灵植表'!$A$5:$N$49,12,FALSE)*I47+VLOOKUP(J47,'03_筑基灵植表'!$A$5:$N$49,12,FALSE)*K47)</x:f>
        <x:v>151.29999999999998</x:v>
      </x:c>
      <x:c r="X47" s="25" t="str">
        <x:v>凡</x:v>
      </x:c>
      <x:c r="Y47" s="41" t="n">
        <x:f>VLOOKUP(A47,'02_筑基丹方表'!$A$5:$Q$19,16,FALSE)*VLOOKUP(X47,'01_参数与词典'!$A$6:$D$10,4,FALSE)</x:f>
        <x:v>500</x:v>
      </x:c>
      <x:c r="Z47" s="41" t="n">
        <x:f>Y47-W47</x:f>
        <x:v>348.70000000000005</x:v>
      </x:c>
      <x:c r="AA47" s="25" t="str">
        <x:f>IF(AND(N47="通过",O47="通过",P47="通过",R47="通过",T47="通过",V47="通过"),"通过","失败")</x:f>
        <x:v>通过</x:v>
      </x:c>
      <x:c r="AB47" s="25" t="str">
        <x:f>D47&amp;"+"&amp;F47&amp;"+"&amp;H47&amp;"+"&amp;J47</x:f>
        <x:v>J-ZJ-15+M-ZJ-SHUI-W+A-ZJ-C+E-ZJ-XIAN-P</x:v>
      </x:c>
      <x:c r="AC47" s="25" t="str">
        <x:v>廉价辅材，多占份数；适合卖药与资源紧张时</x:v>
      </x:c>
    </x:row>
    <x:row r="48" ht="15" hidden="0" customHeight="1">
      <x:c r="A48" s="25" t="str">
        <x:v>F-ZJ-15</x:v>
      </x:c>
      <x:c r="B48" s="25" t="n">
        <x:v>2</x:v>
      </x:c>
      <x:c r="C48" s="25" t="str">
        <x:v>标准解</x:v>
      </x:c>
      <x:c r="D48" s="25" t="str">
        <x:v>J-ZJ-15</x:v>
      </x:c>
      <x:c r="E48" s="25" t="n">
        <x:v>2</x:v>
      </x:c>
      <x:c r="F48" s="25" t="str">
        <x:v>M-ZJ-SHUI-P</x:v>
      </x:c>
      <x:c r="G48" s="25" t="n">
        <x:v>2</x:v>
      </x:c>
      <x:c r="H48" s="25" t="str">
        <x:v>A-ZJ-P</x:v>
      </x:c>
      <x:c r="I48" s="25" t="n">
        <x:v>1</x:v>
      </x:c>
      <x:c r="J48" s="25" t="str">
        <x:v>E-ZJ-XIAN-P</x:v>
      </x:c>
      <x:c r="K48" s="25" t="n">
        <x:v>1</x:v>
      </x:c>
      <x:c r="L48" s="25" t="str">
        <x:v>灵</x:v>
      </x:c>
      <x:c r="M48" s="26" t="n">
        <x:f>VLOOKUP(L48,'01_参数与词典'!$A$6:$D$10,2,FALSE)</x:f>
        <x:v>2</x:v>
      </x:c>
      <x:c r="N48" s="25" t="str">
        <x:f>IF(D48=VLOOKUP(A48,'02_筑基丹方表'!$A$5:$Q$19,7,FALSE),"通过","失败")</x:f>
        <x:v>通过</x:v>
      </x:c>
      <x:c r="O48" s="25" t="str">
        <x:f>IF(VLOOKUP(F48,'03_筑基灵植表'!$A$5:$N$49,6,FALSE)=VLOOKUP(A48,'02_筑基丹方表'!$A$5:$Q$19,8,FALSE),"通过","失败")</x:f>
        <x:v>通过</x:v>
      </x:c>
      <x:c r="P48" s="25" t="str">
        <x:f>IF(VLOOKUP(J48,'03_筑基灵植表'!$A$5:$N$49,9,FALSE)=VLOOKUP(A48,'02_筑基丹方表'!$A$5:$Q$19,11,FALSE),"通过","失败")</x:f>
        <x:v>通过</x:v>
      </x:c>
      <x:c r="Q48" s="41" t="n">
        <x:f>VLOOKUP(D48,'03_筑基灵植表'!$A$5:$N$49,8,FALSE)+VLOOKUP(F48,'03_筑基灵植表'!$A$5:$N$49,8,FALSE)+VLOOKUP(H48,'03_筑基灵植表'!$A$5:$N$49,8,FALSE)+VLOOKUP(J48,'03_筑基灵植表'!$A$5:$N$49,8,FALSE)</x:f>
        <x:v>0</x:v>
      </x:c>
      <x:c r="R48" s="41" t="str">
        <x:f>IF(Q48=VLOOKUP(A48,'02_筑基丹方表'!$A$5:$Q$19,10,FALSE),"通过","失败")</x:f>
        <x:v>通过</x:v>
      </x:c>
      <x:c r="S48" s="41" t="n">
        <x:f>M48*(VLOOKUP(D48,'03_筑基灵植表'!$A$5:$N$49,10,FALSE)*E48+VLOOKUP(F48,'03_筑基灵植表'!$A$5:$N$49,10,FALSE)*G48+VLOOKUP(H48,'03_筑基灵植表'!$A$5:$N$49,10,FALSE)*I48+VLOOKUP(J48,'03_筑基灵植表'!$A$5:$N$49,10,FALSE)*K48)</x:f>
        <x:v>36</x:v>
      </x:c>
      <x:c r="T48" s="41" t="str">
        <x:f>IF(S48&gt;=VLOOKUP(A48,'02_筑基丹方表'!$A$5:$Q$19,12,FALSE),"通过","失败")</x:f>
        <x:v>通过</x:v>
      </x:c>
      <x:c r="U48" s="41" t="n">
        <x:f>SUM(E48,G48,I48,K48)</x:f>
        <x:v>6</x:v>
      </x:c>
      <x:c r="V48" s="41" t="str">
        <x:f>IF(U48&lt;=VLOOKUP(A48,'02_筑基丹方表'!$A$5:$Q$19,13,FALSE),"通过","失败")</x:f>
        <x:v>通过</x:v>
      </x:c>
      <x:c r="W48" s="41" t="n">
        <x:f>VLOOKUP(L48,'01_参数与词典'!$A$6:$D$10,3,FALSE)*(VLOOKUP(D48,'03_筑基灵植表'!$A$5:$N$49,12,FALSE)*E48+VLOOKUP(F48,'03_筑基灵植表'!$A$5:$N$49,12,FALSE)*G48+VLOOKUP(H48,'03_筑基灵植表'!$A$5:$N$49,12,FALSE)*I48+VLOOKUP(J48,'03_筑基灵植表'!$A$5:$N$49,12,FALSE)*K48)</x:f>
        <x:v>161.5</x:v>
      </x:c>
      <x:c r="X48" s="25" t="str">
        <x:v>凡</x:v>
      </x:c>
      <x:c r="Y48" s="41" t="n">
        <x:f>VLOOKUP(A48,'02_筑基丹方表'!$A$5:$Q$19,16,FALSE)*VLOOKUP(X48,'01_参数与词典'!$A$6:$D$10,4,FALSE)</x:f>
        <x:v>500</x:v>
      </x:c>
      <x:c r="Z48" s="41" t="n">
        <x:f>Y48-W48</x:f>
        <x:v>338.5</x:v>
      </x:c>
      <x:c r="AA48" s="25" t="str">
        <x:f>IF(AND(N48="通过",O48="通过",P48="通过",R48="通过",T48="通过",V48="通过"),"通过","失败")</x:f>
        <x:v>通过</x:v>
      </x:c>
      <x:c r="AB48" s="25" t="str">
        <x:f>D48&amp;"+"&amp;F48&amp;"+"&amp;H48&amp;"+"&amp;J48</x:f>
        <x:v>J-ZJ-15+M-ZJ-SHUI-P+A-ZJ-P+E-ZJ-XIAN-P</x:v>
      </x:c>
      <x:c r="AC48" s="25" t="str">
        <x:v>四材易认、方性直观；师承默认教学解</x:v>
      </x:c>
    </x:row>
    <x:row r="49" ht="15" hidden="0" customHeight="1">
      <x:c r="A49" s="25" t="str">
        <x:v>F-ZJ-15</x:v>
      </x:c>
      <x:c r="B49" s="25" t="n">
        <x:v>3</x:v>
      </x:c>
      <x:c r="C49" s="25" t="str">
        <x:v>精炼解</x:v>
      </x:c>
      <x:c r="D49" s="25" t="str">
        <x:v>J-ZJ-15</x:v>
      </x:c>
      <x:c r="E49" s="25" t="n">
        <x:v>2</x:v>
      </x:c>
      <x:c r="F49" s="25" t="str">
        <x:v>M-ZJ-SHUI-C</x:v>
      </x:c>
      <x:c r="G49" s="25" t="n">
        <x:v>2</x:v>
      </x:c>
      <x:c r="H49" s="25" t="str">
        <x:v>A-ZJ-P</x:v>
      </x:c>
      <x:c r="I49" s="25" t="n">
        <x:v>1</x:v>
      </x:c>
      <x:c r="J49" s="25" t="str">
        <x:v>E-ZJ-XIAN-W</x:v>
      </x:c>
      <x:c r="K49" s="25" t="n">
        <x:v>1</x:v>
      </x:c>
      <x:c r="L49" s="25" t="str">
        <x:v>玄</x:v>
      </x:c>
      <x:c r="M49" s="26" t="n">
        <x:f>VLOOKUP(L49,'01_参数与词典'!$A$6:$D$10,2,FALSE)</x:f>
        <x:v>3</x:v>
      </x:c>
      <x:c r="N49" s="25" t="str">
        <x:f>IF(D49=VLOOKUP(A49,'02_筑基丹方表'!$A$5:$Q$19,7,FALSE),"通过","失败")</x:f>
        <x:v>通过</x:v>
      </x:c>
      <x:c r="O49" s="25" t="str">
        <x:f>IF(VLOOKUP(F49,'03_筑基灵植表'!$A$5:$N$49,6,FALSE)=VLOOKUP(A49,'02_筑基丹方表'!$A$5:$Q$19,8,FALSE),"通过","失败")</x:f>
        <x:v>通过</x:v>
      </x:c>
      <x:c r="P49" s="25" t="str">
        <x:f>IF(VLOOKUP(J49,'03_筑基灵植表'!$A$5:$N$49,9,FALSE)=VLOOKUP(A49,'02_筑基丹方表'!$A$5:$Q$19,11,FALSE),"通过","失败")</x:f>
        <x:v>通过</x:v>
      </x:c>
      <x:c r="Q49" s="41" t="n">
        <x:f>VLOOKUP(D49,'03_筑基灵植表'!$A$5:$N$49,8,FALSE)+VLOOKUP(F49,'03_筑基灵植表'!$A$5:$N$49,8,FALSE)+VLOOKUP(H49,'03_筑基灵植表'!$A$5:$N$49,8,FALSE)+VLOOKUP(J49,'03_筑基灵植表'!$A$5:$N$49,8,FALSE)</x:f>
        <x:v>0</x:v>
      </x:c>
      <x:c r="R49" s="41" t="str">
        <x:f>IF(Q49=VLOOKUP(A49,'02_筑基丹方表'!$A$5:$Q$19,10,FALSE),"通过","失败")</x:f>
        <x:v>通过</x:v>
      </x:c>
      <x:c r="S49" s="41" t="n">
        <x:f>M49*(VLOOKUP(D49,'03_筑基灵植表'!$A$5:$N$49,10,FALSE)*E49+VLOOKUP(F49,'03_筑基灵植表'!$A$5:$N$49,10,FALSE)*G49+VLOOKUP(H49,'03_筑基灵植表'!$A$5:$N$49,10,FALSE)*I49+VLOOKUP(J49,'03_筑基灵植表'!$A$5:$N$49,10,FALSE)*K49)</x:f>
        <x:v>54</x:v>
      </x:c>
      <x:c r="T49" s="41" t="str">
        <x:f>IF(S49&gt;=VLOOKUP(A49,'02_筑基丹方表'!$A$5:$Q$19,12,FALSE),"通过","失败")</x:f>
        <x:v>通过</x:v>
      </x:c>
      <x:c r="U49" s="41" t="n">
        <x:f>SUM(E49,G49,I49,K49)</x:f>
        <x:v>6</x:v>
      </x:c>
      <x:c r="V49" s="41" t="str">
        <x:f>IF(U49&lt;=VLOOKUP(A49,'02_筑基丹方表'!$A$5:$Q$19,13,FALSE),"通过","失败")</x:f>
        <x:v>通过</x:v>
      </x:c>
      <x:c r="W49" s="41" t="n">
        <x:f>VLOOKUP(L49,'01_参数与词典'!$A$6:$D$10,3,FALSE)*(VLOOKUP(D49,'03_筑基灵植表'!$A$5:$N$49,12,FALSE)*E49+VLOOKUP(F49,'03_筑基灵植表'!$A$5:$N$49,12,FALSE)*G49+VLOOKUP(H49,'03_筑基灵植表'!$A$5:$N$49,12,FALSE)*I49+VLOOKUP(J49,'03_筑基灵植表'!$A$5:$N$49,12,FALSE)*K49)</x:f>
        <x:v>336</x:v>
      </x:c>
      <x:c r="X49" s="25" t="str">
        <x:v>灵</x:v>
      </x:c>
      <x:c r="Y49" s="41" t="n">
        <x:f>VLOOKUP(A49,'02_筑基丹方表'!$A$5:$Q$19,16,FALSE)*VLOOKUP(X49,'01_参数与词典'!$A$6:$D$10,4,FALSE)</x:f>
        <x:v>1000</x:v>
      </x:c>
      <x:c r="Z49" s="41" t="n">
        <x:f>Y49-W49</x:f>
        <x:v>664</x:v>
      </x:c>
      <x:c r="AA49" s="25" t="str">
        <x:f>IF(AND(N49="通过",O49="通过",P49="通过",R49="通过",T49="通过",V49="通过"),"通过","失败")</x:f>
        <x:v>通过</x:v>
      </x:c>
      <x:c r="AB49" s="25" t="str">
        <x:f>D49&amp;"+"&amp;F49&amp;"+"&amp;H49&amp;"+"&amp;J49</x:f>
        <x:v>J-ZJ-15+M-ZJ-SHUI-C+A-ZJ-P+E-ZJ-XIAN-W</x:v>
      </x:c>
      <x:c r="AC49" s="25" t="str">
        <x:v>臣凉使温相抵，药力留余；用于冲击较高品质</x:v>
      </x:c>
    </x:row>
  </x:sheetData>
  <x:mergeCells>
    <x:mergeCell ref="A1:AC1"/>
    <x:mergeCell ref="A2:AC2"/>
  </x:mergeCells>
  <x:conditionalFormatting sqref="N5:P49">
    <x:cfRule type="containsText" dxfId="0" priority="1" operator="containsText" text="失败"/>
  </x:conditionalFormatting>
  <x:conditionalFormatting sqref="R5:R49">
    <x:cfRule type="containsText" dxfId="1" priority="2" operator="containsText" text="失败"/>
  </x:conditionalFormatting>
  <x:conditionalFormatting sqref="T5:T49">
    <x:cfRule type="containsText" dxfId="2" priority="3" operator="containsText" text="失败"/>
  </x:conditionalFormatting>
  <x:conditionalFormatting sqref="V5:V49">
    <x:cfRule type="containsText" dxfId="3" priority="4" operator="containsText" text="失败"/>
  </x:conditionalFormatting>
  <x:conditionalFormatting sqref="AA5:AA49">
    <x:cfRule type="containsText" dxfId="4" priority="5" operator="containsText" text="通过"/>
  </x:conditionalFormatting>
  <x:conditionalFormatting sqref="Z5:Z49">
    <x:cfRule type="cellIs" dxfId="5" priority="6" operator="lessThan">
      <x:formula>0</x:formula>
    </x:cfRule>
  </x:conditionalFormatting>
  <x:dataValidations count="2">
    <x:dataValidation type="list" sqref="L5:L49">
      <x:formula1>"凡,灵,玄,仙,神"</x:formula1>
    </x:dataValidation>
    <x:dataValidation type="list" sqref="X5:X49">
      <x:formula1>"凡,灵,玄,仙,神"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2" hidden="0" customWidth="1"/>
    <x:col min="4" max="4" width="24" hidden="0" customWidth="1"/>
    <x:col min="5" max="5" width="20" hidden="0" customWidth="1"/>
    <x:col min="6" max="6" width="25" hidden="0" customWidth="1"/>
    <x:col min="7" max="7" width="20" hidden="0" customWidth="1"/>
    <x:col min="8" max="8" width="28" hidden="0" customWidth="1"/>
  </x:cols>
  <x:sheetData>
    <x:row r="1" ht="21.600000381469727" hidden="0" customHeight="1">
      <x:c r="A1" s="3" t="str">
        <x:v>玩家学习与N规则｜有限答案如何成为玩法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玩家不先解全物种组合题；先学一套能用的答案，再通过师承、试验与探索收集同一丹方的其他组合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3" t="str">
        <x:v>一、N的计数边界</x:v>
      </x:c>
      <x:c r="B4" s="14"/>
      <x:c r="C4" s="14"/>
      <x:c r="D4" s="14"/>
      <x:c r="E4" s="14"/>
      <x:c r="F4" s="14"/>
      <x:c r="G4" s="14"/>
      <x:c r="H4" s="15"/>
    </x:row>
    <x:row r="5" ht="15" hidden="0" customHeight="1">
      <x:c r="A5" s="20" t="str">
        <x:v>变化</x:v>
      </x:c>
      <x:c r="B5" s="20" t="str">
        <x:v>是否算新组合</x:v>
      </x:c>
      <x:c r="C5" s="20" t="str">
        <x:v>例子</x:v>
      </x:c>
      <x:c r="D5" s="20" t="str">
        <x:v>理由</x:v>
      </x:c>
      <x:c r="E5" s="20" t="str">
        <x:v>玩家反馈</x:v>
      </x:c>
      <x:c r="F5" s="20" t="str">
        <x:v>数据位置</x:v>
      </x:c>
      <x:c r="G5" s="20" t="str">
        <x:v>是否校验</x:v>
      </x:c>
      <x:c r="H5" s="20" t="str">
        <x:v>结论</x:v>
      </x:c>
    </x:row>
    <x:row r="6" ht="15" hidden="0" customHeight="1">
      <x:c r="A6" s="25" t="str">
        <x:v>更换任一灵植物种</x:v>
      </x:c>
      <x:c r="B6" s="25" t="str">
        <x:v>是</x:v>
      </x:c>
      <x:c r="C6" s="25" t="str">
        <x:v>厚垣苔换暖壤参</x:v>
      </x:c>
      <x:c r="D6" s="25" t="str">
        <x:v>物种集合已变化</x:v>
      </x:c>
      <x:c r="E6" s="25" t="str">
        <x:v>组合号改变</x:v>
      </x:c>
      <x:c r="F6" s="25" t="str">
        <x:v>认证组合表</x:v>
      </x:c>
      <x:c r="G6" s="25" t="str">
        <x:v>是</x:v>
      </x:c>
      <x:c r="H6" s="25" t="str">
        <x:v>N增加1</x:v>
      </x:c>
    </x:row>
    <x:row r="7" ht="15" hidden="0" customHeight="1">
      <x:c r="A7" s="25" t="str">
        <x:v>同物种改变品质</x:v>
      </x:c>
      <x:c r="B7" s="25" t="str">
        <x:v>否</x:v>
      </x:c>
      <x:c r="C7" s="25" t="str">
        <x:v>灵品聚元芝换玄品</x:v>
      </x:c>
      <x:c r="D7" s="25" t="str">
        <x:v>仍是同一味药</x:v>
      </x:c>
      <x:c r="E7" s="25" t="str">
        <x:v>药力/成本变化</x:v>
      </x:c>
      <x:c r="F7" s="25" t="str">
        <x:v>采集实例</x:v>
      </x:c>
      <x:c r="G7" s="25" t="str">
        <x:v>重新验药力</x:v>
      </x:c>
      <x:c r="H7" s="25" t="str">
        <x:v>N不变</x:v>
      </x:c>
    </x:row>
    <x:row r="8" ht="15" hidden="0" customHeight="1">
      <x:c r="A8" s="25" t="str">
        <x:v>同物种改变数量</x:v>
      </x:c>
      <x:c r="B8" s="25" t="str">
        <x:v>否</x:v>
      </x:c>
      <x:c r="C8" s="25" t="str">
        <x:v>聚元芝1份变2份</x:v>
      </x:c>
      <x:c r="D8" s="25" t="str">
        <x:v>只增加药力</x:v>
      </x:c>
      <x:c r="E8" s="25" t="str">
        <x:v>份数/成本变化</x:v>
      </x:c>
      <x:c r="F8" s="25" t="str">
        <x:v>本次投料</x:v>
      </x:c>
      <x:c r="G8" s="25" t="str">
        <x:v>重新验药力与上限</x:v>
      </x:c>
      <x:c r="H8" s="25" t="str">
        <x:v>N不变</x:v>
      </x:c>
    </x:row>
    <x:row r="9" ht="15" hidden="0" customHeight="1">
      <x:c r="A9" s="25" t="str">
        <x:v>改变丹炉</x:v>
      </x:c>
      <x:c r="B9" s="25" t="str">
        <x:v>否</x:v>
      </x:c>
      <x:c r="C9" s="25" t="str">
        <x:v>灵品炉换玄品炉</x:v>
      </x:c>
      <x:c r="D9" s="25" t="str">
        <x:v>配方未变</x:v>
      </x:c>
      <x:c r="E9" s="25" t="str">
        <x:v>成功率/品质变化</x:v>
      </x:c>
      <x:c r="F9" s="25" t="str">
        <x:v>丹炉系统</x:v>
      </x:c>
      <x:c r="G9" s="25" t="str">
        <x:v>结算阶段</x:v>
      </x:c>
      <x:c r="H9" s="25" t="str">
        <x:v>N不变</x:v>
      </x:c>
    </x:row>
    <x:row r="10" ht="15" hidden="0" customHeight="1">
      <x:c r="A10" s="25" t="str">
        <x:v>宗师同轴替换</x:v>
      </x:c>
      <x:c r="B10" s="25" t="str">
        <x:v>V1否，后续可算</x:v>
      </x:c>
      <x:c r="C10" s="25" t="str">
        <x:v>土臣换另一土臣</x:v>
      </x:c>
      <x:c r="D10" s="25" t="str">
        <x:v>属于改方玩法</x:v>
      </x:c>
      <x:c r="E10" s="25" t="str">
        <x:v>显示非标准方</x:v>
      </x:c>
      <x:c r="F10" s="25" t="str">
        <x:v>高阶求解器</x:v>
      </x:c>
      <x:c r="G10" s="25" t="str">
        <x:v>全规则重验</x:v>
      </x:c>
      <x:c r="H10" s="25" t="str">
        <x:v>后续扩展</x:v>
      </x:c>
    </x:row>
    <x:row r="11"/>
    <x:row r="12"/>
    <x:row r="13" ht="15" hidden="0" customHeight="1">
      <x:c r="A13" s="13" t="str">
        <x:v>二、三条默认组合为什么不会坍缩成一条</x:v>
      </x:c>
      <x:c r="B13" s="14"/>
      <x:c r="C13" s="14"/>
      <x:c r="D13" s="14"/>
      <x:c r="E13" s="14"/>
      <x:c r="F13" s="14"/>
      <x:c r="G13" s="14"/>
      <x:c r="H13" s="15"/>
    </x:row>
    <x:row r="14" ht="15" hidden="0" customHeight="1">
      <x:c r="A14" s="20" t="str">
        <x:v>组合类型</x:v>
      </x:c>
      <x:c r="B14" s="20" t="str">
        <x:v>核心目标</x:v>
      </x:c>
      <x:c r="C14" s="20" t="str">
        <x:v>材料特征</x:v>
      </x:c>
      <x:c r="D14" s="20" t="str">
        <x:v>份数</x:v>
      </x:c>
      <x:c r="E14" s="20" t="str">
        <x:v>出品潜力</x:v>
      </x:c>
      <x:c r="F14" s="20" t="str">
        <x:v>经济优势</x:v>
      </x:c>
      <x:c r="G14" s="20" t="str">
        <x:v>学习阶段</x:v>
      </x:c>
      <x:c r="H14" s="20" t="str">
        <x:v>不可替代之处</x:v>
      </x:c>
    </x:row>
    <x:row r="15" ht="15" hidden="0" customHeight="1">
      <x:c r="A15" s="25" t="str">
        <x:v>廉价解</x:v>
      </x:c>
      <x:c r="B15" s="25" t="str">
        <x:v>最低材料成本</x:v>
      </x:c>
      <x:c r="C15" s="25" t="str">
        <x:v>便宜偏性辅材，佐负责拉回</x:v>
      </x:c>
      <x:c r="D15" s="25" t="str">
        <x:v>多</x:v>
      </x:c>
      <x:c r="E15" s="25" t="str">
        <x:v>低</x:v>
      </x:c>
      <x:c r="F15" s="25" t="str">
        <x:v>回报率与可得性</x:v>
      </x:c>
      <x:c r="G15" s="25" t="str">
        <x:v>学会后第二条</x:v>
      </x:c>
      <x:c r="H15" s="25" t="str">
        <x:v>有好炉但材料穷时最好</x:v>
      </x:c>
    </x:row>
    <x:row r="16" ht="15" hidden="0" customHeight="1">
      <x:c r="A16" s="25" t="str">
        <x:v>标准解</x:v>
      </x:c>
      <x:c r="B16" s="25" t="str">
        <x:v>稳定照抄</x:v>
      </x:c>
      <x:c r="C16" s="25" t="str">
        <x:v>平性常见材，四职清楚</x:v>
      </x:c>
      <x:c r="D16" s="25" t="str">
        <x:v>少</x:v>
      </x:c>
      <x:c r="E16" s="25" t="str">
        <x:v>低至中</x:v>
      </x:c>
      <x:c r="F16" s="25" t="str">
        <x:v>省时间、低认知负担</x:v>
      </x:c>
      <x:c r="G16" s="25" t="str">
        <x:v>师承首条</x:v>
      </x:c>
      <x:c r="H16" s="25" t="str">
        <x:v>日常最省心</x:v>
      </x:c>
    </x:row>
    <x:row r="17" ht="15" hidden="0" customHeight="1">
      <x:c r="A17" s="25" t="str">
        <x:v>精炼解</x:v>
      </x:c>
      <x:c r="B17" s="25" t="str">
        <x:v>冲击较高品质</x:v>
      </x:c>
      <x:c r="C17" s="25" t="str">
        <x:v>高价臣使互相抵性，药力有余</x:v>
      </x:c>
      <x:c r="D17" s="25" t="str">
        <x:v>中</x:v>
      </x:c>
      <x:c r="E17" s="25" t="str">
        <x:v>中至高</x:v>
      </x:c>
      <x:c r="F17" s="25" t="str">
        <x:v>绝对利润与自用质量</x:v>
      </x:c>
      <x:c r="G17" s="25" t="str">
        <x:v>后期解锁</x:v>
      </x:c>
      <x:c r="H17" s="25" t="str">
        <x:v>有资本与好炉时最好</x:v>
      </x:c>
    </x:row>
    <x:row r="18"/>
    <x:row r="19"/>
    <x:row r="20" ht="15" hidden="0" customHeight="1">
      <x:c r="A20" s="13" t="str">
        <x:v>三、筑基聚元丹三套组合示例</x:v>
      </x:c>
      <x:c r="B20" s="14"/>
      <x:c r="C20" s="14"/>
      <x:c r="D20" s="14"/>
      <x:c r="E20" s="14"/>
      <x:c r="F20" s="14"/>
      <x:c r="G20" s="14"/>
      <x:c r="H20" s="15"/>
    </x:row>
    <x:row r="21" ht="15" hidden="0" customHeight="1">
      <x:c r="A21" s="20" t="str">
        <x:v>组合</x:v>
      </x:c>
      <x:c r="B21" s="20" t="str">
        <x:v>君</x:v>
      </x:c>
      <x:c r="C21" s="20" t="str">
        <x:v>臣</x:v>
      </x:c>
      <x:c r="D21" s="20" t="str">
        <x:v>佐</x:v>
      </x:c>
      <x:c r="E21" s="20" t="str">
        <x:v>使</x:v>
      </x:c>
      <x:c r="F21" s="20" t="str">
        <x:v>方性读法</x:v>
      </x:c>
      <x:c r="G21" s="20" t="str">
        <x:v>药力处理</x:v>
      </x:c>
      <x:c r="H21" s="20" t="str">
        <x:v>玩家记忆</x:v>
      </x:c>
    </x:row>
    <x:row r="22" ht="15" hidden="0" customHeight="1">
      <x:c r="A22" s="25" t="str">
        <x:v>廉价解</x:v>
      </x:c>
      <x:c r="B22" s="25" t="str">
        <x:v>聚元芝·平</x:v>
      </x:c>
      <x:c r="C22" s="25" t="str">
        <x:v>暖壤参·温</x:v>
      </x:c>
      <x:c r="D22" s="25" t="str">
        <x:v>清露叶·凉</x:v>
      </x:c>
      <x:c r="E22" s="25" t="str">
        <x:v>中宫蜜·平</x:v>
      </x:c>
      <x:c r="F22" s="25" t="str">
        <x:v>0+1−1+0＝平</x:v>
      </x:c>
      <x:c r="G22" s="25" t="str">
        <x:v>凡品各2份＝24</x:v>
      </x:c>
      <x:c r="H22" s="25" t="str">
        <x:v>暖土要配凉叶</x:v>
      </x:c>
    </x:row>
    <x:row r="23" ht="15" hidden="0" customHeight="1">
      <x:c r="A23" s="25" t="str">
        <x:v>标准解</x:v>
      </x:c>
      <x:c r="B23" s="25" t="str">
        <x:v>聚元芝·平</x:v>
      </x:c>
      <x:c r="C23" s="25" t="str">
        <x:v>厚垣苔·平</x:v>
      </x:c>
      <x:c r="D23" s="25" t="str">
        <x:v>中和草·平</x:v>
      </x:c>
      <x:c r="E23" s="25" t="str">
        <x:v>中宫蜜·平</x:v>
      </x:c>
      <x:c r="F23" s="25" t="str">
        <x:v>四平＝平</x:v>
      </x:c>
      <x:c r="G23" s="25" t="str">
        <x:v>灵品各1份＝24</x:v>
      </x:c>
      <x:c r="H23" s="25" t="str">
        <x:v>四平最稳</x:v>
      </x:c>
    </x:row>
    <x:row r="24" ht="15" hidden="0" customHeight="1">
      <x:c r="A24" s="25" t="str">
        <x:v>精炼解</x:v>
      </x:c>
      <x:c r="B24" s="25" t="str">
        <x:v>聚元芝·平</x:v>
      </x:c>
      <x:c r="C24" s="25" t="str">
        <x:v>冷砂根·凉</x:v>
      </x:c>
      <x:c r="D24" s="25" t="str">
        <x:v>中和草·平</x:v>
      </x:c>
      <x:c r="E24" s="25" t="str">
        <x:v>暖脾露·温</x:v>
      </x:c>
      <x:c r="F24" s="25" t="str">
        <x:v>0−1+0+1＝平</x:v>
      </x:c>
      <x:c r="G24" s="25" t="str">
        <x:v>玄品各1份＝36</x:v>
      </x:c>
      <x:c r="H24" s="25" t="str">
        <x:v>凉臣配温使</x:v>
      </x:c>
    </x:row>
    <x:row r="25"/>
    <x:row r="26"/>
    <x:row r="27">
      <x:c r="A27" s="62" t="str">
        <x:v>UI建议：首次习得显示“已知组合1/3”。选择组合后自动填入四种物种，玩家只调整品质与份数；底部只显示方性、药力、份数三盏灯。五行五味作为为什么能用的解释，不再作为第一次炼丹的手动搜索题。</x:v>
      </x:c>
      <x:c r="B27" s="62"/>
      <x:c r="C27" s="62"/>
      <x:c r="D27" s="62"/>
      <x:c r="E27" s="62"/>
      <x:c r="F27" s="62"/>
      <x:c r="G27" s="62"/>
      <x:c r="H27" s="62"/>
    </x:row>
    <x:row r="28">
      <x:c r="A28" s="62"/>
      <x:c r="B28" s="62"/>
      <x:c r="C28" s="62"/>
      <x:c r="D28" s="62"/>
      <x:c r="E28" s="62"/>
      <x:c r="F28" s="62"/>
      <x:c r="G28" s="62"/>
      <x:c r="H28" s="62"/>
    </x:row>
    <x:row r="29">
      <x:c r="A29" s="62"/>
      <x:c r="B29" s="62"/>
      <x:c r="C29" s="62"/>
      <x:c r="D29" s="62"/>
      <x:c r="E29" s="62"/>
      <x:c r="F29" s="62"/>
      <x:c r="G29" s="62"/>
      <x:c r="H29" s="62"/>
    </x:row>
  </x:sheetData>
  <x:mergeCells>
    <x:mergeCell ref="A1:H1"/>
    <x:mergeCell ref="A2:H2"/>
    <x:mergeCell ref="A4:H4"/>
    <x:mergeCell ref="A13:H13"/>
    <x:mergeCell ref="A20:H20"/>
    <x:mergeCell ref="A27:H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1" hidden="0" customWidth="1"/>
    <x:col min="4" max="4" width="11" hidden="0" customWidth="1"/>
    <x:col min="5" max="5" width="4" hidden="0" customWidth="1"/>
    <x:col min="6" max="6" width="18" hidden="0" customWidth="1"/>
    <x:col min="7" max="7" width="13" hidden="0" customWidth="1"/>
    <x:col min="8" max="8" width="28" hidden="0" customWidth="1"/>
  </x:cols>
  <x:sheetData>
    <x:row r="1" ht="21.600000381469727" hidden="0" customHeight="1">
      <x:c r="A1" s="3" t="str">
        <x:v>完整性核验｜表结构与45条认证组合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所有组合均由公式读取丹方表、灵植表和参数表；修改物种属性、门槛、品质或数量后，校验与成本会自动更新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3" t="str">
        <x:v>规模核验</x:v>
      </x:c>
      <x:c r="B4" s="14"/>
      <x:c r="C4" s="14"/>
      <x:c r="D4" s="15"/>
      <x:c r="F4" s="13" t="str">
        <x:v>组合校验</x:v>
      </x:c>
      <x:c r="G4" s="14"/>
      <x:c r="H4" s="15"/>
    </x:row>
    <x:row r="5" ht="15" hidden="0" customHeight="1">
      <x:c r="A5" s="20" t="str">
        <x:v>指标</x:v>
      </x:c>
      <x:c r="B5" s="20" t="str">
        <x:v>实际</x:v>
      </x:c>
      <x:c r="C5" s="20" t="str">
        <x:v>目标</x:v>
      </x:c>
      <x:c r="D5" s="20" t="str">
        <x:v>状态</x:v>
      </x:c>
      <x:c r="F5" s="20" t="str">
        <x:v>指标</x:v>
      </x:c>
      <x:c r="G5" s="20" t="str">
        <x:v>数量</x:v>
      </x:c>
      <x:c r="H5" s="20" t="str">
        <x:v>状态</x:v>
      </x:c>
    </x:row>
    <x:row r="6" ht="15" hidden="0" customHeight="1">
      <x:c r="A6" s="25" t="str">
        <x:v>丹方数</x:v>
      </x:c>
      <x:c r="B6" s="25" t="n">
        <x:f>COUNTA('02_筑基丹方表'!$A$5:$A$19)</x:f>
        <x:v>15</x:v>
      </x:c>
      <x:c r="C6" s="25" t="n">
        <x:v>15</x:v>
      </x:c>
      <x:c r="D6" s="25" t="str">
        <x:f>IF(B6=C6,"通过","失败")</x:f>
        <x:v>通过</x:v>
      </x:c>
      <x:c r="F6" s="25" t="str">
        <x:v>君药通过</x:v>
      </x:c>
      <x:c r="G6" s="25" t="n">
        <x:f>COUNTIF('04_认证组合表'!$N$5:$N$49,"通过")</x:f>
        <x:v>45</x:v>
      </x:c>
      <x:c r="H6" s="25" t="str">
        <x:f>IF(G6=45,"通过","失败")</x:f>
        <x:v>通过</x:v>
      </x:c>
    </x:row>
    <x:row r="7" ht="15" hidden="0" customHeight="1">
      <x:c r="A7" s="25" t="str">
        <x:v>灵植总数</x:v>
      </x:c>
      <x:c r="B7" s="25" t="n">
        <x:f>COUNTA('03_筑基灵植表'!$A$5:$A$49)</x:f>
        <x:v>45</x:v>
      </x:c>
      <x:c r="C7" s="25" t="n">
        <x:v>45</x:v>
      </x:c>
      <x:c r="D7" s="25" t="str">
        <x:f>IF(B7=C7,"通过","失败")</x:f>
        <x:v>通过</x:v>
      </x:c>
      <x:c r="F7" s="25" t="str">
        <x:v>臣行通过</x:v>
      </x:c>
      <x:c r="G7" s="25" t="n">
        <x:f>COUNTIF('04_认证组合表'!$O$5:$O$49,"通过")</x:f>
        <x:v>45</x:v>
      </x:c>
      <x:c r="H7" s="25" t="str">
        <x:f>IF(G7=45,"通过","失败")</x:f>
        <x:v>通过</x:v>
      </x:c>
    </x:row>
    <x:row r="8" ht="15" hidden="0" customHeight="1">
      <x:c r="A8" s="25" t="str">
        <x:v>君材数</x:v>
      </x:c>
      <x:c r="B8" s="25" t="n">
        <x:f>COUNTIF('03_筑基灵植表'!$C$5:$C$49,"君")</x:f>
        <x:v>15</x:v>
      </x:c>
      <x:c r="C8" s="25" t="n">
        <x:v>15</x:v>
      </x:c>
      <x:c r="D8" s="25" t="str">
        <x:f>IF(B8=C8,"通过","失败")</x:f>
        <x:v>通过</x:v>
      </x:c>
      <x:c r="F8" s="25" t="str">
        <x:v>使味通过</x:v>
      </x:c>
      <x:c r="G8" s="25" t="n">
        <x:f>COUNTIF('04_认证组合表'!$P$5:$P$49,"通过")</x:f>
        <x:v>45</x:v>
      </x:c>
      <x:c r="H8" s="25" t="str">
        <x:f>IF(G8=45,"通过","失败")</x:f>
        <x:v>通过</x:v>
      </x:c>
    </x:row>
    <x:row r="9" ht="15" hidden="0" customHeight="1">
      <x:c r="A9" s="25" t="str">
        <x:v>臣材数</x:v>
      </x:c>
      <x:c r="B9" s="25" t="n">
        <x:f>COUNTIF('03_筑基灵植表'!$C$5:$C$49,"臣")</x:f>
        <x:v>15</x:v>
      </x:c>
      <x:c r="C9" s="25" t="n">
        <x:v>15</x:v>
      </x:c>
      <x:c r="D9" s="25" t="str">
        <x:f>IF(B9=C9,"通过","失败")</x:f>
        <x:v>通过</x:v>
      </x:c>
      <x:c r="F9" s="25" t="str">
        <x:v>方性通过</x:v>
      </x:c>
      <x:c r="G9" s="25" t="n">
        <x:f>COUNTIF('04_认证组合表'!$R$5:$R$49,"通过")</x:f>
        <x:v>45</x:v>
      </x:c>
      <x:c r="H9" s="25" t="str">
        <x:f>IF(G9=45,"通过","失败")</x:f>
        <x:v>通过</x:v>
      </x:c>
    </x:row>
    <x:row r="10" ht="15" hidden="0" customHeight="1">
      <x:c r="A10" s="25" t="str">
        <x:v>佐材数</x:v>
      </x:c>
      <x:c r="B10" s="25" t="n">
        <x:f>COUNTIF('03_筑基灵植表'!$C$5:$C$49,"佐")</x:f>
        <x:v>5</x:v>
      </x:c>
      <x:c r="C10" s="25" t="n">
        <x:v>5</x:v>
      </x:c>
      <x:c r="D10" s="25" t="str">
        <x:f>IF(B10=C10,"通过","失败")</x:f>
        <x:v>通过</x:v>
      </x:c>
      <x:c r="F10" s="25" t="str">
        <x:v>药力通过</x:v>
      </x:c>
      <x:c r="G10" s="25" t="n">
        <x:f>COUNTIF('04_认证组合表'!$T$5:$T$49,"通过")</x:f>
        <x:v>45</x:v>
      </x:c>
      <x:c r="H10" s="25" t="str">
        <x:f>IF(G10=45,"通过","失败")</x:f>
        <x:v>通过</x:v>
      </x:c>
    </x:row>
    <x:row r="11" ht="15" hidden="0" customHeight="1">
      <x:c r="A11" s="25" t="str">
        <x:v>使材数</x:v>
      </x:c>
      <x:c r="B11" s="25" t="n">
        <x:f>COUNTIF('03_筑基灵植表'!$C$5:$C$49,"使")</x:f>
        <x:v>10</x:v>
      </x:c>
      <x:c r="C11" s="25" t="n">
        <x:v>10</x:v>
      </x:c>
      <x:c r="D11" s="25" t="str">
        <x:f>IF(B11=C11,"通过","失败")</x:f>
        <x:v>通过</x:v>
      </x:c>
      <x:c r="F11" s="25" t="str">
        <x:v>份数通过</x:v>
      </x:c>
      <x:c r="G11" s="25" t="n">
        <x:f>COUNTIF('04_认证组合表'!$V$5:$V$49,"通过")</x:f>
        <x:v>45</x:v>
      </x:c>
      <x:c r="H11" s="25" t="str">
        <x:f>IF(G11=45,"通过","失败")</x:f>
        <x:v>通过</x:v>
      </x:c>
    </x:row>
    <x:row r="12" ht="15" hidden="0" customHeight="1">
      <x:c r="A12" s="25" t="str">
        <x:v>认证组合数</x:v>
      </x:c>
      <x:c r="B12" s="25" t="n">
        <x:f>COUNTA('04_认证组合表'!$A$5:$A$49)</x:f>
        <x:v>45</x:v>
      </x:c>
      <x:c r="C12" s="25" t="n">
        <x:v>45</x:v>
      </x:c>
      <x:c r="D12" s="25" t="str">
        <x:f>IF(B12=C12,"通过","失败")</x:f>
        <x:v>通过</x:v>
      </x:c>
      <x:c r="F12" s="25" t="str">
        <x:v>综合通过</x:v>
      </x:c>
      <x:c r="G12" s="25" t="n">
        <x:f>COUNTIF('04_认证组合表'!$AA$5:$AA$49,"通过")</x:f>
        <x:v>45</x:v>
      </x:c>
      <x:c r="H12" s="25" t="str">
        <x:f>IF(G12=45,"通过","失败")</x:f>
        <x:v>通过</x:v>
      </x:c>
    </x:row>
    <x:row r="13" ht="15" hidden="0" customHeight="1">
      <x:c r="F13" s="25" t="str">
        <x:v>综合失败</x:v>
      </x:c>
      <x:c r="G13" s="25" t="n">
        <x:f>COUNTIF('04_认证组合表'!$AA$5:$AA$49,"失败")</x:f>
        <x:v>0</x:v>
      </x:c>
      <x:c r="H13" s="25" t="str">
        <x:f>IF(G13=0,"通过","失败")</x:f>
        <x:v>通过</x:v>
      </x:c>
    </x:row>
    <x:row r="14"/>
    <x:row r="15"/>
    <x:row r="16" ht="15" hidden="0" customHeight="1">
      <x:c r="A16" s="13" t="str">
        <x:v>每张丹方是否正好三套认证组合</x:v>
      </x:c>
      <x:c r="B16" s="14"/>
      <x:c r="C16" s="14"/>
      <x:c r="D16" s="14"/>
      <x:c r="E16" s="14"/>
      <x:c r="F16" s="14"/>
      <x:c r="G16" s="14"/>
      <x:c r="H16" s="15"/>
    </x:row>
    <x:row r="17" ht="15" hidden="0" customHeight="1">
      <x:c r="A17" s="20" t="str">
        <x:v>丹方ID</x:v>
      </x:c>
      <x:c r="B17" s="20" t="str">
        <x:v>丹名</x:v>
      </x:c>
      <x:c r="C17" s="20" t="str">
        <x:v>组合数</x:v>
      </x:c>
      <x:c r="D17" s="20" t="str">
        <x:v>状态</x:v>
      </x:c>
      <x:c r="F17" s="20" t="str">
        <x:v>经济指标</x:v>
      </x:c>
      <x:c r="G17" s="20" t="str">
        <x:v>数值</x:v>
      </x:c>
      <x:c r="H17" s="20" t="str">
        <x:v>解释</x:v>
      </x:c>
    </x:row>
    <x:row r="18" ht="15" hidden="0" customHeight="1">
      <x:c r="A18" s="25" t="str">
        <x:v>F-ZJ-01</x:v>
      </x:c>
      <x:c r="B18" s="25" t="str">
        <x:v>聚元丹</x:v>
      </x:c>
      <x:c r="C18" s="25" t="n">
        <x:f>COUNTIF('04_认证组合表'!$A$5:$A$49,A18)</x:f>
        <x:v>3</x:v>
      </x:c>
      <x:c r="D18" s="25" t="str">
        <x:f>IF(C18=3,"通过","失败")</x:f>
        <x:v>通过</x:v>
      </x:c>
      <x:c r="F18" s="25" t="str">
        <x:v>最低预期毛利</x:v>
      </x:c>
      <x:c r="G18" s="41" t="n">
        <x:f>MIN('04_认证组合表'!$Z$5:$Z$49)</x:f>
        <x:v>53.5</x:v>
      </x:c>
      <x:c r="H18" s="25" t="str">
        <x:v>必须大于等于0</x:v>
      </x:c>
    </x:row>
    <x:row r="19" ht="15" hidden="0" customHeight="1">
      <x:c r="A19" s="25" t="str">
        <x:v>F-ZJ-02</x:v>
      </x:c>
      <x:c r="B19" s="25" t="str">
        <x:v>迅潮丹</x:v>
      </x:c>
      <x:c r="C19" s="25" t="n">
        <x:f>COUNTIF('04_认证组合表'!$A$5:$A$49,A19)</x:f>
        <x:v>3</x:v>
      </x:c>
      <x:c r="D19" s="25" t="str">
        <x:f>IF(C19=3,"通过","失败")</x:f>
        <x:v>通过</x:v>
      </x:c>
      <x:c r="F19" s="25" t="str">
        <x:v>最高预期毛利</x:v>
      </x:c>
      <x:c r="G19" s="41" t="n">
        <x:f>MAX('04_认证组合表'!$Z$5:$Z$49)</x:f>
        <x:v>664</x:v>
      </x:c>
      <x:c r="H19" s="25" t="str">
        <x:v>仅用于验证路线差异</x:v>
      </x:c>
    </x:row>
    <x:row r="20" ht="15" hidden="0" customHeight="1">
      <x:c r="A20" s="25" t="str">
        <x:v>F-ZJ-03</x:v>
      </x:c>
      <x:c r="B20" s="25" t="str">
        <x:v>绵泉丹</x:v>
      </x:c>
      <x:c r="C20" s="25" t="n">
        <x:f>COUNTIF('04_认证组合表'!$A$5:$A$49,A20)</x:f>
        <x:v>3</x:v>
      </x:c>
      <x:c r="D20" s="25" t="str">
        <x:f>IF(C20=3,"通过","失败")</x:f>
        <x:v>通过</x:v>
      </x:c>
      <x:c r="F20" s="25" t="str">
        <x:v>负毛利组合</x:v>
      </x:c>
      <x:c r="G20" s="41" t="n">
        <x:f>COUNTIF('04_认证组合表'!$Z$5:$Z$49,"&lt;0")</x:f>
        <x:v>0</x:v>
      </x:c>
      <x:c r="H20" s="25" t="str">
        <x:v>目标为0</x:v>
      </x:c>
    </x:row>
    <x:row r="21" ht="15" hidden="0" customHeight="1">
      <x:c r="A21" s="25" t="str">
        <x:v>F-ZJ-04</x:v>
      </x:c>
      <x:c r="B21" s="25" t="str">
        <x:v>续环丹</x:v>
      </x:c>
      <x:c r="C21" s="25" t="n">
        <x:f>COUNTIF('04_认证组合表'!$A$5:$A$49,A21)</x:f>
        <x:v>3</x:v>
      </x:c>
      <x:c r="D21" s="25" t="str">
        <x:f>IF(C21=3,"通过","失败")</x:f>
        <x:v>通过</x:v>
      </x:c>
      <x:c r="F21" s="25" t="str">
        <x:v>平均材料成本</x:v>
      </x:c>
      <x:c r="G21" s="41" t="n">
        <x:f>AVERAGE('04_认证组合表'!$W$5:$W$49)</x:f>
        <x:v>124.55333333333334</x:v>
      </x:c>
      <x:c r="H21" s="25" t="str">
        <x:v>纸推参数</x:v>
      </x:c>
    </x:row>
    <x:row r="22" ht="15" hidden="0" customHeight="1">
      <x:c r="A22" s="25" t="str">
        <x:v>F-ZJ-05</x:v>
      </x:c>
      <x:c r="B22" s="25" t="str">
        <x:v>开关丹</x:v>
      </x:c>
      <x:c r="C22" s="25" t="n">
        <x:f>COUNTIF('04_认证组合表'!$A$5:$A$49,A22)</x:f>
        <x:v>3</x:v>
      </x:c>
      <x:c r="D22" s="25" t="str">
        <x:f>IF(C22=3,"通过","失败")</x:f>
        <x:v>通过</x:v>
      </x:c>
      <x:c r="F22" s="25" t="str">
        <x:v>平均预期毛利</x:v>
      </x:c>
      <x:c r="G22" s="41" t="n">
        <x:f>AVERAGE('04_认证组合表'!$Z$5:$Z$49)</x:f>
        <x:v>157.22444444444443</x:v>
      </x:c>
      <x:c r="H22" s="25" t="str">
        <x:v>纸推参数</x:v>
      </x:c>
    </x:row>
    <x:row r="23" ht="15" hidden="0" customHeight="1">
      <x:c r="A23" s="25" t="str">
        <x:v>F-ZJ-06</x:v>
      </x:c>
      <x:c r="B23" s="25" t="str">
        <x:v>急生丹</x:v>
      </x:c>
      <x:c r="C23" s="25" t="n">
        <x:f>COUNTIF('04_认证组合表'!$A$5:$A$49,A23)</x:f>
        <x:v>3</x:v>
      </x:c>
      <x:c r="D23" s="25" t="str">
        <x:f>IF(C23=3,"通过","失败")</x:f>
        <x:v>通过</x:v>
      </x:c>
    </x:row>
    <x:row r="24" ht="15" hidden="0" customHeight="1">
      <x:c r="A24" s="25" t="str">
        <x:v>F-ZJ-07</x:v>
      </x:c>
      <x:c r="B24" s="25" t="str">
        <x:v>绵愈丹</x:v>
      </x:c>
      <x:c r="C24" s="25" t="n">
        <x:f>COUNTIF('04_认证组合表'!$A$5:$A$49,A24)</x:f>
        <x:v>3</x:v>
      </x:c>
      <x:c r="D24" s="25" t="str">
        <x:f>IF(C24=3,"通过","失败")</x:f>
        <x:v>通过</x:v>
      </x:c>
    </x:row>
    <x:row r="25" ht="15" hidden="0" customHeight="1">
      <x:c r="A25" s="25" t="str">
        <x:v>F-ZJ-08</x:v>
      </x:c>
      <x:c r="B25" s="25" t="str">
        <x:v>涤元丹</x:v>
      </x:c>
      <x:c r="C25" s="25" t="n">
        <x:f>COUNTIF('04_认证组合表'!$A$5:$A$49,A25)</x:f>
        <x:v>3</x:v>
      </x:c>
      <x:c r="D25" s="25" t="str">
        <x:f>IF(C25=3,"通过","失败")</x:f>
        <x:v>通过</x:v>
      </x:c>
    </x:row>
    <x:row r="26" ht="15" hidden="0" customHeight="1">
      <x:c r="A26" s="25" t="str">
        <x:v>F-ZJ-09</x:v>
      </x:c>
      <x:c r="B26" s="25" t="str">
        <x:v>固本丹</x:v>
      </x:c>
      <x:c r="C26" s="25" t="n">
        <x:f>COUNTIF('04_认证组合表'!$A$5:$A$49,A26)</x:f>
        <x:v>3</x:v>
      </x:c>
      <x:c r="D26" s="25" t="str">
        <x:f>IF(C26=3,"通过","失败")</x:f>
        <x:v>通过</x:v>
      </x:c>
    </x:row>
    <x:row r="27" ht="15" hidden="0" customHeight="1">
      <x:c r="A27" s="25" t="str">
        <x:v>F-ZJ-10</x:v>
      </x:c>
      <x:c r="B27" s="25" t="str">
        <x:v>养神丹</x:v>
      </x:c>
      <x:c r="C27" s="25" t="n">
        <x:f>COUNTIF('04_认证组合表'!$A$5:$A$49,A27)</x:f>
        <x:v>3</x:v>
      </x:c>
      <x:c r="D27" s="25" t="str">
        <x:f>IF(C27=3,"通过","失败")</x:f>
        <x:v>通过</x:v>
      </x:c>
    </x:row>
    <x:row r="28" ht="15" hidden="0" customHeight="1">
      <x:c r="A28" s="25" t="str">
        <x:v>F-ZJ-11</x:v>
      </x:c>
      <x:c r="B28" s="25" t="str">
        <x:v>烈脉丹</x:v>
      </x:c>
      <x:c r="C28" s="25" t="n">
        <x:f>COUNTIF('04_认证组合表'!$A$5:$A$49,A28)</x:f>
        <x:v>3</x:v>
      </x:c>
      <x:c r="D28" s="25" t="str">
        <x:f>IF(C28=3,"通过","失败")</x:f>
        <x:v>通过</x:v>
      </x:c>
    </x:row>
    <x:row r="29" ht="15" hidden="0" customHeight="1">
      <x:c r="A29" s="25" t="str">
        <x:v>F-ZJ-12</x:v>
      </x:c>
      <x:c r="B29" s="25" t="str">
        <x:v>守脉丹</x:v>
      </x:c>
      <x:c r="C29" s="25" t="n">
        <x:f>COUNTIF('04_认证组合表'!$A$5:$A$49,A29)</x:f>
        <x:v>3</x:v>
      </x:c>
      <x:c r="D29" s="25" t="str">
        <x:f>IF(C29=3,"通过","失败")</x:f>
        <x:v>通过</x:v>
      </x:c>
    </x:row>
    <x:row r="30" ht="15" hidden="0" customHeight="1">
      <x:c r="A30" s="25" t="str">
        <x:v>F-ZJ-13</x:v>
      </x:c>
      <x:c r="B30" s="25" t="str">
        <x:v>展脉丹</x:v>
      </x:c>
      <x:c r="C30" s="25" t="n">
        <x:f>COUNTIF('04_认证组合表'!$A$5:$A$49,A30)</x:f>
        <x:v>3</x:v>
      </x:c>
      <x:c r="D30" s="25" t="str">
        <x:f>IF(C30=3,"通过","失败")</x:f>
        <x:v>通过</x:v>
      </x:c>
    </x:row>
    <x:row r="31" ht="15" hidden="0" customHeight="1">
      <x:c r="A31" s="25" t="str">
        <x:v>F-ZJ-14</x:v>
      </x:c>
      <x:c r="B31" s="25" t="str">
        <x:v>明台丹</x:v>
      </x:c>
      <x:c r="C31" s="25" t="n">
        <x:f>COUNTIF('04_认证组合表'!$A$5:$A$49,A31)</x:f>
        <x:v>3</x:v>
      </x:c>
      <x:c r="D31" s="25" t="str">
        <x:f>IF(C31=3,"通过","失败")</x:f>
        <x:v>通过</x:v>
      </x:c>
    </x:row>
    <x:row r="32" ht="15" hidden="0" customHeight="1">
      <x:c r="A32" s="25" t="str">
        <x:v>F-ZJ-15</x:v>
      </x:c>
      <x:c r="B32" s="25" t="str">
        <x:v>续元丹</x:v>
      </x:c>
      <x:c r="C32" s="25" t="n">
        <x:f>COUNTIF('04_认证组合表'!$A$5:$A$49,A32)</x:f>
        <x:v>3</x:v>
      </x:c>
      <x:c r="D32" s="25" t="str">
        <x:f>IF(C32=3,"通过","失败")</x:f>
        <x:v>通过</x:v>
      </x:c>
    </x:row>
    <x:row r="33"/>
    <x:row r="34"/>
    <x:row r="35">
      <x:c r="A35" s="66" t="str">
        <x:v>通过标准：15张丹方、45种灵植、45条组合；每方恰好3条；45条组合的君药、臣行、使味、方性、药力与份数全部通过；负毛利组合为0。</x:v>
      </x:c>
      <x:c r="B35" s="66"/>
      <x:c r="C35" s="66"/>
      <x:c r="D35" s="66"/>
      <x:c r="E35" s="66"/>
      <x:c r="F35" s="66"/>
      <x:c r="G35" s="66"/>
      <x:c r="H35" s="66"/>
    </x:row>
    <x:row r="36">
      <x:c r="A36" s="66"/>
      <x:c r="B36" s="66"/>
      <x:c r="C36" s="66"/>
      <x:c r="D36" s="66"/>
      <x:c r="E36" s="66"/>
      <x:c r="F36" s="66"/>
      <x:c r="G36" s="66"/>
      <x:c r="H36" s="66"/>
    </x:row>
    <x:row r="37">
      <x:c r="A37" s="66"/>
      <x:c r="B37" s="66"/>
      <x:c r="C37" s="66"/>
      <x:c r="D37" s="66"/>
      <x:c r="E37" s="66"/>
      <x:c r="F37" s="66"/>
      <x:c r="G37" s="66"/>
      <x:c r="H37" s="66"/>
    </x:row>
  </x:sheetData>
  <x:mergeCells>
    <x:mergeCell ref="A1:H1"/>
    <x:mergeCell ref="A2:H2"/>
    <x:mergeCell ref="A4:D4"/>
    <x:mergeCell ref="F4:H4"/>
    <x:mergeCell ref="A16:H16"/>
    <x:mergeCell ref="A35:H37"/>
  </x:mergeCells>
  <x:conditionalFormatting sqref="D6:D12">
    <x:cfRule type="containsText" dxfId="6" priority="1" operator="containsText" text="通过"/>
  </x:conditionalFormatting>
  <x:conditionalFormatting sqref="H6:H13">
    <x:cfRule type="containsText" dxfId="7" priority="2" operator="containsText" text="通过"/>
  </x:conditionalFormatting>
  <x:conditionalFormatting sqref="D18:D32">
    <x:cfRule type="containsText" dxfId="8" priority="3" operator="containsText" text="通过"/>
  </x:conditionalFormatting>
  <x:pageMargins left="0.7" right="0.7" top="0.75" bottom="0.75" header="0.3" footer="0.3"/>
</x:worksheet>
</file>