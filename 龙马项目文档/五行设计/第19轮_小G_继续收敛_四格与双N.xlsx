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6ff18e50c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19轮结论" sheetId="1" r:id="Rf76ea707e8ac4d4b"/>
    <x:sheet xmlns:r="http://schemas.openxmlformats.org/officeDocument/2006/relationships" name="01_参数" sheetId="2" r:id="Rb1f7399a46de4762"/>
    <x:sheet xmlns:r="http://schemas.openxmlformats.org/officeDocument/2006/relationships" name="02_分歧裁决" sheetId="3" r:id="Ref9df072a6d646ac"/>
    <x:sheet xmlns:r="http://schemas.openxmlformats.org/officeDocument/2006/relationships" name="03_丹方字段" sheetId="4" r:id="R72f994a8a3aa4105"/>
    <x:sheet xmlns:r="http://schemas.openxmlformats.org/officeDocument/2006/relationships" name="04_灵植字段" sheetId="5" r:id="Re2601eee7eb74d3a"/>
    <x:sheet xmlns:r="http://schemas.openxmlformats.org/officeDocument/2006/relationships" name="05_组合字段" sheetId="6" r:id="R7ff7c32741834c90"/>
    <x:sheet xmlns:r="http://schemas.openxmlformats.org/officeDocument/2006/relationships" name="06_筑基纵切" sheetId="7" r:id="Rcfa8d6a547004bd6"/>
    <x:sheet xmlns:r="http://schemas.openxmlformats.org/officeDocument/2006/relationships" name="07_玩家流程" sheetId="8" r:id="Rdf7bf35c031e4e00"/>
    <x:sheet xmlns:r="http://schemas.openxmlformats.org/officeDocument/2006/relationships" name="08_完整性核验" sheetId="9" r:id="Ra331aa69d6e1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9"/>
      <x:color rgb="FFFFFFFF"/>
      <x:name val="Microsoft YaHei"/>
    </x:font>
    <x:font>
      <x:b/>
      <x:sz val="9"/>
      <x:color rgb="FFFFFFFF"/>
      <x:name val="Microsoft YaHei"/>
    </x:font>
    <x:font>
      <x:sz val="9"/>
      <x:color rgb="FF172B36"/>
      <x:name val="Microsoft YaHei"/>
    </x:font>
    <x:font>
      <x:b/>
      <x:sz val="10"/>
      <x:color rgb="FF172B36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0D5C63"/>
      </x:patternFill>
    </x:fill>
    <x:fill>
      <x:patternFill patternType="solid">
        <x:fgColor rgb="FF173B57"/>
      </x:patternFill>
    </x:fill>
    <x:fill>
      <x:patternFill patternType="solid">
        <x:fgColor rgb="FFE8F3F2"/>
      </x:patternFill>
    </x:fill>
    <x:fill>
      <x:patternFill patternType="solid">
        <x:fgColor rgb="FFFFF5D9"/>
      </x:patternFill>
    </x:fill>
    <x:fill>
      <x:patternFill patternType="solid">
        <x:fgColor rgb="FFF3F5F6"/>
      </x:patternFill>
    </x:fill>
    <x:fill>
      <x:patternFill patternType="solid">
        <x:fgColor rgb="FFE8F4EA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D5E2B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97978d4b94c8b" /><Relationship Type="http://schemas.openxmlformats.org/officeDocument/2006/relationships/theme" Target="/xl/theme/theme1.xml" Id="Rc7510a5b3ce9447f" /><Relationship Type="http://schemas.openxmlformats.org/officeDocument/2006/relationships/sharedStrings" Target="/xl/sharedStrings.xml" Id="R9581e128f87e4cb8" /><Relationship Type="http://schemas.openxmlformats.org/officeDocument/2006/relationships/worksheet" Target="/xl/worksheets/sheet1.xml" Id="Rf76ea707e8ac4d4b" /><Relationship Type="http://schemas.openxmlformats.org/officeDocument/2006/relationships/worksheet" Target="/xl/worksheets/sheet2.xml" Id="Rb1f7399a46de4762" /><Relationship Type="http://schemas.openxmlformats.org/officeDocument/2006/relationships/worksheet" Target="/xl/worksheets/sheet3.xml" Id="Ref9df072a6d646ac" /><Relationship Type="http://schemas.openxmlformats.org/officeDocument/2006/relationships/worksheet" Target="/xl/worksheets/sheet4.xml" Id="R72f994a8a3aa4105" /><Relationship Type="http://schemas.openxmlformats.org/officeDocument/2006/relationships/worksheet" Target="/xl/worksheets/sheet5.xml" Id="Re2601eee7eb74d3a" /><Relationship Type="http://schemas.openxmlformats.org/officeDocument/2006/relationships/worksheet" Target="/xl/worksheets/sheet6.xml" Id="R7ff7c32741834c90" /><Relationship Type="http://schemas.openxmlformats.org/officeDocument/2006/relationships/worksheet" Target="/xl/worksheets/sheet7.xml" Id="Rcfa8d6a547004bd6" /><Relationship Type="http://schemas.openxmlformats.org/officeDocument/2006/relationships/worksheet" Target="/xl/worksheets/sheet8.xml" Id="Rdf7bf35c031e4e00" /><Relationship Type="http://schemas.openxmlformats.org/officeDocument/2006/relationships/worksheet" Target="/xl/worksheets/sheet9.xml" Id="Ra331aa69d6e140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34" hidden="0" customWidth="1"/>
  </x:cols>
  <x:sheetData>
    <x:row r="1" ht="30" customHeight="1">
      <x:c r="A1" s="3" t="str">
        <x:v>第19轮收敛｜四格、双N与三表最终边界</x:v>
      </x:c>
      <x:c r="B1" s="3" t="str">
        <x:v>第19轮收敛｜四格、双N与三表最终边界</x:v>
      </x:c>
      <x:c r="C1" s="3" t="str">
        <x:v>第19轮收敛｜四格、双N与三表最终边界</x:v>
      </x:c>
      <x:c r="D1" s="3" t="str">
        <x:v>第19轮收敛｜四格、双N与三表最终边界</x:v>
      </x:c>
      <x:c r="E1" s="3" t="str">
        <x:v>第19轮收敛｜四格、双N与三表最终边界</x:v>
      </x:c>
      <x:c r="F1" s="3" t="str">
        <x:v>第19轮收敛｜四格、双N与三表最终边界</x:v>
      </x:c>
      <x:c r="G1" s="3" t="str">
        <x:v>第19轮收敛｜四格、双N与三表最终边界</x:v>
      </x:c>
      <x:c r="H1" s="3" t="str">
        <x:v>第19轮收敛｜四格、双N与三表最终边界</x:v>
      </x:c>
    </x:row>
    <x:row r="2" ht="25" customHeight="1">
      <x:c r="A2" s="7" t="str">
        <x:v>小G｜吸收小C实算，淘汰旧口径；目标是让玩家先会炼，再逐步会改方</x:v>
      </x:c>
      <x:c r="B2" s="7" t="str">
        <x:v>小G｜吸收小C实算，淘汰旧口径；目标是让玩家先会炼，再逐步会改方</x:v>
      </x:c>
      <x:c r="C2" s="7" t="str">
        <x:v>小G｜吸收小C实算，淘汰旧口径；目标是让玩家先会炼，再逐步会改方</x:v>
      </x:c>
      <x:c r="D2" s="7" t="str">
        <x:v>小G｜吸收小C实算，淘汰旧口径；目标是让玩家先会炼，再逐步会改方</x:v>
      </x:c>
      <x:c r="E2" s="7" t="str">
        <x:v>小G｜吸收小C实算，淘汰旧口径；目标是让玩家先会炼，再逐步会改方</x:v>
      </x:c>
      <x:c r="F2" s="7" t="str">
        <x:v>小G｜吸收小C实算，淘汰旧口径；目标是让玩家先会炼，再逐步会改方</x:v>
      </x:c>
      <x:c r="G2" s="7" t="str">
        <x:v>小G｜吸收小C实算，淘汰旧口径；目标是让玩家先会炼，再逐步会改方</x:v>
      </x:c>
      <x:c r="H2" s="7" t="str">
        <x:v>小G｜吸收小C实算，淘汰旧口径；目标是让玩家先会炼，再逐步会改方</x:v>
      </x:c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2" t="str">
        <x:v>本轮冻结项</x:v>
      </x:c>
      <x:c r="B4" s="12" t="str">
        <x:v>君</x:v>
      </x:c>
      <x:c r="C4" s="12" t="str">
        <x:v>臣</x:v>
      </x:c>
      <x:c r="D4" s="12" t="str">
        <x:v>佐</x:v>
      </x:c>
      <x:c r="E4" s="12" t="str">
        <x:v>使</x:v>
      </x:c>
      <x:c r="F4" s="12" t="str">
        <x:v>组合口径</x:v>
      </x:c>
      <x:c r="G4" s="12" t="str">
        <x:v>筑基池</x:v>
      </x:c>
      <x:c r="H4" s="12" t="str">
        <x:v>状态</x:v>
      </x:c>
    </x:row>
    <x:row r="5">
      <x:c r="A5" s="17" t="str">
        <x:v>四材字段</x:v>
      </x:c>
      <x:c r="B5" s="17" t="str">
        <x:v>丹核·性·力</x:v>
      </x:c>
      <x:c r="C5" s="17" t="str">
        <x:v>行·性·力</x:v>
      </x:c>
      <x:c r="D5" s="17" t="str">
        <x:v>性·力</x:v>
      </x:c>
      <x:c r="E5" s="17" t="str">
        <x:v>味·性·力</x:v>
      </x:c>
      <x:c r="F5" s="17" t="str">
        <x:v>各司一职</x:v>
      </x:c>
      <x:c r="G5" s="17" t="str">
        <x:v>—</x:v>
      </x:c>
      <x:c r="H5" s="17" t="str">
        <x:v>冻结</x:v>
      </x:c>
    </x:row>
    <x:row r="6">
      <x:c r="A6" s="17" t="str">
        <x:v>格子</x:v>
      </x:c>
      <x:c r="B6" s="17" t="str">
        <x:v>1物种</x:v>
      </x:c>
      <x:c r="C6" s="17" t="str">
        <x:v>1物种</x:v>
      </x:c>
      <x:c r="D6" s="17" t="str">
        <x:v>1物种</x:v>
      </x:c>
      <x:c r="E6" s="17" t="str">
        <x:v>1物种</x:v>
      </x:c>
      <x:c r="F6" s="17" t="str">
        <x:v>份数可叠加</x:v>
      </x:c>
      <x:c r="G6" s="17" t="str">
        <x:v>四格</x:v>
      </x:c>
      <x:c r="H6" s="17" t="str">
        <x:v>冻结</x:v>
      </x:c>
    </x:row>
    <x:row r="7">
      <x:c r="A7" s="17" t="str">
        <x:v>N合法</x:v>
      </x:c>
      <x:c r="B7" s="17" t="str">
        <x:v>唯一君ID</x:v>
      </x:c>
      <x:c r="C7" s="17" t="str">
        <x:v>属性匹配</x:v>
      </x:c>
      <x:c r="D7" s="17" t="str">
        <x:v>方性配平</x:v>
      </x:c>
      <x:c r="E7" s="17" t="str">
        <x:v>属性匹配</x:v>
      </x:c>
      <x:c r="F7" s="17" t="str">
        <x:v>全部合法物种组合</x:v>
      </x:c>
      <x:c r="G7" s="17" t="str">
        <x:v>每方6—9</x:v>
      </x:c>
      <x:c r="H7" s="17" t="str">
        <x:v>冻结</x:v>
      </x:c>
    </x:row>
    <x:row r="8">
      <x:c r="A8" s="17" t="str">
        <x:v>N认证</x:v>
      </x:c>
      <x:c r="B8" s="17" t="str">
        <x:v>写入组合</x:v>
      </x:c>
      <x:c r="C8" s="17" t="str">
        <x:v>写入组合</x:v>
      </x:c>
      <x:c r="D8" s="17" t="str">
        <x:v>写入组合</x:v>
      </x:c>
      <x:c r="E8" s="17" t="str">
        <x:v>写入组合</x:v>
      </x:c>
      <x:c r="F8" s="17" t="str">
        <x:v>策划挑3—6套</x:v>
      </x:c>
      <x:c r="G8" s="17" t="str">
        <x:v>合计52套工作值</x:v>
      </x:c>
      <x:c r="H8" s="17" t="str">
        <x:v>冻结</x:v>
      </x:c>
    </x:row>
    <x:row r="9">
      <x:c r="A9" s="17" t="str">
        <x:v>君材数量</x:v>
      </x:c>
      <x:c r="B9" s="17" t="str">
        <x:v>同组可共享</x:v>
      </x:c>
      <x:c r="C9" s="17" t="str">
        <x:v>—</x:v>
      </x:c>
      <x:c r="D9" s="17" t="str">
        <x:v>—</x:v>
      </x:c>
      <x:c r="E9" s="17" t="str">
        <x:v>—</x:v>
      </x:c>
      <x:c r="F9" s="17" t="str">
        <x:v>大小突破分君</x:v>
      </x:c>
      <x:c r="G9" s="17" t="str">
        <x:v>13味</x:v>
      </x:c>
      <x:c r="H9" s="17" t="str">
        <x:v>修正</x:v>
      </x:c>
    </x:row>
    <x:row r="10">
      <x:c r="A10" s="17" t="str">
        <x:v>池子规模</x:v>
      </x:c>
      <x:c r="B10" s="17" t="str">
        <x:v>13</x:v>
      </x:c>
      <x:c r="C10" s="17" t="str">
        <x:v>15</x:v>
      </x:c>
      <x:c r="D10" s="17" t="str">
        <x:v>5</x:v>
      </x:c>
      <x:c r="E10" s="17" t="str">
        <x:v>15</x:v>
      </x:c>
      <x:c r="F10" s="17" t="str">
        <x:v>合计</x:v>
      </x:c>
      <x:c r="G10" s="17" t="str">
        <x:v>48株</x:v>
      </x:c>
      <x:c r="H10" s="17" t="str">
        <x:v>修正</x:v>
      </x:c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0" t="str">
        <x:v>一句话：属性规则证明为什么能成丹；认证组合告诉玩家先怎样炼。</x:v>
      </x:c>
      <x:c r="B12" s="20" t="str">
        <x:v>一句话：属性规则证明为什么能成丹；认证组合告诉玩家先怎样炼。</x:v>
      </x:c>
      <x:c r="C12" s="20" t="str">
        <x:v>一句话：属性规则证明为什么能成丹；认证组合告诉玩家先怎样炼。</x:v>
      </x:c>
      <x:c r="D12" s="20" t="str">
        <x:v>一句话：属性规则证明为什么能成丹；认证组合告诉玩家先怎样炼。</x:v>
      </x:c>
      <x:c r="E12" s="20" t="str">
        <x:v>一句话：属性规则证明为什么能成丹；认证组合告诉玩家先怎样炼。</x:v>
      </x:c>
      <x:c r="F12" s="20" t="str">
        <x:v>一句话：属性规则证明为什么能成丹；认证组合告诉玩家先怎样炼。</x:v>
      </x:c>
      <x:c r="G12" s="20" t="str">
        <x:v>一句话：属性规则证明为什么能成丹；认证组合告诉玩家先怎样炼。</x:v>
      </x:c>
      <x:c r="H12" s="20" t="str">
        <x:v>一句话：属性规则证明为什么能成丹；认证组合告诉玩家先怎样炼。</x:v>
      </x:c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12" t="str">
        <x:v>玩家步骤</x:v>
      </x:c>
      <x:c r="B14" s="12" t="str">
        <x:v>1</x:v>
      </x:c>
      <x:c r="C14" s="12" t="str">
        <x:v>2</x:v>
      </x:c>
      <x:c r="D14" s="12" t="str">
        <x:v>3</x:v>
      </x:c>
      <x:c r="E14" s="12" t="str">
        <x:v>4</x:v>
      </x:c>
      <x:c r="F14" s="12" t="str">
        <x:v>5</x:v>
      </x:c>
      <x:c r="G14" s="12" t="str">
        <x:v>高级入口</x:v>
      </x:c>
      <x:c r="H14" s="12" t="str">
        <x:v>说明</x:v>
      </x:c>
    </x:row>
    <x:row r="15">
      <x:c r="A15" s="21" t="str">
        <x:v>流程</x:v>
      </x:c>
      <x:c r="B15" s="21" t="str">
        <x:v>选丹方</x:v>
      </x:c>
      <x:c r="C15" s="21" t="str">
        <x:v>选已知组合</x:v>
      </x:c>
      <x:c r="D15" s="21" t="str">
        <x:v>自动入四格</x:v>
      </x:c>
      <x:c r="E15" s="21" t="str">
        <x:v>调品质与份数</x:v>
      </x:c>
      <x:c r="F15" s="21" t="str">
        <x:v>看五盏灯开炉</x:v>
      </x:c>
      <x:c r="G15" s="21" t="str">
        <x:v>试方模式</x:v>
      </x:c>
      <x:c r="H15" s="21" t="str">
        <x:v>新手不必从全池手搓</x:v>
      </x:c>
    </x:row>
    <x:row r="16">
      <x:c r="A16" s="21" t="str">
        <x:v>五盏灯</x:v>
      </x:c>
      <x:c r="B16" s="21" t="str">
        <x:v>君药正确</x:v>
      </x:c>
      <x:c r="C16" s="21" t="str">
        <x:v>臣行相合</x:v>
      </x:c>
      <x:c r="D16" s="21" t="str">
        <x:v>方性合度</x:v>
      </x:c>
      <x:c r="E16" s="21" t="str">
        <x:v>使味归位</x:v>
      </x:c>
      <x:c r="F16" s="21" t="str">
        <x:v>药力足量</x:v>
      </x:c>
      <x:c r="G16" s="21" t="str">
        <x:v>记录自研组合</x:v>
      </x:c>
      <x:c r="H16" s="21" t="str">
        <x:v>第五灯含君力和份数</x:v>
      </x:c>
    </x:row>
    <x:row r="17">
      <x:c r="A17" s="21" t="str">
        <x:v>N的显示</x:v>
      </x:c>
      <x:c r="B17" s="21" t="str">
        <x:v>—</x:v>
      </x:c>
      <x:c r="C17" s="21" t="str">
        <x:v>已知1/3</x:v>
      </x:c>
      <x:c r="D17" s="21" t="str">
        <x:v>—</x:v>
      </x:c>
      <x:c r="E17" s="21" t="str">
        <x:v>—</x:v>
      </x:c>
      <x:c r="F17" s="21" t="str">
        <x:v>—</x:v>
      </x:c>
      <x:c r="G17" s="21" t="str">
        <x:v>发现未认证合法解</x:v>
      </x:c>
      <x:c r="H17" s="21" t="str">
        <x:v>品质与数量不增加N</x:v>
      </x:c>
    </x:row>
    <x:row r="18">
      <x:c r="A18" s="21" t="str">
        <x:v>首版边界</x:v>
      </x:c>
      <x:c r="B18" s="21" t="str">
        <x:v>使材必放</x:v>
      </x:c>
      <x:c r="C18" s="21" t="str">
        <x:v>不设无使炼丹</x:v>
      </x:c>
      <x:c r="D18" s="21" t="str">
        <x:v>不设双臣</x:v>
      </x:c>
      <x:c r="E18" s="21" t="str">
        <x:v>不设双佐</x:v>
      </x:c>
      <x:c r="F18" s="21" t="str">
        <x:v>不设副使</x:v>
      </x:c>
      <x:c r="G18" s="21" t="str">
        <x:v>高级扩展后置</x:v>
      </x:c>
      <x:c r="H18" s="21" t="str">
        <x:v>学习成本优先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22" hidden="0" customWidth="1"/>
    <x:col min="5" max="5" width="4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3" t="str">
        <x:v>第19轮参数｜五行、五味与五性候选</x:v>
      </x:c>
      <x:c r="B1" s="3" t="str">
        <x:v>第19轮参数｜五行、五味与五性候选</x:v>
      </x:c>
      <x:c r="C1" s="3" t="str">
        <x:v>第19轮参数｜五行、五味与五性候选</x:v>
      </x:c>
      <x:c r="D1" s="3" t="str">
        <x:v>第19轮参数｜五行、五味与五性候选</x:v>
      </x:c>
      <x:c r="E1" s="3" t="str">
        <x:v>第19轮参数｜五行、五味与五性候选</x:v>
      </x:c>
      <x:c r="F1" s="3" t="str">
        <x:v>第19轮参数｜五行、五味与五性候选</x:v>
      </x:c>
      <x:c r="G1" s="3" t="str">
        <x:v>第19轮参数｜五行、五味与五性候选</x:v>
      </x:c>
      <x:c r="H1" s="3" t="str">
        <x:v>第19轮参数｜五行、五味与五性候选</x:v>
      </x:c>
      <x:c r="I1" s="3" t="str">
        <x:v>第19轮参数｜五行、五味与五性候选</x:v>
      </x:c>
    </x:row>
    <x:row r="2" ht="25" customHeight="1">
      <x:c r="A2" s="7" t="str">
        <x:v>此表是06筑基纵切公式的可审计输入；改动臣使三株的性值后，N合法会自动重算</x:v>
      </x:c>
      <x:c r="B2" s="7" t="str">
        <x:v>此表是06筑基纵切公式的可审计输入；改动臣使三株的性值后，N合法会自动重算</x:v>
      </x:c>
      <x:c r="C2" s="7" t="str">
        <x:v>此表是06筑基纵切公式的可审计输入；改动臣使三株的性值后，N合法会自动重算</x:v>
      </x:c>
      <x:c r="D2" s="7" t="str">
        <x:v>此表是06筑基纵切公式的可审计输入；改动臣使三株的性值后，N合法会自动重算</x:v>
      </x:c>
      <x:c r="E2" s="7" t="str">
        <x:v>此表是06筑基纵切公式的可审计输入；改动臣使三株的性值后，N合法会自动重算</x:v>
      </x:c>
      <x:c r="F2" s="7" t="str">
        <x:v>此表是06筑基纵切公式的可审计输入；改动臣使三株的性值后，N合法会自动重算</x:v>
      </x:c>
      <x:c r="G2" s="7" t="str">
        <x:v>此表是06筑基纵切公式的可审计输入；改动臣使三株的性值后，N合法会自动重算</x:v>
      </x:c>
      <x:c r="H2" s="7" t="str">
        <x:v>此表是06筑基纵切公式的可审计输入；改动臣使三株的性值后，N合法会自动重算</x:v>
      </x:c>
      <x:c r="I2" s="7" t="str">
        <x:v>此表是06筑基纵切公式的可审计输入；改动臣使三株的性值后，N合法会自动重算</x:v>
      </x:c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</x:row>
    <x:row r="4">
      <x:c r="A4" s="12" t="str">
        <x:v>臣行</x:v>
      </x:c>
      <x:c r="B4" s="12" t="str">
        <x:v>物种1性</x:v>
      </x:c>
      <x:c r="C4" s="12" t="str">
        <x:v>物种2性</x:v>
      </x:c>
      <x:c r="D4" s="12" t="str">
        <x:v>物种3性</x:v>
      </x:c>
      <x:c r="E4" s="25"/>
      <x:c r="F4" s="12" t="str">
        <x:v>使味</x:v>
      </x:c>
      <x:c r="G4" s="12" t="str">
        <x:v>物种1性</x:v>
      </x:c>
      <x:c r="H4" s="12" t="str">
        <x:v>物种2性</x:v>
      </x:c>
      <x:c r="I4" s="12" t="str">
        <x:v>物种3性</x:v>
      </x:c>
    </x:row>
    <x:row r="5">
      <x:c r="A5" s="16" t="str">
        <x:v>木</x:v>
      </x:c>
      <x:c r="B5" s="16" t="n">
        <x:v>0</x:v>
      </x:c>
      <x:c r="C5" s="16" t="n">
        <x:v>1</x:v>
      </x:c>
      <x:c r="D5" s="16" t="n">
        <x:v>2</x:v>
      </x:c>
      <x:c r="E5" s="25"/>
      <x:c r="F5" s="16" t="str">
        <x:v>甘</x:v>
      </x:c>
      <x:c r="G5" s="16" t="n">
        <x:v>0</x:v>
      </x:c>
      <x:c r="H5" s="16" t="n">
        <x:v>-1</x:v>
      </x:c>
      <x:c r="I5" s="16" t="n">
        <x:v>1</x:v>
      </x:c>
    </x:row>
    <x:row r="6">
      <x:c r="A6" s="16" t="str">
        <x:v>火</x:v>
      </x:c>
      <x:c r="B6" s="16" t="n">
        <x:v>0</x:v>
      </x:c>
      <x:c r="C6" s="16" t="n">
        <x:v>2</x:v>
      </x:c>
      <x:c r="D6" s="16" t="n">
        <x:v>1</x:v>
      </x:c>
      <x:c r="E6" s="25"/>
      <x:c r="F6" s="16" t="str">
        <x:v>辛</x:v>
      </x:c>
      <x:c r="G6" s="16" t="n">
        <x:v>0</x:v>
      </x:c>
      <x:c r="H6" s="16" t="n">
        <x:v>1</x:v>
      </x:c>
      <x:c r="I6" s="16" t="n">
        <x:v>-1</x:v>
      </x:c>
    </x:row>
    <x:row r="7">
      <x:c r="A7" s="16" t="str">
        <x:v>土</x:v>
      </x:c>
      <x:c r="B7" s="16" t="n">
        <x:v>0</x:v>
      </x:c>
      <x:c r="C7" s="16" t="n">
        <x:v>1</x:v>
      </x:c>
      <x:c r="D7" s="16" t="n">
        <x:v>-1</x:v>
      </x:c>
      <x:c r="E7" s="25"/>
      <x:c r="F7" s="16" t="str">
        <x:v>咸</x:v>
      </x:c>
      <x:c r="G7" s="16" t="n">
        <x:v>0</x:v>
      </x:c>
      <x:c r="H7" s="16" t="n">
        <x:v>-2</x:v>
      </x:c>
      <x:c r="I7" s="16" t="n">
        <x:v>-1</x:v>
      </x:c>
    </x:row>
    <x:row r="8">
      <x:c r="A8" s="16" t="str">
        <x:v>金</x:v>
      </x:c>
      <x:c r="B8" s="16" t="n">
        <x:v>0</x:v>
      </x:c>
      <x:c r="C8" s="16" t="n">
        <x:v>-1</x:v>
      </x:c>
      <x:c r="D8" s="16" t="n">
        <x:v>-2</x:v>
      </x:c>
      <x:c r="E8" s="25"/>
      <x:c r="F8" s="16" t="str">
        <x:v>苦</x:v>
      </x:c>
      <x:c r="G8" s="16" t="n">
        <x:v>0</x:v>
      </x:c>
      <x:c r="H8" s="16" t="n">
        <x:v>-1</x:v>
      </x:c>
      <x:c r="I8" s="16" t="n">
        <x:v>-2</x:v>
      </x:c>
    </x:row>
    <x:row r="9">
      <x:c r="A9" s="16" t="str">
        <x:v>水</x:v>
      </x:c>
      <x:c r="B9" s="16" t="n">
        <x:v>0</x:v>
      </x:c>
      <x:c r="C9" s="16" t="n">
        <x:v>-1</x:v>
      </x:c>
      <x:c r="D9" s="16" t="n">
        <x:v>-2</x:v>
      </x:c>
      <x:c r="E9" s="25"/>
      <x:c r="F9" s="16" t="str">
        <x:v>酸</x:v>
      </x:c>
      <x:c r="G9" s="16" t="n">
        <x:v>0</x:v>
      </x:c>
      <x:c r="H9" s="16" t="n">
        <x:v>1</x:v>
      </x:c>
      <x:c r="I9" s="16" t="n">
        <x:v>-1</x:v>
      </x:c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>
      <x:c r="A11" s="20" t="str">
        <x:v>佐材五性池：寒−2、凉−1、平0、温+1、热+2；每个合法臣使组合只需选一个对应性值的佐材。</x:v>
      </x:c>
      <x:c r="B11" s="20" t="str">
        <x:v>佐材五性池：寒−2、凉−1、平0、温+1、热+2；每个合法臣使组合只需选一个对应性值的佐材。</x:v>
      </x:c>
      <x:c r="C11" s="20" t="str">
        <x:v>佐材五性池：寒−2、凉−1、平0、温+1、热+2；每个合法臣使组合只需选一个对应性值的佐材。</x:v>
      </x:c>
      <x:c r="D11" s="20" t="str">
        <x:v>佐材五性池：寒−2、凉−1、平0、温+1、热+2；每个合法臣使组合只需选一个对应性值的佐材。</x:v>
      </x:c>
      <x:c r="E11" s="20" t="str">
        <x:v>佐材五性池：寒−2、凉−1、平0、温+1、热+2；每个合法臣使组合只需选一个对应性值的佐材。</x:v>
      </x:c>
      <x:c r="F11" s="20" t="str">
        <x:v>佐材五性池：寒−2、凉−1、平0、温+1、热+2；每个合法臣使组合只需选一个对应性值的佐材。</x:v>
      </x:c>
      <x:c r="G11" s="20" t="str">
        <x:v>佐材五性池：寒−2、凉−1、平0、温+1、热+2；每个合法臣使组合只需选一个对应性值的佐材。</x:v>
      </x:c>
      <x:c r="H11" s="20" t="str">
        <x:v>佐材五性池：寒−2、凉−1、平0、温+1、热+2；每个合法臣使组合只需选一个对应性值的佐材。</x:v>
      </x:c>
      <x:c r="I11" s="20" t="str">
        <x:v>佐材五性池：寒−2、凉−1、平0、温+1、热+2；每个合法臣使组合只需选一个对应性值的佐材。</x:v>
      </x:c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</x:row>
    <x:row r="13">
      <x:c r="A13" s="12" t="str">
        <x:v>参数</x:v>
      </x:c>
      <x:c r="B13" s="12" t="str">
        <x:v>值</x:v>
      </x:c>
      <x:c r="C13" s="12" t="str">
        <x:v>用途</x:v>
      </x:c>
      <x:c r="D13" s="12" t="str">
        <x:v>玩家是否直接看到</x:v>
      </x:c>
      <x:c r="E13" s="25"/>
      <x:c r="F13" s="25"/>
      <x:c r="G13" s="25"/>
      <x:c r="H13" s="25"/>
      <x:c r="I13" s="25"/>
    </x:row>
    <x:row r="14">
      <x:c r="A14" s="16" t="str">
        <x:v>每格物种上限</x:v>
      </x:c>
      <x:c r="B14" s="16" t="n">
        <x:v>1</x:v>
      </x:c>
      <x:c r="C14" s="16" t="str">
        <x:v>四格固定</x:v>
      </x:c>
      <x:c r="D14" s="16" t="str">
        <x:v>是</x:v>
      </x:c>
      <x:c r="E14" s="25"/>
      <x:c r="F14" s="25"/>
      <x:c r="G14" s="25"/>
      <x:c r="H14" s="25"/>
      <x:c r="I14" s="25"/>
    </x:row>
    <x:row r="15">
      <x:c r="A15" s="16" t="str">
        <x:v>总份数上限</x:v>
      </x:c>
      <x:c r="B15" s="16" t="n">
        <x:v>8</x:v>
      </x:c>
      <x:c r="C15" s="16" t="str">
        <x:v>药力与丹炉</x:v>
      </x:c>
      <x:c r="D15" s="16" t="str">
        <x:v>是</x:v>
      </x:c>
      <x:c r="E15" s="25"/>
      <x:c r="F15" s="25"/>
      <x:c r="G15" s="25"/>
      <x:c r="H15" s="25"/>
      <x:c r="I15" s="25"/>
    </x:row>
    <x:row r="16">
      <x:c r="A16" s="16" t="str">
        <x:v>君力占比</x:v>
      </x:c>
      <x:c r="B16" s="22" t="n">
        <x:v>0.3</x:v>
      </x:c>
      <x:c r="C16" s="16" t="str">
        <x:v>防君沦为钥匙</x:v>
      </x:c>
      <x:c r="D16" s="16" t="str">
        <x:v>换算成最低君力</x:v>
      </x:c>
      <x:c r="E16" s="25"/>
      <x:c r="F16" s="25"/>
      <x:c r="G16" s="25"/>
      <x:c r="H16" s="25"/>
      <x:c r="I16" s="25"/>
    </x:row>
    <x:row r="17">
      <x:c r="A17" s="16" t="str">
        <x:v>日常N认证</x:v>
      </x:c>
      <x:c r="B17" s="16" t="n">
        <x:v>3</x:v>
      </x:c>
      <x:c r="C17" s="16" t="str">
        <x:v>教学</x:v>
      </x:c>
      <x:c r="D17" s="16" t="str">
        <x:v>是</x:v>
      </x:c>
      <x:c r="E17" s="25"/>
      <x:c r="F17" s="25"/>
      <x:c r="G17" s="25"/>
      <x:c r="H17" s="25"/>
      <x:c r="I17" s="25"/>
    </x:row>
    <x:row r="18">
      <x:c r="A18" s="16" t="str">
        <x:v>结构丹N认证</x:v>
      </x:c>
      <x:c r="B18" s="16" t="n">
        <x:v>4</x:v>
      </x:c>
      <x:c r="C18" s="16" t="str">
        <x:v>突破/清毒/永久强化</x:v>
      </x:c>
      <x:c r="D18" s="16" t="str">
        <x:v>是</x:v>
      </x:c>
      <x:c r="E18" s="25"/>
      <x:c r="F18" s="25"/>
      <x:c r="G18" s="25"/>
      <x:c r="H18" s="25"/>
      <x:c r="I18" s="25"/>
    </x:row>
    <x:row r="19">
      <x:c r="A19" s="16" t="str">
        <x:v>稀有丹N认证</x:v>
      </x:c>
      <x:c r="B19" s="16" t="n">
        <x:v>5</x:v>
      </x:c>
      <x:c r="C19" s="16" t="str">
        <x:v>延寿工作值</x:v>
      </x:c>
      <x:c r="D19" s="16" t="str">
        <x:v>是</x:v>
      </x:c>
      <x:c r="E19" s="25"/>
      <x:c r="F19" s="25"/>
      <x:c r="G19" s="25"/>
      <x:c r="H19" s="25"/>
      <x:c r="I19" s="25"/>
    </x:row>
    <x:row r="20">
      <x:c r="A20" s="16" t="str">
        <x:v>使材必放</x:v>
      </x:c>
      <x:c r="B20" s="16" t="n">
        <x:v>1</x:v>
      </x:c>
      <x:c r="C20" s="16" t="str">
        <x:v>不开放无使成丹</x:v>
      </x:c>
      <x:c r="D20" s="16" t="str">
        <x:v>是</x:v>
      </x:c>
      <x:c r="E20" s="25"/>
      <x:c r="F20" s="25"/>
      <x:c r="G20" s="25"/>
      <x:c r="H20" s="25"/>
      <x:c r="I20" s="25"/>
    </x:row>
  </x:sheetData>
  <x:mergeCells>
    <x:mergeCell ref="A1:I1"/>
    <x:mergeCell ref="A2:I2"/>
    <x:mergeCell ref="A11:I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25" hidden="0" customWidth="1"/>
    <x:col min="5" max="5" width="34" hidden="0" customWidth="1"/>
    <x:col min="6" max="6" width="38" hidden="0" customWidth="1"/>
    <x:col min="7" max="7" width="12" hidden="0" customWidth="1"/>
  </x:cols>
  <x:sheetData>
    <x:row r="1" ht="30" customHeight="1">
      <x:c r="A1" s="3" t="str">
        <x:v>第18轮分歧裁决｜第19轮取舍</x:v>
      </x:c>
      <x:c r="B1" s="3" t="str">
        <x:v>第18轮分歧裁决｜第19轮取舍</x:v>
      </x:c>
      <x:c r="C1" s="3" t="str">
        <x:v>第18轮分歧裁决｜第19轮取舍</x:v>
      </x:c>
      <x:c r="D1" s="3" t="str">
        <x:v>第18轮分歧裁决｜第19轮取舍</x:v>
      </x:c>
      <x:c r="E1" s="3" t="str">
        <x:v>第18轮分歧裁决｜第19轮取舍</x:v>
      </x:c>
      <x:c r="F1" s="3" t="str">
        <x:v>第18轮分歧裁决｜第19轮取舍</x:v>
      </x:c>
      <x:c r="G1" s="3" t="str">
        <x:v>第18轮分歧裁决｜第19轮取舍</x:v>
      </x:c>
    </x:row>
    <x:row r="2" ht="25" customHeight="1">
      <x:c r="A2" s="7" t="str">
        <x:v>只保留能进入灵植表、丹方表与组合表的结论；旧口径不再并回</x:v>
      </x:c>
      <x:c r="B2" s="7" t="str">
        <x:v>只保留能进入灵植表、丹方表与组合表的结论；旧口径不再并回</x:v>
      </x:c>
      <x:c r="C2" s="7" t="str">
        <x:v>只保留能进入灵植表、丹方表与组合表的结论；旧口径不再并回</x:v>
      </x:c>
      <x:c r="D2" s="7" t="str">
        <x:v>只保留能进入灵植表、丹方表与组合表的结论；旧口径不再并回</x:v>
      </x:c>
      <x:c r="E2" s="7" t="str">
        <x:v>只保留能进入灵植表、丹方表与组合表的结论；旧口径不再并回</x:v>
      </x:c>
      <x:c r="F2" s="7" t="str">
        <x:v>只保留能进入灵植表、丹方表与组合表的结论；旧口径不再并回</x:v>
      </x:c>
      <x:c r="G2" s="7" t="str">
        <x:v>只保留能进入灵植表、丹方表与组合表的结论；旧口径不再并回</x:v>
      </x:c>
    </x:row>
    <x:row r="3">
      <x:c r="A3" s="25"/>
      <x:c r="B3" s="25"/>
      <x:c r="C3" s="25"/>
      <x:c r="D3" s="25"/>
      <x:c r="E3" s="25"/>
      <x:c r="F3" s="25"/>
      <x:c r="G3" s="25"/>
    </x:row>
    <x:row r="4">
      <x:c r="A4" s="12" t="str">
        <x:v>议题</x:v>
      </x:c>
      <x:c r="B4" s="12" t="str">
        <x:v>小G18</x:v>
      </x:c>
      <x:c r="C4" s="12" t="str">
        <x:v>小C18</x:v>
      </x:c>
      <x:c r="D4" s="12" t="str">
        <x:v>小龙18</x:v>
      </x:c>
      <x:c r="E4" s="12" t="str">
        <x:v>第19轮裁决</x:v>
      </x:c>
      <x:c r="F4" s="12" t="str">
        <x:v>理由</x:v>
      </x:c>
      <x:c r="G4" s="12" t="str">
        <x:v>状态</x:v>
      </x:c>
    </x:row>
    <x:row r="5">
      <x:c r="A5" s="16" t="str">
        <x:v>君是否带行味</x:v>
      </x:c>
      <x:c r="B5" s="16" t="str">
        <x:v>不带</x:v>
      </x:c>
      <x:c r="C5" s="16" t="str">
        <x:v>不带，丹核括号释义</x:v>
      </x:c>
      <x:c r="D5" s="16" t="str">
        <x:v>主张带</x:v>
      </x:c>
      <x:c r="E5" s="23" t="str">
        <x:v>不带；括号显示行味释义</x:v>
      </x:c>
      <x:c r="F5" s="16" t="str">
        <x:v>零无效字段又保留口诀</x:v>
      </x:c>
      <x:c r="G5" s="16" t="str">
        <x:v>冻结</x:v>
      </x:c>
    </x:row>
    <x:row r="6">
      <x:c r="A6" s="16" t="str">
        <x:v>丹方是否绑ID</x:v>
      </x:c>
      <x:c r="B6" s="16" t="str">
        <x:v>只绑君ID</x:v>
      </x:c>
      <x:c r="C6" s="16" t="str">
        <x:v>固定君材</x:v>
      </x:c>
      <x:c r="D6" s="16" t="str">
        <x:v>不绑任何ID</x:v>
      </x:c>
      <x:c r="E6" s="23" t="str">
        <x:v>主表只绑君；组合表绑四材</x:v>
      </x:c>
      <x:c r="F6" s="16" t="str">
        <x:v>兼顾结构方与具体解</x:v>
      </x:c>
      <x:c r="G6" s="16" t="str">
        <x:v>冻结</x:v>
      </x:c>
    </x:row>
    <x:row r="7">
      <x:c r="A7" s="16" t="str">
        <x:v>合法解与认证解</x:v>
      </x:c>
      <x:c r="B7" s="16" t="str">
        <x:v>首版只认认证</x:v>
      </x:c>
      <x:c r="C7" s="16" t="str">
        <x:v>两层并存</x:v>
      </x:c>
      <x:c r="D7" s="16" t="str">
        <x:v>倾向全属性求解</x:v>
      </x:c>
      <x:c r="E7" s="23" t="str">
        <x:v>两层并存，试方后开放合法解</x:v>
      </x:c>
      <x:c r="F7" s="16" t="str">
        <x:v>教学与探索分层</x:v>
      </x:c>
      <x:c r="G7" s="16" t="str">
        <x:v>冻结</x:v>
      </x:c>
    </x:row>
    <x:row r="8">
      <x:c r="A8" s="16" t="str">
        <x:v>每格可放几种</x:v>
      </x:c>
      <x:c r="B8" s="16" t="str">
        <x:v>一格一物种</x:v>
      </x:c>
      <x:c r="C8" s="16" t="str">
        <x:v>臣佐可多物种</x:v>
      </x:c>
      <x:c r="D8" s="16" t="str">
        <x:v>未收死</x:v>
      </x:c>
      <x:c r="E8" s="23" t="str">
        <x:v>首版一格一物种</x:v>
      </x:c>
      <x:c r="F8" s="16" t="str">
        <x:v>把N压到可学区间</x:v>
      </x:c>
      <x:c r="G8" s="16" t="str">
        <x:v>冻结</x:v>
      </x:c>
    </x:row>
    <x:row r="9">
      <x:c r="A9" s="16" t="str">
        <x:v>筑基池规模</x:v>
      </x:c>
      <x:c r="B9" s="16" t="str">
        <x:v>45株</x:v>
      </x:c>
      <x:c r="C9" s="16" t="str">
        <x:v>47株</x:v>
      </x:c>
      <x:c r="D9" s="16" t="str">
        <x:v>约64株三境</x:v>
      </x:c>
      <x:c r="E9" s="23" t="str">
        <x:v>48株/境</x:v>
      </x:c>
      <x:c r="F9" s="16" t="str">
        <x:v>大小突破按用户要求分君</x:v>
      </x:c>
      <x:c r="G9" s="16" t="str">
        <x:v>修正</x:v>
      </x:c>
    </x:row>
    <x:row r="10">
      <x:c r="A10" s="16" t="str">
        <x:v>君力最低</x:v>
      </x:c>
      <x:c r="B10" s="16" t="str">
        <x:v>未设比例</x:v>
      </x:c>
      <x:c r="C10" s="16" t="str">
        <x:v>至少全炉30%</x:v>
      </x:c>
      <x:c r="D10" s="16" t="str">
        <x:v>分槽门槛</x:v>
      </x:c>
      <x:c r="E10" s="23" t="str">
        <x:v>采30%，显示最低君力</x:v>
      </x:c>
      <x:c r="F10" s="16" t="str">
        <x:v>保主药身份与经济锚</x:v>
      </x:c>
      <x:c r="G10" s="16" t="str">
        <x:v>冻结</x:v>
      </x:c>
    </x:row>
    <x:row r="11">
      <x:c r="A11" s="16" t="str">
        <x:v>使药损耗</x:v>
      </x:c>
      <x:c r="B11" s="16" t="str">
        <x:v>未设</x:v>
      </x:c>
      <x:c r="C11" s="16" t="str">
        <x:v>品质决定0—12%损耗，可不放</x:v>
      </x:c>
      <x:c r="D11" s="16" t="str">
        <x:v>未设</x:v>
      </x:c>
      <x:c r="E11" s="23" t="str">
        <x:v>第一版不加；使材必放</x:v>
      </x:c>
      <x:c r="F11" s="16" t="str">
        <x:v>避免重复结算与无目的地成丹</x:v>
      </x:c>
      <x:c r="G11" s="16" t="str">
        <x:v>后置</x:v>
      </x:c>
    </x:row>
    <x:row r="12">
      <x:c r="A12" s="16" t="str">
        <x:v>经济三档</x:v>
      </x:c>
      <x:c r="B12" s="16" t="str">
        <x:v>廉价/标准/精炼是组合类型</x:v>
      </x:c>
      <x:c r="C12" s="16" t="str">
        <x:v>灵植物种分三档</x:v>
      </x:c>
      <x:c r="D12" s="16" t="str">
        <x:v>未明确</x:v>
      </x:c>
      <x:c r="E12" s="23" t="str">
        <x:v>保留内部经济档；玩家看真数值</x:v>
      </x:c>
      <x:c r="F12" s="16" t="str">
        <x:v>避免与品质轴混淆</x:v>
      </x:c>
      <x:c r="G12" s="16" t="str">
        <x:v>冻结</x:v>
      </x:c>
    </x:row>
    <x:row r="13">
      <x:c r="A13" s="16" t="str">
        <x:v>佐材五性</x:v>
      </x:c>
      <x:c r="B13" s="16" t="str">
        <x:v>五性齐全</x:v>
      </x:c>
      <x:c r="C13" s="16" t="str">
        <x:v>实算证明五性齐全</x:v>
      </x:c>
      <x:c r="D13" s="16" t="str">
        <x:v>未裁</x:v>
      </x:c>
      <x:c r="E13" s="23" t="str">
        <x:v>五性各一为下限</x:v>
      </x:c>
      <x:c r="F13" s="16" t="str">
        <x:v>防止死方</x:v>
      </x:c>
      <x:c r="G13" s="16" t="str">
        <x:v>冻结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5" hidden="0" customWidth="1"/>
    <x:col min="4" max="4" width="18" hidden="0" customWidth="1"/>
    <x:col min="5" max="5" width="14" hidden="0" customWidth="1"/>
    <x:col min="6" max="6" width="36" hidden="0" customWidth="1"/>
    <x:col min="7" max="7" width="32" hidden="0" customWidth="1"/>
  </x:cols>
  <x:sheetData>
    <x:row r="1" ht="30" customHeight="1">
      <x:c r="A1" s="3" t="str">
        <x:v>丹方主表最终字段</x:v>
      </x:c>
      <x:c r="B1" s="3" t="str">
        <x:v>丹方主表最终字段</x:v>
      </x:c>
      <x:c r="C1" s="3" t="str">
        <x:v>丹方主表最终字段</x:v>
      </x:c>
      <x:c r="D1" s="3" t="str">
        <x:v>丹方主表最终字段</x:v>
      </x:c>
      <x:c r="E1" s="3" t="str">
        <x:v>丹方主表最终字段</x:v>
      </x:c>
      <x:c r="F1" s="3" t="str">
        <x:v>丹方主表最终字段</x:v>
      </x:c>
      <x:c r="G1" s="3" t="str">
        <x:v>丹方主表最终字段</x:v>
      </x:c>
    </x:row>
    <x:row r="2" ht="25" customHeight="1">
      <x:c r="A2" s="7" t="str">
        <x:v>一行一张丹方；只绑定君材ID，不绑定臣佐使具体ID</x:v>
      </x:c>
      <x:c r="B2" s="7" t="str">
        <x:v>一行一张丹方；只绑定君材ID，不绑定臣佐使具体ID</x:v>
      </x:c>
      <x:c r="C2" s="7" t="str">
        <x:v>一行一张丹方；只绑定君材ID，不绑定臣佐使具体ID</x:v>
      </x:c>
      <x:c r="D2" s="7" t="str">
        <x:v>一行一张丹方；只绑定君材ID，不绑定臣佐使具体ID</x:v>
      </x:c>
      <x:c r="E2" s="7" t="str">
        <x:v>一行一张丹方；只绑定君材ID，不绑定臣佐使具体ID</x:v>
      </x:c>
      <x:c r="F2" s="7" t="str">
        <x:v>一行一张丹方；只绑定君材ID，不绑定臣佐使具体ID</x:v>
      </x:c>
      <x:c r="G2" s="7" t="str">
        <x:v>一行一张丹方；只绑定君材ID，不绑定臣佐使具体ID</x:v>
      </x:c>
    </x:row>
    <x:row r="3">
      <x:c r="A3" s="25"/>
      <x:c r="B3" s="25"/>
      <x:c r="C3" s="25"/>
      <x:c r="D3" s="25"/>
      <x:c r="E3" s="25"/>
      <x:c r="F3" s="25"/>
      <x:c r="G3" s="25"/>
    </x:row>
    <x:row r="4">
      <x:c r="A4" s="12" t="str">
        <x:v>字段</x:v>
      </x:c>
      <x:c r="B4" s="12" t="str">
        <x:v>必填</x:v>
      </x:c>
      <x:c r="C4" s="12" t="str">
        <x:v>类型/枚举</x:v>
      </x:c>
      <x:c r="D4" s="12" t="str">
        <x:v>谁填写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17" t="str">
        <x:v>formula_id</x:v>
      </x:c>
      <x:c r="B5" s="16" t="str">
        <x:v>是</x:v>
      </x:c>
      <x:c r="C5" s="16" t="str">
        <x:v>文本主键</x:v>
      </x:c>
      <x:c r="D5" s="16" t="str">
        <x:v>策划</x:v>
      </x:c>
      <x:c r="E5" s="16" t="str">
        <x:v>否</x:v>
      </x:c>
      <x:c r="F5" s="16" t="str">
        <x:v>跨表引用</x:v>
      </x:c>
      <x:c r="G5" s="16" t="str">
        <x:v>F-ZJ-01</x:v>
      </x:c>
    </x:row>
    <x:row r="6">
      <x:c r="A6" s="17" t="str">
        <x:v>丹名</x:v>
      </x:c>
      <x:c r="B6" s="16" t="str">
        <x:v>是</x:v>
      </x:c>
      <x:c r="C6" s="16" t="str">
        <x:v>文本</x:v>
      </x:c>
      <x:c r="D6" s="16" t="str">
        <x:v>文案</x:v>
      </x:c>
      <x:c r="E6" s="16" t="str">
        <x:v>是</x:v>
      </x:c>
      <x:c r="F6" s="16" t="str">
        <x:v>玩家识别</x:v>
      </x:c>
      <x:c r="G6" s="16" t="str">
        <x:v>聚元丹</x:v>
      </x:c>
    </x:row>
    <x:row r="7">
      <x:c r="A7" s="17" t="str">
        <x:v>四族/九类/子功能</x:v>
      </x:c>
      <x:c r="B7" s="16" t="str">
        <x:v>是</x:v>
      </x:c>
      <x:c r="C7" s="16" t="str">
        <x:v>枚举</x:v>
      </x:c>
      <x:c r="D7" s="16" t="str">
        <x:v>系统策划</x:v>
      </x:c>
      <x:c r="E7" s="16" t="str">
        <x:v>是</x:v>
      </x:c>
      <x:c r="F7" s="16" t="str">
        <x:v>分类与UI筛选</x:v>
      </x:c>
      <x:c r="G7" s="16" t="str">
        <x:v>养/修为/精进</x:v>
      </x:c>
    </x:row>
    <x:row r="8">
      <x:c r="A8" s="17" t="str">
        <x:v>境界</x:v>
      </x:c>
      <x:c r="B8" s="16" t="str">
        <x:v>是</x:v>
      </x:c>
      <x:c r="C8" s="16" t="str">
        <x:v>1—8/全局</x:v>
      </x:c>
      <x:c r="D8" s="16" t="str">
        <x:v>系统策划</x:v>
      </x:c>
      <x:c r="E8" s="16" t="str">
        <x:v>是</x:v>
      </x:c>
      <x:c r="F8" s="16" t="str">
        <x:v>药力与产区带</x:v>
      </x:c>
      <x:c r="G8" s="16" t="str">
        <x:v>筑基</x:v>
      </x:c>
    </x:row>
    <x:row r="9">
      <x:c r="A9" s="17" t="str">
        <x:v>dan_core_id</x:v>
      </x:c>
      <x:c r="B9" s="16" t="str">
        <x:v>是</x:v>
      </x:c>
      <x:c r="C9" s="16" t="str">
        <x:v>丹核ID</x:v>
      </x:c>
      <x:c r="D9" s="16" t="str">
        <x:v>系统策划</x:v>
      </x:c>
      <x:c r="E9" s="16" t="str">
        <x:v>解释显示</x:v>
      </x:c>
      <x:c r="F9" s="16" t="str">
        <x:v>定义主效身份</x:v>
      </x:c>
      <x:c r="G9" s="16" t="str">
        <x:v>修为（土·甘）</x:v>
      </x:c>
    </x:row>
    <x:row r="10">
      <x:c r="A10" s="17" t="str">
        <x:v>jun_material_id</x:v>
      </x:c>
      <x:c r="B10" s="16" t="str">
        <x:v>是</x:v>
      </x:c>
      <x:c r="C10" s="16" t="str">
        <x:v>灵植ID</x:v>
      </x:c>
      <x:c r="D10" s="16" t="str">
        <x:v>内容策划</x:v>
      </x:c>
      <x:c r="E10" s="16" t="str">
        <x:v>是</x:v>
      </x:c>
      <x:c r="F10" s="16" t="str">
        <x:v>唯一君材</x:v>
      </x:c>
      <x:c r="G10" s="16" t="str">
        <x:v>J-ZJ-01</x:v>
      </x:c>
    </x:row>
    <x:row r="11">
      <x:c r="A11" s="17" t="str">
        <x:v>君材共享组</x:v>
      </x:c>
      <x:c r="B11" s="16" t="str">
        <x:v>是</x:v>
      </x:c>
      <x:c r="C11" s="16" t="str">
        <x:v>文本组ID</x:v>
      </x:c>
      <x:c r="D11" s="16" t="str">
        <x:v>系统策划</x:v>
      </x:c>
      <x:c r="E11" s="16" t="str">
        <x:v>否</x:v>
      </x:c>
      <x:c r="F11" s="16" t="str">
        <x:v>回灵/疗伤可共享；突破分开</x:v>
      </x:c>
      <x:c r="G11" s="16" t="str">
        <x:v>CORE-RECOVER-ZJ</x:v>
      </x:c>
    </x:row>
    <x:row r="12">
      <x:c r="A12" s="17" t="str">
        <x:v>臣行</x:v>
      </x:c>
      <x:c r="B12" s="16" t="str">
        <x:v>是</x:v>
      </x:c>
      <x:c r="C12" s="16" t="str">
        <x:v>金木水火土</x:v>
      </x:c>
      <x:c r="D12" s="16" t="str">
        <x:v>系统策划</x:v>
      </x:c>
      <x:c r="E12" s="16" t="str">
        <x:v>是</x:v>
      </x:c>
      <x:c r="F12" s="16" t="str">
        <x:v>动作方式</x:v>
      </x:c>
      <x:c r="G12" s="16" t="str">
        <x:v>土</x:v>
      </x:c>
    </x:row>
    <x:row r="13">
      <x:c r="A13" s="17" t="str">
        <x:v>使味</x:v>
      </x:c>
      <x:c r="B13" s="16" t="str">
        <x:v>是</x:v>
      </x:c>
      <x:c r="C13" s="16" t="str">
        <x:v>酸苦甘辛咸</x:v>
      </x:c>
      <x:c r="D13" s="16" t="str">
        <x:v>系统策划</x:v>
      </x:c>
      <x:c r="E13" s="16" t="str">
        <x:v>是</x:v>
      </x:c>
      <x:c r="F13" s="16" t="str">
        <x:v>归经位置</x:v>
      </x:c>
      <x:c r="G13" s="16" t="str">
        <x:v>甘</x:v>
      </x:c>
    </x:row>
    <x:row r="14">
      <x:c r="A14" s="17" t="str">
        <x:v>目标方性</x:v>
      </x:c>
      <x:c r="B14" s="16" t="str">
        <x:v>是</x:v>
      </x:c>
      <x:c r="C14" s="16" t="str">
        <x:v>−2…+2</x:v>
      </x:c>
      <x:c r="D14" s="16" t="str">
        <x:v>系统策划</x:v>
      </x:c>
      <x:c r="E14" s="16" t="str">
        <x:v>是</x:v>
      </x:c>
      <x:c r="F14" s="16" t="str">
        <x:v>全炉配平目标</x:v>
      </x:c>
      <x:c r="G14" s="16" t="str">
        <x:v>0</x:v>
      </x:c>
    </x:row>
    <x:row r="15">
      <x:c r="A15" s="17" t="str">
        <x:v>总药力门槛</x:v>
      </x:c>
      <x:c r="B15" s="16" t="str">
        <x:v>是</x:v>
      </x:c>
      <x:c r="C15" s="16" t="str">
        <x:v>数值</x:v>
      </x:c>
      <x:c r="D15" s="16" t="str">
        <x:v>数值策划</x:v>
      </x:c>
      <x:c r="E15" s="16" t="str">
        <x:v>是</x:v>
      </x:c>
      <x:c r="F15" s="16" t="str">
        <x:v>境界门槛</x:v>
      </x:c>
      <x:c r="G15" s="16" t="str">
        <x:v>24</x:v>
      </x:c>
    </x:row>
    <x:row r="16">
      <x:c r="A16" s="17" t="str">
        <x:v>君力最低值</x:v>
      </x:c>
      <x:c r="B16" s="16" t="str">
        <x:v>是</x:v>
      </x:c>
      <x:c r="C16" s="16" t="str">
        <x:v>公式/数值</x:v>
      </x:c>
      <x:c r="D16" s="16" t="str">
        <x:v>系统计算</x:v>
      </x:c>
      <x:c r="E16" s="16" t="str">
        <x:v>是</x:v>
      </x:c>
      <x:c r="F16" s="16" t="str">
        <x:v>总门槛×30%向上取整</x:v>
      </x:c>
      <x:c r="G16" s="16" t="str">
        <x:v>8</x:v>
      </x:c>
    </x:row>
    <x:row r="17">
      <x:c r="A17" s="17" t="str">
        <x:v>总份数上限</x:v>
      </x:c>
      <x:c r="B17" s="16" t="str">
        <x:v>是</x:v>
      </x:c>
      <x:c r="C17" s="16" t="str">
        <x:v>整数</x:v>
      </x:c>
      <x:c r="D17" s="16" t="str">
        <x:v>数值策划</x:v>
      </x:c>
      <x:c r="E17" s="16" t="str">
        <x:v>是</x:v>
      </x:c>
      <x:c r="F17" s="16" t="str">
        <x:v>丹炉容量</x:v>
      </x:c>
      <x:c r="G17" s="16" t="str">
        <x:v>8</x:v>
      </x:c>
    </x:row>
    <x:row r="18">
      <x:c r="A18" s="17" t="str">
        <x:v>N合法</x:v>
      </x:c>
      <x:c r="B18" s="16" t="str">
        <x:v>公式</x:v>
      </x:c>
      <x:c r="C18" s="16" t="str">
        <x:v>整数</x:v>
      </x:c>
      <x:c r="D18" s="16" t="str">
        <x:v>程序计算</x:v>
      </x:c>
      <x:c r="E18" s="16" t="str">
        <x:v>进阶显示</x:v>
      </x:c>
      <x:c r="F18" s="16" t="str">
        <x:v>当前池全部合法物种组合</x:v>
      </x:c>
      <x:c r="G18" s="16" t="str">
        <x:v>9</x:v>
      </x:c>
    </x:row>
    <x:row r="19">
      <x:c r="A19" s="17" t="str">
        <x:v>N认证</x:v>
      </x:c>
      <x:c r="B19" s="16" t="str">
        <x:v>是</x:v>
      </x:c>
      <x:c r="C19" s="16" t="str">
        <x:v>3—6</x:v>
      </x:c>
      <x:c r="D19" s="16" t="str">
        <x:v>内容策划</x:v>
      </x:c>
      <x:c r="E19" s="16" t="str">
        <x:v>是</x:v>
      </x:c>
      <x:c r="F19" s="16" t="str">
        <x:v>默认教学组合数</x:v>
      </x:c>
      <x:c r="G19" s="16" t="str">
        <x:v>3</x:v>
      </x:c>
    </x:row>
    <x:row r="20">
      <x:c r="A20" s="17" t="str">
        <x:v>效果/代价/售价</x:v>
      </x:c>
      <x:c r="B20" s="16" t="str">
        <x:v>是</x:v>
      </x:c>
      <x:c r="C20" s="16" t="str">
        <x:v>结构字段</x:v>
      </x:c>
      <x:c r="D20" s="16" t="str">
        <x:v>数值策划</x:v>
      </x:c>
      <x:c r="E20" s="16" t="str">
        <x:v>是</x:v>
      </x:c>
      <x:c r="F20" s="16" t="str">
        <x:v>战斗与经济结算</x:v>
      </x:c>
      <x:c r="G20" s="16" t="str">
        <x:v>修为+X/丹毒Y/120</x:v>
      </x:c>
    </x:row>
    <x:row r="21">
      <x:c r="A21" s="17" t="str">
        <x:v>古意/白话</x:v>
      </x:c>
      <x:c r="B21" s="16" t="str">
        <x:v>是</x:v>
      </x:c>
      <x:c r="C21" s="16" t="str">
        <x:v>文本</x:v>
      </x:c>
      <x:c r="D21" s="16" t="str">
        <x:v>文案</x:v>
      </x:c>
      <x:c r="E21" s="16" t="str">
        <x:v>是</x:v>
      </x:c>
      <x:c r="F21" s="16" t="str">
        <x:v>世界观与学习</x:v>
      </x:c>
      <x:c r="G21" s="16" t="str">
        <x:v>土藏其气/存进丹田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5" hidden="0" customWidth="1"/>
    <x:col min="4" max="4" width="18" hidden="0" customWidth="1"/>
    <x:col min="5" max="5" width="14" hidden="0" customWidth="1"/>
    <x:col min="6" max="6" width="36" hidden="0" customWidth="1"/>
    <x:col min="7" max="7" width="32" hidden="0" customWidth="1"/>
  </x:cols>
  <x:sheetData>
    <x:row r="1" ht="30" customHeight="1">
      <x:c r="A1" s="3" t="str">
        <x:v>灵植主表最终字段</x:v>
      </x:c>
      <x:c r="B1" s="3" t="str">
        <x:v>灵植主表最终字段</x:v>
      </x:c>
      <x:c r="C1" s="3" t="str">
        <x:v>灵植主表最终字段</x:v>
      </x:c>
      <x:c r="D1" s="3" t="str">
        <x:v>灵植主表最终字段</x:v>
      </x:c>
      <x:c r="E1" s="3" t="str">
        <x:v>灵植主表最终字段</x:v>
      </x:c>
      <x:c r="F1" s="3" t="str">
        <x:v>灵植主表最终字段</x:v>
      </x:c>
      <x:c r="G1" s="3" t="str">
        <x:v>灵植主表最终字段</x:v>
      </x:c>
    </x:row>
    <x:row r="2" ht="25" customHeight="1">
      <x:c r="A2" s="7" t="str">
        <x:v>一行一个物种；只显示真实参与判定的属性，经济档为内部标签</x:v>
      </x:c>
      <x:c r="B2" s="7" t="str">
        <x:v>一行一个物种；只显示真实参与判定的属性，经济档为内部标签</x:v>
      </x:c>
      <x:c r="C2" s="7" t="str">
        <x:v>一行一个物种；只显示真实参与判定的属性，经济档为内部标签</x:v>
      </x:c>
      <x:c r="D2" s="7" t="str">
        <x:v>一行一个物种；只显示真实参与判定的属性，经济档为内部标签</x:v>
      </x:c>
      <x:c r="E2" s="7" t="str">
        <x:v>一行一个物种；只显示真实参与判定的属性，经济档为内部标签</x:v>
      </x:c>
      <x:c r="F2" s="7" t="str">
        <x:v>一行一个物种；只显示真实参与判定的属性，经济档为内部标签</x:v>
      </x:c>
      <x:c r="G2" s="7" t="str">
        <x:v>一行一个物种；只显示真实参与判定的属性，经济档为内部标签</x:v>
      </x:c>
    </x:row>
    <x:row r="3">
      <x:c r="A3" s="25"/>
      <x:c r="B3" s="25"/>
      <x:c r="C3" s="25"/>
      <x:c r="D3" s="25"/>
      <x:c r="E3" s="25"/>
      <x:c r="F3" s="25"/>
      <x:c r="G3" s="25"/>
    </x:row>
    <x:row r="4">
      <x:c r="A4" s="12" t="str">
        <x:v>字段</x:v>
      </x:c>
      <x:c r="B4" s="12" t="str">
        <x:v>必填</x:v>
      </x:c>
      <x:c r="C4" s="12" t="str">
        <x:v>类型/枚举</x:v>
      </x:c>
      <x:c r="D4" s="12" t="str">
        <x:v>谁填写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17" t="str">
        <x:v>material_id</x:v>
      </x:c>
      <x:c r="B5" s="16" t="str">
        <x:v>是</x:v>
      </x:c>
      <x:c r="C5" s="16" t="str">
        <x:v>文本主键</x:v>
      </x:c>
      <x:c r="D5" s="16" t="str">
        <x:v>内容策划</x:v>
      </x:c>
      <x:c r="E5" s="16" t="str">
        <x:v>否</x:v>
      </x:c>
      <x:c r="F5" s="16" t="str">
        <x:v>跨表引用</x:v>
      </x:c>
      <x:c r="G5" s="16" t="str">
        <x:v>M-ZJ-TU-01</x:v>
      </x:c>
    </x:row>
    <x:row r="6">
      <x:c r="A6" s="17" t="str">
        <x:v>名称/图标</x:v>
      </x:c>
      <x:c r="B6" s="16" t="str">
        <x:v>是</x:v>
      </x:c>
      <x:c r="C6" s="16" t="str">
        <x:v>文本/资源</x:v>
      </x:c>
      <x:c r="D6" s="16" t="str">
        <x:v>文案/美术</x:v>
      </x:c>
      <x:c r="E6" s="16" t="str">
        <x:v>是</x:v>
      </x:c>
      <x:c r="F6" s="16" t="str">
        <x:v>识别与收集</x:v>
      </x:c>
      <x:c r="G6" s="16" t="str">
        <x:v>厚元苔</x:v>
      </x:c>
    </x:row>
    <x:row r="7">
      <x:c r="A7" s="17" t="str">
        <x:v>材品</x:v>
      </x:c>
      <x:c r="B7" s="16" t="str">
        <x:v>是</x:v>
      </x:c>
      <x:c r="C7" s="16" t="str">
        <x:v>君/臣/佐/使</x:v>
      </x:c>
      <x:c r="D7" s="16" t="str">
        <x:v>系统策划</x:v>
      </x:c>
      <x:c r="E7" s="16" t="str">
        <x:v>是</x:v>
      </x:c>
      <x:c r="F7" s="16" t="str">
        <x:v>决定字段与槽位</x:v>
      </x:c>
      <x:c r="G7" s="16" t="str">
        <x:v>臣</x:v>
      </x:c>
    </x:row>
    <x:row r="8">
      <x:c r="A8" s="17" t="str">
        <x:v>境界带</x:v>
      </x:c>
      <x:c r="B8" s="16" t="str">
        <x:v>是</x:v>
      </x:c>
      <x:c r="C8" s="16" t="str">
        <x:v>1—8/全局</x:v>
      </x:c>
      <x:c r="D8" s="16" t="str">
        <x:v>内容策划</x:v>
      </x:c>
      <x:c r="E8" s="16" t="str">
        <x:v>是</x:v>
      </x:c>
      <x:c r="F8" s="16" t="str">
        <x:v>产区与药力带</x:v>
      </x:c>
      <x:c r="G8" s="16" t="str">
        <x:v>筑基</x:v>
      </x:c>
    </x:row>
    <x:row r="9">
      <x:c r="A9" s="17" t="str">
        <x:v>五性/性值</x:v>
      </x:c>
      <x:c r="B9" s="16" t="str">
        <x:v>是</x:v>
      </x:c>
      <x:c r="C9" s="16" t="str">
        <x:v>寒凉平温热/−2…2</x:v>
      </x:c>
      <x:c r="D9" s="16" t="str">
        <x:v>内容策划</x:v>
      </x:c>
      <x:c r="E9" s="16" t="str">
        <x:v>是</x:v>
      </x:c>
      <x:c r="F9" s="16" t="str">
        <x:v>所有材品都参与配平</x:v>
      </x:c>
      <x:c r="G9" s="16" t="str">
        <x:v>温/+1</x:v>
      </x:c>
    </x:row>
    <x:row r="10">
      <x:c r="A10" s="17" t="str">
        <x:v>基础药力</x:v>
      </x:c>
      <x:c r="B10" s="16" t="str">
        <x:v>是</x:v>
      </x:c>
      <x:c r="C10" s="16" t="str">
        <x:v>数值</x:v>
      </x:c>
      <x:c r="D10" s="16" t="str">
        <x:v>数值策划</x:v>
      </x:c>
      <x:c r="E10" s="16" t="str">
        <x:v>是</x:v>
      </x:c>
      <x:c r="F10" s="16" t="str">
        <x:v>单份药力</x:v>
      </x:c>
      <x:c r="G10" s="16" t="str">
        <x:v>3</x:v>
      </x:c>
    </x:row>
    <x:row r="11">
      <x:c r="A11" s="17" t="str">
        <x:v>丹核ID</x:v>
      </x:c>
      <x:c r="B11" s="16" t="str">
        <x:v>君材必填</x:v>
      </x:c>
      <x:c r="C11" s="16" t="str">
        <x:v>ID/空</x:v>
      </x:c>
      <x:c r="D11" s="16" t="str">
        <x:v>系统策划</x:v>
      </x:c>
      <x:c r="E11" s="16" t="str">
        <x:v>解释显示</x:v>
      </x:c>
      <x:c r="F11" s="16" t="str">
        <x:v>君定具体丹</x:v>
      </x:c>
      <x:c r="G11" s="16" t="str">
        <x:v>修为</x:v>
      </x:c>
    </x:row>
    <x:row r="12">
      <x:c r="A12" s="17" t="str">
        <x:v>五行</x:v>
      </x:c>
      <x:c r="B12" s="16" t="str">
        <x:v>臣材必填</x:v>
      </x:c>
      <x:c r="C12" s="16" t="str">
        <x:v>五行/空</x:v>
      </x:c>
      <x:c r="D12" s="16" t="str">
        <x:v>系统策划</x:v>
      </x:c>
      <x:c r="E12" s="16" t="str">
        <x:v>臣材显示</x:v>
      </x:c>
      <x:c r="F12" s="16" t="str">
        <x:v>臣定行</x:v>
      </x:c>
      <x:c r="G12" s="16" t="str">
        <x:v>土</x:v>
      </x:c>
    </x:row>
    <x:row r="13">
      <x:c r="A13" s="17" t="str">
        <x:v>五味</x:v>
      </x:c>
      <x:c r="B13" s="16" t="str">
        <x:v>使材必填</x:v>
      </x:c>
      <x:c r="C13" s="16" t="str">
        <x:v>五味/空</x:v>
      </x:c>
      <x:c r="D13" s="16" t="str">
        <x:v>系统策划</x:v>
      </x:c>
      <x:c r="E13" s="16" t="str">
        <x:v>使材显示</x:v>
      </x:c>
      <x:c r="F13" s="16" t="str">
        <x:v>使定味</x:v>
      </x:c>
      <x:c r="G13" s="16" t="str">
        <x:v>甘</x:v>
      </x:c>
    </x:row>
    <x:row r="14">
      <x:c r="A14" s="17" t="str">
        <x:v>基础价格</x:v>
      </x:c>
      <x:c r="B14" s="16" t="str">
        <x:v>是</x:v>
      </x:c>
      <x:c r="C14" s="16" t="str">
        <x:v>数值</x:v>
      </x:c>
      <x:c r="D14" s="16" t="str">
        <x:v>经济策划</x:v>
      </x:c>
      <x:c r="E14" s="16" t="str">
        <x:v>是</x:v>
      </x:c>
      <x:c r="F14" s="16" t="str">
        <x:v>成本与交易</x:v>
      </x:c>
      <x:c r="G14" s="16" t="str">
        <x:v>10</x:v>
      </x:c>
    </x:row>
    <x:row r="15">
      <x:c r="A15" s="17" t="str">
        <x:v>内部经济档</x:v>
      </x:c>
      <x:c r="B15" s="16" t="str">
        <x:v>是</x:v>
      </x:c>
      <x:c r="C15" s="16" t="str">
        <x:v>省心/常用/省钱</x:v>
      </x:c>
      <x:c r="D15" s="16" t="str">
        <x:v>经济策划</x:v>
      </x:c>
      <x:c r="E15" s="16" t="str">
        <x:v>否</x:v>
      </x:c>
      <x:c r="F15" s="16" t="str">
        <x:v>批量平衡标签</x:v>
      </x:c>
      <x:c r="G15" s="16" t="str">
        <x:v>常用</x:v>
      </x:c>
    </x:row>
    <x:row r="16">
      <x:c r="A16" s="17" t="str">
        <x:v>稀有度/产区/微生境</x:v>
      </x:c>
      <x:c r="B16" s="16" t="str">
        <x:v>是</x:v>
      </x:c>
      <x:c r="C16" s="16" t="str">
        <x:v>枚举/文本</x:v>
      </x:c>
      <x:c r="D16" s="16" t="str">
        <x:v>内容策划</x:v>
      </x:c>
      <x:c r="E16" s="16" t="str">
        <x:v>是</x:v>
      </x:c>
      <x:c r="F16" s="16" t="str">
        <x:v>探索与供给</x:v>
      </x:c>
      <x:c r="G16" s="16" t="str">
        <x:v>常见/河谷/湿岩</x:v>
      </x:c>
    </x:row>
    <x:row r="17">
      <x:c r="A17" s="17" t="str">
        <x:v>获取方式</x:v>
      </x:c>
      <x:c r="B17" s="16" t="str">
        <x:v>是</x:v>
      </x:c>
      <x:c r="C17" s="16" t="str">
        <x:v>采集/掉落/坊市等</x:v>
      </x:c>
      <x:c r="D17" s="16" t="str">
        <x:v>内容策划</x:v>
      </x:c>
      <x:c r="E17" s="16" t="str">
        <x:v>是</x:v>
      </x:c>
      <x:c r="F17" s="16" t="str">
        <x:v>玩法连接</x:v>
      </x:c>
      <x:c r="G17" s="16" t="str">
        <x:v>采集</x:v>
      </x:c>
    </x:row>
    <x:row r="18">
      <x:c r="A18" s="17" t="str">
        <x:v>古意/白话</x:v>
      </x:c>
      <x:c r="B18" s="16" t="str">
        <x:v>是</x:v>
      </x:c>
      <x:c r="C18" s="16" t="str">
        <x:v>文本</x:v>
      </x:c>
      <x:c r="D18" s="16" t="str">
        <x:v>文案</x:v>
      </x:c>
      <x:c r="E18" s="16" t="str">
        <x:v>是</x:v>
      </x:c>
      <x:c r="F18" s="16" t="str">
        <x:v>记忆与世界观</x:v>
      </x:c>
      <x:c r="G18" s="16" t="str">
        <x:v>性温主载/土行帮手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5" hidden="0" customWidth="1"/>
    <x:col min="4" max="4" width="18" hidden="0" customWidth="1"/>
    <x:col min="5" max="5" width="14" hidden="0" customWidth="1"/>
    <x:col min="6" max="6" width="36" hidden="0" customWidth="1"/>
    <x:col min="7" max="7" width="32" hidden="0" customWidth="1"/>
  </x:cols>
  <x:sheetData>
    <x:row r="1" ht="30" customHeight="1">
      <x:c r="A1" s="3" t="str">
        <x:v>认证组合子表最终字段</x:v>
      </x:c>
      <x:c r="B1" s="3" t="str">
        <x:v>认证组合子表最终字段</x:v>
      </x:c>
      <x:c r="C1" s="3" t="str">
        <x:v>认证组合子表最终字段</x:v>
      </x:c>
      <x:c r="D1" s="3" t="str">
        <x:v>认证组合子表最终字段</x:v>
      </x:c>
      <x:c r="E1" s="3" t="str">
        <x:v>认证组合子表最终字段</x:v>
      </x:c>
      <x:c r="F1" s="3" t="str">
        <x:v>认证组合子表最终字段</x:v>
      </x:c>
      <x:c r="G1" s="3" t="str">
        <x:v>认证组合子表最终字段</x:v>
      </x:c>
    </x:row>
    <x:row r="2" ht="25" customHeight="1">
      <x:c r="A2" s="7" t="str">
        <x:v>一行是一张丹方的一套认证答案；同物种换品质或数量不增加组合号</x:v>
      </x:c>
      <x:c r="B2" s="7" t="str">
        <x:v>一行是一张丹方的一套认证答案；同物种换品质或数量不增加组合号</x:v>
      </x:c>
      <x:c r="C2" s="7" t="str">
        <x:v>一行是一张丹方的一套认证答案；同物种换品质或数量不增加组合号</x:v>
      </x:c>
      <x:c r="D2" s="7" t="str">
        <x:v>一行是一张丹方的一套认证答案；同物种换品质或数量不增加组合号</x:v>
      </x:c>
      <x:c r="E2" s="7" t="str">
        <x:v>一行是一张丹方的一套认证答案；同物种换品质或数量不增加组合号</x:v>
      </x:c>
      <x:c r="F2" s="7" t="str">
        <x:v>一行是一张丹方的一套认证答案；同物种换品质或数量不增加组合号</x:v>
      </x:c>
      <x:c r="G2" s="7" t="str">
        <x:v>一行是一张丹方的一套认证答案；同物种换品质或数量不增加组合号</x:v>
      </x:c>
    </x:row>
    <x:row r="3">
      <x:c r="A3" s="25"/>
      <x:c r="B3" s="25"/>
      <x:c r="C3" s="25"/>
      <x:c r="D3" s="25"/>
      <x:c r="E3" s="25"/>
      <x:c r="F3" s="25"/>
      <x:c r="G3" s="25"/>
    </x:row>
    <x:row r="4">
      <x:c r="A4" s="12" t="str">
        <x:v>字段</x:v>
      </x:c>
      <x:c r="B4" s="12" t="str">
        <x:v>必填</x:v>
      </x:c>
      <x:c r="C4" s="12" t="str">
        <x:v>类型/枚举</x:v>
      </x:c>
      <x:c r="D4" s="12" t="str">
        <x:v>谁填写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17" t="str">
        <x:v>formula_id+combo_no</x:v>
      </x:c>
      <x:c r="B5" s="16" t="str">
        <x:v>是</x:v>
      </x:c>
      <x:c r="C5" s="16" t="str">
        <x:v>复合主键</x:v>
      </x:c>
      <x:c r="D5" s="16" t="str">
        <x:v>内容策划</x:v>
      </x:c>
      <x:c r="E5" s="16" t="str">
        <x:v>否</x:v>
      </x:c>
      <x:c r="F5" s="16" t="str">
        <x:v>唯一定位组合</x:v>
      </x:c>
      <x:c r="G5" s="16" t="str">
        <x:v>F-ZJ-01/01</x:v>
      </x:c>
    </x:row>
    <x:row r="6">
      <x:c r="A6" s="17" t="str">
        <x:v>组合类型</x:v>
      </x:c>
      <x:c r="B6" s="16" t="str">
        <x:v>是</x:v>
      </x:c>
      <x:c r="C6" s="16" t="str">
        <x:v>廉价/标准/精炼/本地/省份/秘传</x:v>
      </x:c>
      <x:c r="D6" s="16" t="str">
        <x:v>内容策划</x:v>
      </x:c>
      <x:c r="E6" s="16" t="str">
        <x:v>是</x:v>
      </x:c>
      <x:c r="F6" s="16" t="str">
        <x:v>解释选择理由</x:v>
      </x:c>
      <x:c r="G6" s="16" t="str">
        <x:v>廉价</x:v>
      </x:c>
    </x:row>
    <x:row r="7">
      <x:c r="A7" s="17" t="str">
        <x:v>君/臣/佐/使ID</x:v>
      </x:c>
      <x:c r="B7" s="16" t="str">
        <x:v>是</x:v>
      </x:c>
      <x:c r="C7" s="16" t="str">
        <x:v>4个灵植ID</x:v>
      </x:c>
      <x:c r="D7" s="16" t="str">
        <x:v>内容策划</x:v>
      </x:c>
      <x:c r="E7" s="16" t="str">
        <x:v>是</x:v>
      </x:c>
      <x:c r="F7" s="16" t="str">
        <x:v>固定物种骨架</x:v>
      </x:c>
      <x:c r="G7" s="16" t="str">
        <x:v>J01/M01/A01/E01</x:v>
      </x:c>
    </x:row>
    <x:row r="8">
      <x:c r="A8" s="17" t="str">
        <x:v>推荐品质</x:v>
      </x:c>
      <x:c r="B8" s="16" t="str">
        <x:v>是</x:v>
      </x:c>
      <x:c r="C8" s="16" t="str">
        <x:v>逐槽品质</x:v>
      </x:c>
      <x:c r="D8" s="16" t="str">
        <x:v>数值策划</x:v>
      </x:c>
      <x:c r="E8" s="16" t="str">
        <x:v>是</x:v>
      </x:c>
      <x:c r="F8" s="16" t="str">
        <x:v>教学默认值</x:v>
      </x:c>
      <x:c r="G8" s="16" t="str">
        <x:v>灵/凡/凡/灵</x:v>
      </x:c>
    </x:row>
    <x:row r="9">
      <x:c r="A9" s="17" t="str">
        <x:v>推荐份数</x:v>
      </x:c>
      <x:c r="B9" s="16" t="str">
        <x:v>是</x:v>
      </x:c>
      <x:c r="C9" s="16" t="str">
        <x:v>逐槽整数</x:v>
      </x:c>
      <x:c r="D9" s="16" t="str">
        <x:v>数值策划</x:v>
      </x:c>
      <x:c r="E9" s="16" t="str">
        <x:v>是</x:v>
      </x:c>
      <x:c r="F9" s="16" t="str">
        <x:v>教学默认值</x:v>
      </x:c>
      <x:c r="G9" s="16" t="str">
        <x:v>2/2/1/1</x:v>
      </x:c>
    </x:row>
    <x:row r="10">
      <x:c r="A10" s="17" t="str">
        <x:v>方性校验</x:v>
      </x:c>
      <x:c r="B10" s="16" t="str">
        <x:v>公式</x:v>
      </x:c>
      <x:c r="C10" s="16" t="str">
        <x:v>通过/失败</x:v>
      </x:c>
      <x:c r="D10" s="16" t="str">
        <x:v>系统计算</x:v>
      </x:c>
      <x:c r="E10" s="16" t="str">
        <x:v>是</x:v>
      </x:c>
      <x:c r="F10" s="16" t="str">
        <x:v>四材性各算一次</x:v>
      </x:c>
      <x:c r="G10" s="16" t="str">
        <x:v>通过</x:v>
      </x:c>
    </x:row>
    <x:row r="11">
      <x:c r="A11" s="17" t="str">
        <x:v>总药力校验</x:v>
      </x:c>
      <x:c r="B11" s="16" t="str">
        <x:v>公式</x:v>
      </x:c>
      <x:c r="C11" s="16" t="str">
        <x:v>数值+状态</x:v>
      </x:c>
      <x:c r="D11" s="16" t="str">
        <x:v>系统计算</x:v>
      </x:c>
      <x:c r="E11" s="16" t="str">
        <x:v>是</x:v>
      </x:c>
      <x:c r="F11" s="16" t="str">
        <x:v>药力×份数</x:v>
      </x:c>
      <x:c r="G11" s="16" t="str">
        <x:v>24/通过</x:v>
      </x:c>
    </x:row>
    <x:row r="12">
      <x:c r="A12" s="17" t="str">
        <x:v>君力校验</x:v>
      </x:c>
      <x:c r="B12" s="16" t="str">
        <x:v>公式</x:v>
      </x:c>
      <x:c r="C12" s="16" t="str">
        <x:v>数值+状态</x:v>
      </x:c>
      <x:c r="D12" s="16" t="str">
        <x:v>系统计算</x:v>
      </x:c>
      <x:c r="E12" s="16" t="str">
        <x:v>是</x:v>
      </x:c>
      <x:c r="F12" s="16" t="str">
        <x:v>君力≥最低值</x:v>
      </x:c>
      <x:c r="G12" s="16" t="str">
        <x:v>9/通过</x:v>
      </x:c>
    </x:row>
    <x:row r="13">
      <x:c r="A13" s="17" t="str">
        <x:v>总份数校验</x:v>
      </x:c>
      <x:c r="B13" s="16" t="str">
        <x:v>公式</x:v>
      </x:c>
      <x:c r="C13" s="16" t="str">
        <x:v>数值+状态</x:v>
      </x:c>
      <x:c r="D13" s="16" t="str">
        <x:v>系统计算</x:v>
      </x:c>
      <x:c r="E13" s="16" t="str">
        <x:v>是</x:v>
      </x:c>
      <x:c r="F13" s="16" t="str">
        <x:v>总份数≤上限</x:v>
      </x:c>
      <x:c r="G13" s="16" t="str">
        <x:v>6/通过</x:v>
      </x:c>
    </x:row>
    <x:row r="14">
      <x:c r="A14" s="17" t="str">
        <x:v>成本/售价/毛利</x:v>
      </x:c>
      <x:c r="B14" s="16" t="str">
        <x:v>公式</x:v>
      </x:c>
      <x:c r="C14" s="16" t="str">
        <x:v>货币</x:v>
      </x:c>
      <x:c r="D14" s="16" t="str">
        <x:v>系统计算</x:v>
      </x:c>
      <x:c r="E14" s="16" t="str">
        <x:v>进阶显示</x:v>
      </x:c>
      <x:c r="F14" s="16" t="str">
        <x:v>经济路线验算</x:v>
      </x:c>
      <x:c r="G14" s="16" t="str">
        <x:v>62/120/58</x:v>
      </x:c>
    </x:row>
    <x:row r="15">
      <x:c r="A15" s="17" t="str">
        <x:v>解锁来源</x:v>
      </x:c>
      <x:c r="B15" s="16" t="str">
        <x:v>是</x:v>
      </x:c>
      <x:c r="C15" s="16" t="str">
        <x:v>师承/任务/试方/秘传</x:v>
      </x:c>
      <x:c r="D15" s="16" t="str">
        <x:v>内容策划</x:v>
      </x:c>
      <x:c r="E15" s="16" t="str">
        <x:v>是</x:v>
      </x:c>
      <x:c r="F15" s="16" t="str">
        <x:v>组合收集</x:v>
      </x:c>
      <x:c r="G15" s="16" t="str">
        <x:v>师承</x:v>
      </x:c>
    </x:row>
    <x:row r="16">
      <x:c r="A16" s="17" t="str">
        <x:v>玩家已知</x:v>
      </x:c>
      <x:c r="B16" s="16" t="str">
        <x:v>运行态</x:v>
      </x:c>
      <x:c r="C16" s="16" t="str">
        <x:v>布尔</x:v>
      </x:c>
      <x:c r="D16" s="16" t="str">
        <x:v>存档系统</x:v>
      </x:c>
      <x:c r="E16" s="16" t="str">
        <x:v>是</x:v>
      </x:c>
      <x:c r="F16" s="16" t="str">
        <x:v>显示已知N/总N</x:v>
      </x:c>
      <x:c r="G16" s="16" t="str">
        <x:v>是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8" hidden="0" customWidth="1"/>
    <x:col min="8" max="8" width="8" hidden="0" customWidth="1"/>
    <x:col min="9" max="9" width="8" hidden="0" customWidth="1"/>
    <x:col min="10" max="10" width="9" hidden="0" customWidth="1"/>
    <x:col min="11" max="11" width="9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10" hidden="0" customWidth="1"/>
    <x:col min="28" max="28" width="10" hidden="0" customWidth="1"/>
    <x:col min="29" max="29" width="8" hidden="0" customWidth="1"/>
  </x:cols>
  <x:sheetData>
    <x:row r="1" ht="30" customHeight="1">
      <x:c r="A1" s="3" t="str">
        <x:v>筑基十五方｜四格收死后的双N纵切</x:v>
      </x:c>
      <x:c r="B1" s="3" t="str">
        <x:v>筑基十五方｜四格收死后的双N纵切</x:v>
      </x:c>
      <x:c r="C1" s="3" t="str">
        <x:v>筑基十五方｜四格收死后的双N纵切</x:v>
      </x:c>
      <x:c r="D1" s="3" t="str">
        <x:v>筑基十五方｜四格收死后的双N纵切</x:v>
      </x:c>
      <x:c r="E1" s="3" t="str">
        <x:v>筑基十五方｜四格收死后的双N纵切</x:v>
      </x:c>
      <x:c r="F1" s="3" t="str">
        <x:v>筑基十五方｜四格收死后的双N纵切</x:v>
      </x:c>
      <x:c r="G1" s="3" t="str">
        <x:v>筑基十五方｜四格收死后的双N纵切</x:v>
      </x:c>
      <x:c r="H1" s="3" t="str">
        <x:v>筑基十五方｜四格收死后的双N纵切</x:v>
      </x:c>
      <x:c r="I1" s="3" t="str">
        <x:v>筑基十五方｜四格收死后的双N纵切</x:v>
      </x:c>
      <x:c r="J1" s="3" t="str">
        <x:v>筑基十五方｜四格收死后的双N纵切</x:v>
      </x:c>
      <x:c r="K1" s="3" t="str">
        <x:v>筑基十五方｜四格收死后的双N纵切</x:v>
      </x:c>
      <x:c r="L1" s="3" t="str">
        <x:v>筑基十五方｜四格收死后的双N纵切</x:v>
      </x:c>
      <x:c r="M1" s="3" t="str">
        <x:v>筑基十五方｜四格收死后的双N纵切</x:v>
      </x:c>
      <x:c r="N1" s="3" t="str">
        <x:v>筑基十五方｜四格收死后的双N纵切</x:v>
      </x:c>
      <x:c r="O1" s="3" t="str">
        <x:v>筑基十五方｜四格收死后的双N纵切</x:v>
      </x:c>
      <x:c r="P1" s="3" t="str">
        <x:v>筑基十五方｜四格收死后的双N纵切</x:v>
      </x:c>
      <x:c r="Q1" s="3" t="str">
        <x:v>筑基十五方｜四格收死后的双N纵切</x:v>
      </x:c>
      <x:c r="R1" s="3" t="str">
        <x:v>筑基十五方｜四格收死后的双N纵切</x:v>
      </x:c>
      <x:c r="S1" s="3" t="str">
        <x:v>筑基十五方｜四格收死后的双N纵切</x:v>
      </x:c>
      <x:c r="T1" s="3" t="str">
        <x:v>筑基十五方｜四格收死后的双N纵切</x:v>
      </x:c>
      <x:c r="U1" s="3" t="str">
        <x:v>筑基十五方｜四格收死后的双N纵切</x:v>
      </x:c>
      <x:c r="V1" s="3" t="str">
        <x:v>筑基十五方｜四格收死后的双N纵切</x:v>
      </x:c>
      <x:c r="W1" s="3" t="str">
        <x:v>筑基十五方｜四格收死后的双N纵切</x:v>
      </x:c>
      <x:c r="X1" s="3" t="str">
        <x:v>筑基十五方｜四格收死后的双N纵切</x:v>
      </x:c>
      <x:c r="Y1" s="3" t="str">
        <x:v>筑基十五方｜四格收死后的双N纵切</x:v>
      </x:c>
      <x:c r="Z1" s="3" t="str">
        <x:v>筑基十五方｜四格收死后的双N纵切</x:v>
      </x:c>
      <x:c r="AA1" s="3" t="str">
        <x:v>筑基十五方｜四格收死后的双N纵切</x:v>
      </x:c>
      <x:c r="AB1" s="3" t="str">
        <x:v>筑基十五方｜四格收死后的双N纵切</x:v>
      </x:c>
      <x:c r="AC1" s="3" t="str">
        <x:v>筑基十五方｜四格收死后的双N纵切</x:v>
      </x:c>
    </x:row>
    <x:row r="2" ht="25" customHeight="1">
      <x:c r="A2" s="7" t="str">
        <x:v>13味君材＋15臣＋5佐＋15使＝48株；N合法由臣使三株与一味佐材的方性公式自动计算</x:v>
      </x:c>
      <x:c r="B2" s="7" t="str">
        <x:v>13味君材＋15臣＋5佐＋15使＝48株；N合法由臣使三株与一味佐材的方性公式自动计算</x:v>
      </x:c>
      <x:c r="C2" s="7" t="str">
        <x:v>13味君材＋15臣＋5佐＋15使＝48株；N合法由臣使三株与一味佐材的方性公式自动计算</x:v>
      </x:c>
      <x:c r="D2" s="7" t="str">
        <x:v>13味君材＋15臣＋5佐＋15使＝48株；N合法由臣使三株与一味佐材的方性公式自动计算</x:v>
      </x:c>
      <x:c r="E2" s="7" t="str">
        <x:v>13味君材＋15臣＋5佐＋15使＝48株；N合法由臣使三株与一味佐材的方性公式自动计算</x:v>
      </x:c>
      <x:c r="F2" s="7" t="str">
        <x:v>13味君材＋15臣＋5佐＋15使＝48株；N合法由臣使三株与一味佐材的方性公式自动计算</x:v>
      </x:c>
      <x:c r="G2" s="7" t="str">
        <x:v>13味君材＋15臣＋5佐＋15使＝48株；N合法由臣使三株与一味佐材的方性公式自动计算</x:v>
      </x:c>
      <x:c r="H2" s="7" t="str">
        <x:v>13味君材＋15臣＋5佐＋15使＝48株；N合法由臣使三株与一味佐材的方性公式自动计算</x:v>
      </x:c>
      <x:c r="I2" s="7" t="str">
        <x:v>13味君材＋15臣＋5佐＋15使＝48株；N合法由臣使三株与一味佐材的方性公式自动计算</x:v>
      </x:c>
      <x:c r="J2" s="7" t="str">
        <x:v>13味君材＋15臣＋5佐＋15使＝48株；N合法由臣使三株与一味佐材的方性公式自动计算</x:v>
      </x:c>
      <x:c r="K2" s="7" t="str">
        <x:v>13味君材＋15臣＋5佐＋15使＝48株；N合法由臣使三株与一味佐材的方性公式自动计算</x:v>
      </x:c>
      <x:c r="L2" s="7" t="str">
        <x:v>13味君材＋15臣＋5佐＋15使＝48株；N合法由臣使三株与一味佐材的方性公式自动计算</x:v>
      </x:c>
      <x:c r="M2" s="7" t="str">
        <x:v>13味君材＋15臣＋5佐＋15使＝48株；N合法由臣使三株与一味佐材的方性公式自动计算</x:v>
      </x:c>
      <x:c r="N2" s="7" t="str">
        <x:v>13味君材＋15臣＋5佐＋15使＝48株；N合法由臣使三株与一味佐材的方性公式自动计算</x:v>
      </x:c>
      <x:c r="O2" s="7" t="str">
        <x:v>13味君材＋15臣＋5佐＋15使＝48株；N合法由臣使三株与一味佐材的方性公式自动计算</x:v>
      </x:c>
      <x:c r="P2" s="7" t="str">
        <x:v>13味君材＋15臣＋5佐＋15使＝48株；N合法由臣使三株与一味佐材的方性公式自动计算</x:v>
      </x:c>
      <x:c r="Q2" s="7" t="str">
        <x:v>13味君材＋15臣＋5佐＋15使＝48株；N合法由臣使三株与一味佐材的方性公式自动计算</x:v>
      </x:c>
      <x:c r="R2" s="7" t="str">
        <x:v>13味君材＋15臣＋5佐＋15使＝48株；N合法由臣使三株与一味佐材的方性公式自动计算</x:v>
      </x:c>
      <x:c r="S2" s="7" t="str">
        <x:v>13味君材＋15臣＋5佐＋15使＝48株；N合法由臣使三株与一味佐材的方性公式自动计算</x:v>
      </x:c>
      <x:c r="T2" s="7" t="str">
        <x:v>13味君材＋15臣＋5佐＋15使＝48株；N合法由臣使三株与一味佐材的方性公式自动计算</x:v>
      </x:c>
      <x:c r="U2" s="7" t="str">
        <x:v>13味君材＋15臣＋5佐＋15使＝48株；N合法由臣使三株与一味佐材的方性公式自动计算</x:v>
      </x:c>
      <x:c r="V2" s="7" t="str">
        <x:v>13味君材＋15臣＋5佐＋15使＝48株；N合法由臣使三株与一味佐材的方性公式自动计算</x:v>
      </x:c>
      <x:c r="W2" s="7" t="str">
        <x:v>13味君材＋15臣＋5佐＋15使＝48株；N合法由臣使三株与一味佐材的方性公式自动计算</x:v>
      </x:c>
      <x:c r="X2" s="7" t="str">
        <x:v>13味君材＋15臣＋5佐＋15使＝48株；N合法由臣使三株与一味佐材的方性公式自动计算</x:v>
      </x:c>
      <x:c r="Y2" s="7" t="str">
        <x:v>13味君材＋15臣＋5佐＋15使＝48株；N合法由臣使三株与一味佐材的方性公式自动计算</x:v>
      </x:c>
      <x:c r="Z2" s="7" t="str">
        <x:v>13味君材＋15臣＋5佐＋15使＝48株；N合法由臣使三株与一味佐材的方性公式自动计算</x:v>
      </x:c>
      <x:c r="AA2" s="7" t="str">
        <x:v>13味君材＋15臣＋5佐＋15使＝48株；N合法由臣使三株与一味佐材的方性公式自动计算</x:v>
      </x:c>
      <x:c r="AB2" s="7" t="str">
        <x:v>13味君材＋15臣＋5佐＋15使＝48株；N合法由臣使三株与一味佐材的方性公式自动计算</x:v>
      </x:c>
      <x:c r="AC2" s="7" t="str">
        <x:v>13味君材＋15臣＋5佐＋15使＝48株；N合法由臣使三株与一味佐材的方性公式自动计算</x:v>
      </x:c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</x:row>
    <x:row r="4">
      <x:c r="A4" s="12" t="str">
        <x:v>#</x:v>
      </x:c>
      <x:c r="B4" s="12" t="str">
        <x:v>丹方ID</x:v>
      </x:c>
      <x:c r="C4" s="12" t="str">
        <x:v>丹名</x:v>
      </x:c>
      <x:c r="D4" s="12" t="str">
        <x:v>君共享组</x:v>
      </x:c>
      <x:c r="E4" s="12" t="str">
        <x:v>君材ID</x:v>
      </x:c>
      <x:c r="F4" s="12" t="str">
        <x:v>君材</x:v>
      </x:c>
      <x:c r="G4" s="12" t="str">
        <x:v>君性</x:v>
      </x:c>
      <x:c r="H4" s="12" t="str">
        <x:v>臣行</x:v>
      </x:c>
      <x:c r="I4" s="12" t="str">
        <x:v>使味</x:v>
      </x:c>
      <x:c r="J4" s="12" t="str">
        <x:v>目标性</x:v>
      </x:c>
      <x:c r="K4" s="12" t="str">
        <x:v>N认证</x:v>
      </x:c>
      <x:c r="L4" s="12" t="str">
        <x:v>臣性1</x:v>
      </x:c>
      <x:c r="M4" s="12" t="str">
        <x:v>臣性2</x:v>
      </x:c>
      <x:c r="N4" s="12" t="str">
        <x:v>臣性3</x:v>
      </x:c>
      <x:c r="O4" s="12" t="str">
        <x:v>使性1</x:v>
      </x:c>
      <x:c r="P4" s="12" t="str">
        <x:v>使性2</x:v>
      </x:c>
      <x:c r="Q4" s="12" t="str">
        <x:v>使性3</x:v>
      </x:c>
      <x:c r="R4" s="12" t="str">
        <x:v>佐需11</x:v>
      </x:c>
      <x:c r="S4" s="12" t="str">
        <x:v>佐需12</x:v>
      </x:c>
      <x:c r="T4" s="12" t="str">
        <x:v>佐需13</x:v>
      </x:c>
      <x:c r="U4" s="12" t="str">
        <x:v>佐需21</x:v>
      </x:c>
      <x:c r="V4" s="12" t="str">
        <x:v>佐需22</x:v>
      </x:c>
      <x:c r="W4" s="12" t="str">
        <x:v>佐需23</x:v>
      </x:c>
      <x:c r="X4" s="12" t="str">
        <x:v>佐需31</x:v>
      </x:c>
      <x:c r="Y4" s="12" t="str">
        <x:v>佐需32</x:v>
      </x:c>
      <x:c r="Z4" s="12" t="str">
        <x:v>佐需33</x:v>
      </x:c>
      <x:c r="AA4" s="12" t="str">
        <x:v>N合法</x:v>
      </x:c>
      <x:c r="AB4" s="12" t="str">
        <x:v>状态</x:v>
      </x:c>
      <x:c r="AC4" s="12" t="str">
        <x:v>首次君</x:v>
      </x:c>
    </x:row>
    <x:row r="5">
      <x:c r="A5" s="24" t="n">
        <x:v>1</x:v>
      </x:c>
      <x:c r="B5" s="24" t="str">
        <x:v>F-ZJ-01</x:v>
      </x:c>
      <x:c r="C5" s="24" t="str">
        <x:v>聚元丹</x:v>
      </x:c>
      <x:c r="D5" s="24" t="str">
        <x:v>G-修为</x:v>
      </x:c>
      <x:c r="E5" s="24" t="str">
        <x:v>J-ZJ-01</x:v>
      </x:c>
      <x:c r="F5" s="24" t="str">
        <x:v>聚元芝</x:v>
      </x:c>
      <x:c r="G5" s="24" t="n">
        <x:v>0</x:v>
      </x:c>
      <x:c r="H5" s="24" t="str">
        <x:v>土</x:v>
      </x:c>
      <x:c r="I5" s="24" t="str">
        <x:v>甘</x:v>
      </x:c>
      <x:c r="J5" s="24" t="n">
        <x:v>0</x:v>
      </x:c>
      <x:c r="K5" s="24" t="n">
        <x:v>3</x:v>
      </x:c>
      <x:c r="L5" s="16" t="n">
        <x:f>VLOOKUP(H5,'01_参数'!$A$5:$D$9,2,FALSE)</x:f>
        <x:v>0</x:v>
      </x:c>
      <x:c r="M5" s="16" t="n">
        <x:f>VLOOKUP(H5,'01_参数'!$A$5:$D$9,3,FALSE)</x:f>
        <x:v>1</x:v>
      </x:c>
      <x:c r="N5" s="16" t="n">
        <x:f>VLOOKUP(H5,'01_参数'!$A$5:$D$9,4,FALSE)</x:f>
        <x:v>-1</x:v>
      </x:c>
      <x:c r="O5" s="16" t="n">
        <x:f>VLOOKUP(I5,'01_参数'!$F$5:$I$9,2,FALSE)</x:f>
        <x:v>0</x:v>
      </x:c>
      <x:c r="P5" s="16" t="n">
        <x:f>VLOOKUP(I5,'01_参数'!$F$5:$I$9,3,FALSE)</x:f>
        <x:v>-1</x:v>
      </x:c>
      <x:c r="Q5" s="16" t="n">
        <x:f>VLOOKUP(I5,'01_参数'!$F$5:$I$9,4,FALSE)</x:f>
        <x:v>1</x:v>
      </x:c>
      <x:c r="R5" s="16" t="n">
        <x:f>$J5-$G5-L5-O5</x:f>
        <x:v>0</x:v>
      </x:c>
      <x:c r="S5" s="16" t="n">
        <x:f>$J5-$G5-L5-P5</x:f>
        <x:v>1</x:v>
      </x:c>
      <x:c r="T5" s="16" t="n">
        <x:f>$J5-$G5-L5-Q5</x:f>
        <x:v>-1</x:v>
      </x:c>
      <x:c r="U5" s="16" t="n">
        <x:f>$J5-$G5-M5-O5</x:f>
        <x:v>-1</x:v>
      </x:c>
      <x:c r="V5" s="16" t="n">
        <x:f>$J5-$G5-M5-P5</x:f>
        <x:v>0</x:v>
      </x:c>
      <x:c r="W5" s="16" t="n">
        <x:f>$J5-$G5-M5-Q5</x:f>
        <x:v>-2</x:v>
      </x:c>
      <x:c r="X5" s="16" t="n">
        <x:f>$J5-$G5-N5-O5</x:f>
        <x:v>1</x:v>
      </x:c>
      <x:c r="Y5" s="16" t="n">
        <x:f>$J5-$G5-N5-P5</x:f>
        <x:v>2</x:v>
      </x:c>
      <x:c r="Z5" s="16" t="n">
        <x:f>$J5-$G5-N5-Q5</x:f>
        <x:v>0</x:v>
      </x:c>
      <x:c r="AA5" s="23" t="n">
        <x:f>COUNTIFS(R5:Z5,"&gt;=-2",R5:Z5,"&lt;=2")</x:f>
        <x:v>9</x:v>
      </x:c>
      <x:c r="AB5" s="23" t="str">
        <x:f>IF(AND(AA5&gt;=K5,K5&gt;=3,K5&lt;=6),"通过","检查")</x:f>
        <x:v>通过</x:v>
      </x:c>
      <x:c r="AC5" s="23" t="n">
        <x:f>IF(COUNTIF($E$5:E5,E5)=1,1,0)</x:f>
        <x:v>1</x:v>
      </x:c>
    </x:row>
    <x:row r="6">
      <x:c r="A6" s="24" t="n">
        <x:v>2</x:v>
      </x:c>
      <x:c r="B6" s="24" t="str">
        <x:v>F-ZJ-02</x:v>
      </x:c>
      <x:c r="C6" s="24" t="str">
        <x:v>迅潮丹</x:v>
      </x:c>
      <x:c r="D6" s="24" t="str">
        <x:v>G-回灵</x:v>
      </x:c>
      <x:c r="E6" s="24" t="str">
        <x:v>J-ZJ-02</x:v>
      </x:c>
      <x:c r="F6" s="24" t="str">
        <x:v>涌泉参</x:v>
      </x:c>
      <x:c r="G6" s="24" t="n">
        <x:v>1</x:v>
      </x:c>
      <x:c r="H6" s="24" t="str">
        <x:v>水</x:v>
      </x:c>
      <x:c r="I6" s="24" t="str">
        <x:v>辛</x:v>
      </x:c>
      <x:c r="J6" s="24" t="n">
        <x:v>1</x:v>
      </x:c>
      <x:c r="K6" s="24" t="n">
        <x:v>3</x:v>
      </x:c>
      <x:c r="L6" s="16" t="n">
        <x:f>VLOOKUP(H6,'01_参数'!$A$5:$D$9,2,FALSE)</x:f>
        <x:v>0</x:v>
      </x:c>
      <x:c r="M6" s="16" t="n">
        <x:f>VLOOKUP(H6,'01_参数'!$A$5:$D$9,3,FALSE)</x:f>
        <x:v>-1</x:v>
      </x:c>
      <x:c r="N6" s="16" t="n">
        <x:f>VLOOKUP(H6,'01_参数'!$A$5:$D$9,4,FALSE)</x:f>
        <x:v>-2</x:v>
      </x:c>
      <x:c r="O6" s="16" t="n">
        <x:f>VLOOKUP(I6,'01_参数'!$F$5:$I$9,2,FALSE)</x:f>
        <x:v>0</x:v>
      </x:c>
      <x:c r="P6" s="16" t="n">
        <x:f>VLOOKUP(I6,'01_参数'!$F$5:$I$9,3,FALSE)</x:f>
        <x:v>1</x:v>
      </x:c>
      <x:c r="Q6" s="16" t="n">
        <x:f>VLOOKUP(I6,'01_参数'!$F$5:$I$9,4,FALSE)</x:f>
        <x:v>-1</x:v>
      </x:c>
      <x:c r="R6" s="16" t="n">
        <x:f>$J6-$G6-L6-O6</x:f>
        <x:v>0</x:v>
      </x:c>
      <x:c r="S6" s="16" t="n">
        <x:f>$J6-$G6-L6-P6</x:f>
        <x:v>-1</x:v>
      </x:c>
      <x:c r="T6" s="16" t="n">
        <x:f>$J6-$G6-L6-Q6</x:f>
        <x:v>1</x:v>
      </x:c>
      <x:c r="U6" s="16" t="n">
        <x:f>$J6-$G6-M6-O6</x:f>
        <x:v>1</x:v>
      </x:c>
      <x:c r="V6" s="16" t="n">
        <x:f>$J6-$G6-M6-P6</x:f>
        <x:v>0</x:v>
      </x:c>
      <x:c r="W6" s="16" t="n">
        <x:f>$J6-$G6-M6-Q6</x:f>
        <x:v>2</x:v>
      </x:c>
      <x:c r="X6" s="16" t="n">
        <x:f>$J6-$G6-N6-O6</x:f>
        <x:v>2</x:v>
      </x:c>
      <x:c r="Y6" s="16" t="n">
        <x:f>$J6-$G6-N6-P6</x:f>
        <x:v>1</x:v>
      </x:c>
      <x:c r="Z6" s="16" t="n">
        <x:f>$J6-$G6-N6-Q6</x:f>
        <x:v>3</x:v>
      </x:c>
      <x:c r="AA6" s="23" t="n">
        <x:f>COUNTIFS(R6:Z6,"&gt;=-2",R6:Z6,"&lt;=2")</x:f>
        <x:v>8</x:v>
      </x:c>
      <x:c r="AB6" s="23" t="str">
        <x:f>IF(AND(AA6&gt;=K6,K6&gt;=3,K6&lt;=6),"通过","检查")</x:f>
        <x:v>通过</x:v>
      </x:c>
      <x:c r="AC6" s="23" t="n">
        <x:f>IF(COUNTIF($E$5:E6,E6)=1,1,0)</x:f>
        <x:v>1</x:v>
      </x:c>
    </x:row>
    <x:row r="7">
      <x:c r="A7" s="24" t="n">
        <x:v>3</x:v>
      </x:c>
      <x:c r="B7" s="24" t="str">
        <x:v>F-ZJ-03</x:v>
      </x:c>
      <x:c r="C7" s="24" t="str">
        <x:v>绵泉丹</x:v>
      </x:c>
      <x:c r="D7" s="24" t="str">
        <x:v>G-回灵</x:v>
      </x:c>
      <x:c r="E7" s="24" t="str">
        <x:v>J-ZJ-02</x:v>
      </x:c>
      <x:c r="F7" s="24" t="str">
        <x:v>涌泉参</x:v>
      </x:c>
      <x:c r="G7" s="24" t="n">
        <x:v>1</x:v>
      </x:c>
      <x:c r="H7" s="24" t="str">
        <x:v>水</x:v>
      </x:c>
      <x:c r="I7" s="24" t="str">
        <x:v>辛</x:v>
      </x:c>
      <x:c r="J7" s="24" t="n">
        <x:v>0</x:v>
      </x:c>
      <x:c r="K7" s="24" t="n">
        <x:v>3</x:v>
      </x:c>
      <x:c r="L7" s="16" t="n">
        <x:f>VLOOKUP(H7,'01_参数'!$A$5:$D$9,2,FALSE)</x:f>
        <x:v>0</x:v>
      </x:c>
      <x:c r="M7" s="16" t="n">
        <x:f>VLOOKUP(H7,'01_参数'!$A$5:$D$9,3,FALSE)</x:f>
        <x:v>-1</x:v>
      </x:c>
      <x:c r="N7" s="16" t="n">
        <x:f>VLOOKUP(H7,'01_参数'!$A$5:$D$9,4,FALSE)</x:f>
        <x:v>-2</x:v>
      </x:c>
      <x:c r="O7" s="16" t="n">
        <x:f>VLOOKUP(I7,'01_参数'!$F$5:$I$9,2,FALSE)</x:f>
        <x:v>0</x:v>
      </x:c>
      <x:c r="P7" s="16" t="n">
        <x:f>VLOOKUP(I7,'01_参数'!$F$5:$I$9,3,FALSE)</x:f>
        <x:v>1</x:v>
      </x:c>
      <x:c r="Q7" s="16" t="n">
        <x:f>VLOOKUP(I7,'01_参数'!$F$5:$I$9,4,FALSE)</x:f>
        <x:v>-1</x:v>
      </x:c>
      <x:c r="R7" s="16" t="n">
        <x:f>$J7-$G7-L7-O7</x:f>
        <x:v>-1</x:v>
      </x:c>
      <x:c r="S7" s="16" t="n">
        <x:f>$J7-$G7-L7-P7</x:f>
        <x:v>-2</x:v>
      </x:c>
      <x:c r="T7" s="16" t="n">
        <x:f>$J7-$G7-L7-Q7</x:f>
        <x:v>0</x:v>
      </x:c>
      <x:c r="U7" s="16" t="n">
        <x:f>$J7-$G7-M7-O7</x:f>
        <x:v>0</x:v>
      </x:c>
      <x:c r="V7" s="16" t="n">
        <x:f>$J7-$G7-M7-P7</x:f>
        <x:v>-1</x:v>
      </x:c>
      <x:c r="W7" s="16" t="n">
        <x:f>$J7-$G7-M7-Q7</x:f>
        <x:v>1</x:v>
      </x:c>
      <x:c r="X7" s="16" t="n">
        <x:f>$J7-$G7-N7-O7</x:f>
        <x:v>1</x:v>
      </x:c>
      <x:c r="Y7" s="16" t="n">
        <x:f>$J7-$G7-N7-P7</x:f>
        <x:v>0</x:v>
      </x:c>
      <x:c r="Z7" s="16" t="n">
        <x:f>$J7-$G7-N7-Q7</x:f>
        <x:v>2</x:v>
      </x:c>
      <x:c r="AA7" s="23" t="n">
        <x:f>COUNTIFS(R7:Z7,"&gt;=-2",R7:Z7,"&lt;=2")</x:f>
        <x:v>9</x:v>
      </x:c>
      <x:c r="AB7" s="23" t="str">
        <x:f>IF(AND(AA7&gt;=K7,K7&gt;=3,K7&lt;=6),"通过","检查")</x:f>
        <x:v>通过</x:v>
      </x:c>
      <x:c r="AC7" s="23" t="n">
        <x:f>IF(COUNTIF($E$5:E7,E7)=1,1,0)</x:f>
        <x:v>0</x:v>
      </x:c>
    </x:row>
    <x:row r="8">
      <x:c r="A8" s="24" t="n">
        <x:v>4</x:v>
      </x:c>
      <x:c r="B8" s="24" t="str">
        <x:v>F-ZJ-04</x:v>
      </x:c>
      <x:c r="C8" s="24" t="str">
        <x:v>续环丹</x:v>
      </x:c>
      <x:c r="D8" s="24" t="str">
        <x:v>G-小破</x:v>
      </x:c>
      <x:c r="E8" s="24" t="str">
        <x:v>J-ZJ-04</x:v>
      </x:c>
      <x:c r="F8" s="24" t="str">
        <x:v>抽芽草</x:v>
      </x:c>
      <x:c r="G8" s="24" t="n">
        <x:v>1</x:v>
      </x:c>
      <x:c r="H8" s="24" t="str">
        <x:v>木</x:v>
      </x:c>
      <x:c r="I8" s="24" t="str">
        <x:v>甘</x:v>
      </x:c>
      <x:c r="J8" s="24" t="n">
        <x:v>1</x:v>
      </x:c>
      <x:c r="K8" s="24" t="n">
        <x:v>4</x:v>
      </x:c>
      <x:c r="L8" s="16" t="n">
        <x:f>VLOOKUP(H8,'01_参数'!$A$5:$D$9,2,FALSE)</x:f>
        <x:v>0</x:v>
      </x:c>
      <x:c r="M8" s="16" t="n">
        <x:f>VLOOKUP(H8,'01_参数'!$A$5:$D$9,3,FALSE)</x:f>
        <x:v>1</x:v>
      </x:c>
      <x:c r="N8" s="16" t="n">
        <x:f>VLOOKUP(H8,'01_参数'!$A$5:$D$9,4,FALSE)</x:f>
        <x:v>2</x:v>
      </x:c>
      <x:c r="O8" s="16" t="n">
        <x:f>VLOOKUP(I8,'01_参数'!$F$5:$I$9,2,FALSE)</x:f>
        <x:v>0</x:v>
      </x:c>
      <x:c r="P8" s="16" t="n">
        <x:f>VLOOKUP(I8,'01_参数'!$F$5:$I$9,3,FALSE)</x:f>
        <x:v>-1</x:v>
      </x:c>
      <x:c r="Q8" s="16" t="n">
        <x:f>VLOOKUP(I8,'01_参数'!$F$5:$I$9,4,FALSE)</x:f>
        <x:v>1</x:v>
      </x:c>
      <x:c r="R8" s="16" t="n">
        <x:f>$J8-$G8-L8-O8</x:f>
        <x:v>0</x:v>
      </x:c>
      <x:c r="S8" s="16" t="n">
        <x:f>$J8-$G8-L8-P8</x:f>
        <x:v>1</x:v>
      </x:c>
      <x:c r="T8" s="16" t="n">
        <x:f>$J8-$G8-L8-Q8</x:f>
        <x:v>-1</x:v>
      </x:c>
      <x:c r="U8" s="16" t="n">
        <x:f>$J8-$G8-M8-O8</x:f>
        <x:v>-1</x:v>
      </x:c>
      <x:c r="V8" s="16" t="n">
        <x:f>$J8-$G8-M8-P8</x:f>
        <x:v>0</x:v>
      </x:c>
      <x:c r="W8" s="16" t="n">
        <x:f>$J8-$G8-M8-Q8</x:f>
        <x:v>-2</x:v>
      </x:c>
      <x:c r="X8" s="16" t="n">
        <x:f>$J8-$G8-N8-O8</x:f>
        <x:v>-2</x:v>
      </x:c>
      <x:c r="Y8" s="16" t="n">
        <x:f>$J8-$G8-N8-P8</x:f>
        <x:v>-1</x:v>
      </x:c>
      <x:c r="Z8" s="16" t="n">
        <x:f>$J8-$G8-N8-Q8</x:f>
        <x:v>-3</x:v>
      </x:c>
      <x:c r="AA8" s="23" t="n">
        <x:f>COUNTIFS(R8:Z8,"&gt;=-2",R8:Z8,"&lt;=2")</x:f>
        <x:v>8</x:v>
      </x:c>
      <x:c r="AB8" s="23" t="str">
        <x:f>IF(AND(AA8&gt;=K8,K8&gt;=3,K8&lt;=6),"通过","检查")</x:f>
        <x:v>通过</x:v>
      </x:c>
      <x:c r="AC8" s="23" t="n">
        <x:f>IF(COUNTIF($E$5:E8,E8)=1,1,0)</x:f>
        <x:v>1</x:v>
      </x:c>
    </x:row>
    <x:row r="9">
      <x:c r="A9" s="24" t="n">
        <x:v>5</x:v>
      </x:c>
      <x:c r="B9" s="24" t="str">
        <x:v>F-ZJ-05</x:v>
      </x:c>
      <x:c r="C9" s="24" t="str">
        <x:v>开关丹</x:v>
      </x:c>
      <x:c r="D9" s="24" t="str">
        <x:v>G-大破</x:v>
      </x:c>
      <x:c r="E9" s="24" t="str">
        <x:v>J-ZJ-05</x:v>
      </x:c>
      <x:c r="F9" s="24" t="str">
        <x:v>破关莲</x:v>
      </x:c>
      <x:c r="G9" s="24" t="n">
        <x:v>2</x:v>
      </x:c>
      <x:c r="H9" s="24" t="str">
        <x:v>木</x:v>
      </x:c>
      <x:c r="I9" s="24" t="str">
        <x:v>甘</x:v>
      </x:c>
      <x:c r="J9" s="24" t="n">
        <x:v>2</x:v>
      </x:c>
      <x:c r="K9" s="24" t="n">
        <x:v>4</x:v>
      </x:c>
      <x:c r="L9" s="16" t="n">
        <x:f>VLOOKUP(H9,'01_参数'!$A$5:$D$9,2,FALSE)</x:f>
        <x:v>0</x:v>
      </x:c>
      <x:c r="M9" s="16" t="n">
        <x:f>VLOOKUP(H9,'01_参数'!$A$5:$D$9,3,FALSE)</x:f>
        <x:v>1</x:v>
      </x:c>
      <x:c r="N9" s="16" t="n">
        <x:f>VLOOKUP(H9,'01_参数'!$A$5:$D$9,4,FALSE)</x:f>
        <x:v>2</x:v>
      </x:c>
      <x:c r="O9" s="16" t="n">
        <x:f>VLOOKUP(I9,'01_参数'!$F$5:$I$9,2,FALSE)</x:f>
        <x:v>0</x:v>
      </x:c>
      <x:c r="P9" s="16" t="n">
        <x:f>VLOOKUP(I9,'01_参数'!$F$5:$I$9,3,FALSE)</x:f>
        <x:v>-1</x:v>
      </x:c>
      <x:c r="Q9" s="16" t="n">
        <x:f>VLOOKUP(I9,'01_参数'!$F$5:$I$9,4,FALSE)</x:f>
        <x:v>1</x:v>
      </x:c>
      <x:c r="R9" s="16" t="n">
        <x:f>$J9-$G9-L9-O9</x:f>
        <x:v>0</x:v>
      </x:c>
      <x:c r="S9" s="16" t="n">
        <x:f>$J9-$G9-L9-P9</x:f>
        <x:v>1</x:v>
      </x:c>
      <x:c r="T9" s="16" t="n">
        <x:f>$J9-$G9-L9-Q9</x:f>
        <x:v>-1</x:v>
      </x:c>
      <x:c r="U9" s="16" t="n">
        <x:f>$J9-$G9-M9-O9</x:f>
        <x:v>-1</x:v>
      </x:c>
      <x:c r="V9" s="16" t="n">
        <x:f>$J9-$G9-M9-P9</x:f>
        <x:v>0</x:v>
      </x:c>
      <x:c r="W9" s="16" t="n">
        <x:f>$J9-$G9-M9-Q9</x:f>
        <x:v>-2</x:v>
      </x:c>
      <x:c r="X9" s="16" t="n">
        <x:f>$J9-$G9-N9-O9</x:f>
        <x:v>-2</x:v>
      </x:c>
      <x:c r="Y9" s="16" t="n">
        <x:f>$J9-$G9-N9-P9</x:f>
        <x:v>-1</x:v>
      </x:c>
      <x:c r="Z9" s="16" t="n">
        <x:f>$J9-$G9-N9-Q9</x:f>
        <x:v>-3</x:v>
      </x:c>
      <x:c r="AA9" s="23" t="n">
        <x:f>COUNTIFS(R9:Z9,"&gt;=-2",R9:Z9,"&lt;=2")</x:f>
        <x:v>8</x:v>
      </x:c>
      <x:c r="AB9" s="23" t="str">
        <x:f>IF(AND(AA9&gt;=K9,K9&gt;=3,K9&lt;=6),"通过","检查")</x:f>
        <x:v>通过</x:v>
      </x:c>
      <x:c r="AC9" s="23" t="n">
        <x:f>IF(COUNTIF($E$5:E9,E9)=1,1,0)</x:f>
        <x:v>1</x:v>
      </x:c>
    </x:row>
    <x:row r="10">
      <x:c r="A10" s="24" t="n">
        <x:v>6</x:v>
      </x:c>
      <x:c r="B10" s="24" t="str">
        <x:v>F-ZJ-06</x:v>
      </x:c>
      <x:c r="C10" s="24" t="str">
        <x:v>急生丹</x:v>
      </x:c>
      <x:c r="D10" s="24" t="str">
        <x:v>G-疗伤</x:v>
      </x:c>
      <x:c r="E10" s="24" t="str">
        <x:v>J-ZJ-06</x:v>
      </x:c>
      <x:c r="F10" s="24" t="str">
        <x:v>续断芝</x:v>
      </x:c>
      <x:c r="G10" s="24" t="n">
        <x:v>0</x:v>
      </x:c>
      <x:c r="H10" s="24" t="str">
        <x:v>木</x:v>
      </x:c>
      <x:c r="I10" s="24" t="str">
        <x:v>酸</x:v>
      </x:c>
      <x:c r="J10" s="24" t="n">
        <x:v>1</x:v>
      </x:c>
      <x:c r="K10" s="24" t="n">
        <x:v>3</x:v>
      </x:c>
      <x:c r="L10" s="16" t="n">
        <x:f>VLOOKUP(H10,'01_参数'!$A$5:$D$9,2,FALSE)</x:f>
        <x:v>0</x:v>
      </x:c>
      <x:c r="M10" s="16" t="n">
        <x:f>VLOOKUP(H10,'01_参数'!$A$5:$D$9,3,FALSE)</x:f>
        <x:v>1</x:v>
      </x:c>
      <x:c r="N10" s="16" t="n">
        <x:f>VLOOKUP(H10,'01_参数'!$A$5:$D$9,4,FALSE)</x:f>
        <x:v>2</x:v>
      </x:c>
      <x:c r="O10" s="16" t="n">
        <x:f>VLOOKUP(I10,'01_参数'!$F$5:$I$9,2,FALSE)</x:f>
        <x:v>0</x:v>
      </x:c>
      <x:c r="P10" s="16" t="n">
        <x:f>VLOOKUP(I10,'01_参数'!$F$5:$I$9,3,FALSE)</x:f>
        <x:v>1</x:v>
      </x:c>
      <x:c r="Q10" s="16" t="n">
        <x:f>VLOOKUP(I10,'01_参数'!$F$5:$I$9,4,FALSE)</x:f>
        <x:v>-1</x:v>
      </x:c>
      <x:c r="R10" s="16" t="n">
        <x:f>$J10-$G10-L10-O10</x:f>
        <x:v>1</x:v>
      </x:c>
      <x:c r="S10" s="16" t="n">
        <x:f>$J10-$G10-L10-P10</x:f>
        <x:v>0</x:v>
      </x:c>
      <x:c r="T10" s="16" t="n">
        <x:f>$J10-$G10-L10-Q10</x:f>
        <x:v>2</x:v>
      </x:c>
      <x:c r="U10" s="16" t="n">
        <x:f>$J10-$G10-M10-O10</x:f>
        <x:v>0</x:v>
      </x:c>
      <x:c r="V10" s="16" t="n">
        <x:f>$J10-$G10-M10-P10</x:f>
        <x:v>-1</x:v>
      </x:c>
      <x:c r="W10" s="16" t="n">
        <x:f>$J10-$G10-M10-Q10</x:f>
        <x:v>1</x:v>
      </x:c>
      <x:c r="X10" s="16" t="n">
        <x:f>$J10-$G10-N10-O10</x:f>
        <x:v>-1</x:v>
      </x:c>
      <x:c r="Y10" s="16" t="n">
        <x:f>$J10-$G10-N10-P10</x:f>
        <x:v>-2</x:v>
      </x:c>
      <x:c r="Z10" s="16" t="n">
        <x:f>$J10-$G10-N10-Q10</x:f>
        <x:v>0</x:v>
      </x:c>
      <x:c r="AA10" s="23" t="n">
        <x:f>COUNTIFS(R10:Z10,"&gt;=-2",R10:Z10,"&lt;=2")</x:f>
        <x:v>9</x:v>
      </x:c>
      <x:c r="AB10" s="23" t="str">
        <x:f>IF(AND(AA10&gt;=K10,K10&gt;=3,K10&lt;=6),"通过","检查")</x:f>
        <x:v>通过</x:v>
      </x:c>
      <x:c r="AC10" s="23" t="n">
        <x:f>IF(COUNTIF($E$5:E10,E10)=1,1,0)</x:f>
        <x:v>1</x:v>
      </x:c>
    </x:row>
    <x:row r="11">
      <x:c r="A11" s="24" t="n">
        <x:v>7</x:v>
      </x:c>
      <x:c r="B11" s="24" t="str">
        <x:v>F-ZJ-07</x:v>
      </x:c>
      <x:c r="C11" s="24" t="str">
        <x:v>绵愈丹</x:v>
      </x:c>
      <x:c r="D11" s="24" t="str">
        <x:v>G-疗伤</x:v>
      </x:c>
      <x:c r="E11" s="24" t="str">
        <x:v>J-ZJ-06</x:v>
      </x:c>
      <x:c r="F11" s="24" t="str">
        <x:v>续断芝</x:v>
      </x:c>
      <x:c r="G11" s="24" t="n">
        <x:v>0</x:v>
      </x:c>
      <x:c r="H11" s="24" t="str">
        <x:v>木</x:v>
      </x:c>
      <x:c r="I11" s="24" t="str">
        <x:v>酸</x:v>
      </x:c>
      <x:c r="J11" s="24" t="n">
        <x:v>0</x:v>
      </x:c>
      <x:c r="K11" s="24" t="n">
        <x:v>3</x:v>
      </x:c>
      <x:c r="L11" s="16" t="n">
        <x:f>VLOOKUP(H11,'01_参数'!$A$5:$D$9,2,FALSE)</x:f>
        <x:v>0</x:v>
      </x:c>
      <x:c r="M11" s="16" t="n">
        <x:f>VLOOKUP(H11,'01_参数'!$A$5:$D$9,3,FALSE)</x:f>
        <x:v>1</x:v>
      </x:c>
      <x:c r="N11" s="16" t="n">
        <x:f>VLOOKUP(H11,'01_参数'!$A$5:$D$9,4,FALSE)</x:f>
        <x:v>2</x:v>
      </x:c>
      <x:c r="O11" s="16" t="n">
        <x:f>VLOOKUP(I11,'01_参数'!$F$5:$I$9,2,FALSE)</x:f>
        <x:v>0</x:v>
      </x:c>
      <x:c r="P11" s="16" t="n">
        <x:f>VLOOKUP(I11,'01_参数'!$F$5:$I$9,3,FALSE)</x:f>
        <x:v>1</x:v>
      </x:c>
      <x:c r="Q11" s="16" t="n">
        <x:f>VLOOKUP(I11,'01_参数'!$F$5:$I$9,4,FALSE)</x:f>
        <x:v>-1</x:v>
      </x:c>
      <x:c r="R11" s="16" t="n">
        <x:f>$J11-$G11-L11-O11</x:f>
        <x:v>0</x:v>
      </x:c>
      <x:c r="S11" s="16" t="n">
        <x:f>$J11-$G11-L11-P11</x:f>
        <x:v>-1</x:v>
      </x:c>
      <x:c r="T11" s="16" t="n">
        <x:f>$J11-$G11-L11-Q11</x:f>
        <x:v>1</x:v>
      </x:c>
      <x:c r="U11" s="16" t="n">
        <x:f>$J11-$G11-M11-O11</x:f>
        <x:v>-1</x:v>
      </x:c>
      <x:c r="V11" s="16" t="n">
        <x:f>$J11-$G11-M11-P11</x:f>
        <x:v>-2</x:v>
      </x:c>
      <x:c r="W11" s="16" t="n">
        <x:f>$J11-$G11-M11-Q11</x:f>
        <x:v>0</x:v>
      </x:c>
      <x:c r="X11" s="16" t="n">
        <x:f>$J11-$G11-N11-O11</x:f>
        <x:v>-2</x:v>
      </x:c>
      <x:c r="Y11" s="16" t="n">
        <x:f>$J11-$G11-N11-P11</x:f>
        <x:v>-3</x:v>
      </x:c>
      <x:c r="Z11" s="16" t="n">
        <x:f>$J11-$G11-N11-Q11</x:f>
        <x:v>-1</x:v>
      </x:c>
      <x:c r="AA11" s="23" t="n">
        <x:f>COUNTIFS(R11:Z11,"&gt;=-2",R11:Z11,"&lt;=2")</x:f>
        <x:v>8</x:v>
      </x:c>
      <x:c r="AB11" s="23" t="str">
        <x:f>IF(AND(AA11&gt;=K11,K11&gt;=3,K11&lt;=6),"通过","检查")</x:f>
        <x:v>通过</x:v>
      </x:c>
      <x:c r="AC11" s="23" t="n">
        <x:f>IF(COUNTIF($E$5:E11,E11)=1,1,0)</x:f>
        <x:v>0</x:v>
      </x:c>
    </x:row>
    <x:row r="12">
      <x:c r="A12" s="24" t="n">
        <x:v>8</x:v>
      </x:c>
      <x:c r="B12" s="24" t="str">
        <x:v>F-ZJ-08</x:v>
      </x:c>
      <x:c r="C12" s="24" t="str">
        <x:v>涤元丹</x:v>
      </x:c>
      <x:c r="D12" s="24" t="str">
        <x:v>G-修毒</x:v>
      </x:c>
      <x:c r="E12" s="24" t="str">
        <x:v>J-ZJ-08</x:v>
      </x:c>
      <x:c r="F12" s="24" t="str">
        <x:v>澄泥草</x:v>
      </x:c>
      <x:c r="G12" s="24" t="n">
        <x:v>-1</x:v>
      </x:c>
      <x:c r="H12" s="24" t="str">
        <x:v>金</x:v>
      </x:c>
      <x:c r="I12" s="24" t="str">
        <x:v>甘</x:v>
      </x:c>
      <x:c r="J12" s="24" t="n">
        <x:v>-1</x:v>
      </x:c>
      <x:c r="K12" s="24" t="n">
        <x:v>4</x:v>
      </x:c>
      <x:c r="L12" s="16" t="n">
        <x:f>VLOOKUP(H12,'01_参数'!$A$5:$D$9,2,FALSE)</x:f>
        <x:v>0</x:v>
      </x:c>
      <x:c r="M12" s="16" t="n">
        <x:f>VLOOKUP(H12,'01_参数'!$A$5:$D$9,3,FALSE)</x:f>
        <x:v>-1</x:v>
      </x:c>
      <x:c r="N12" s="16" t="n">
        <x:f>VLOOKUP(H12,'01_参数'!$A$5:$D$9,4,FALSE)</x:f>
        <x:v>-2</x:v>
      </x:c>
      <x:c r="O12" s="16" t="n">
        <x:f>VLOOKUP(I12,'01_参数'!$F$5:$I$9,2,FALSE)</x:f>
        <x:v>0</x:v>
      </x:c>
      <x:c r="P12" s="16" t="n">
        <x:f>VLOOKUP(I12,'01_参数'!$F$5:$I$9,3,FALSE)</x:f>
        <x:v>-1</x:v>
      </x:c>
      <x:c r="Q12" s="16" t="n">
        <x:f>VLOOKUP(I12,'01_参数'!$F$5:$I$9,4,FALSE)</x:f>
        <x:v>1</x:v>
      </x:c>
      <x:c r="R12" s="16" t="n">
        <x:f>$J12-$G12-L12-O12</x:f>
        <x:v>0</x:v>
      </x:c>
      <x:c r="S12" s="16" t="n">
        <x:f>$J12-$G12-L12-P12</x:f>
        <x:v>1</x:v>
      </x:c>
      <x:c r="T12" s="16" t="n">
        <x:f>$J12-$G12-L12-Q12</x:f>
        <x:v>-1</x:v>
      </x:c>
      <x:c r="U12" s="16" t="n">
        <x:f>$J12-$G12-M12-O12</x:f>
        <x:v>1</x:v>
      </x:c>
      <x:c r="V12" s="16" t="n">
        <x:f>$J12-$G12-M12-P12</x:f>
        <x:v>2</x:v>
      </x:c>
      <x:c r="W12" s="16" t="n">
        <x:f>$J12-$G12-M12-Q12</x:f>
        <x:v>0</x:v>
      </x:c>
      <x:c r="X12" s="16" t="n">
        <x:f>$J12-$G12-N12-O12</x:f>
        <x:v>2</x:v>
      </x:c>
      <x:c r="Y12" s="16" t="n">
        <x:f>$J12-$G12-N12-P12</x:f>
        <x:v>3</x:v>
      </x:c>
      <x:c r="Z12" s="16" t="n">
        <x:f>$J12-$G12-N12-Q12</x:f>
        <x:v>1</x:v>
      </x:c>
      <x:c r="AA12" s="23" t="n">
        <x:f>COUNTIFS(R12:Z12,"&gt;=-2",R12:Z12,"&lt;=2")</x:f>
        <x:v>8</x:v>
      </x:c>
      <x:c r="AB12" s="23" t="str">
        <x:f>IF(AND(AA12&gt;=K12,K12&gt;=3,K12&lt;=6),"通过","检查")</x:f>
        <x:v>通过</x:v>
      </x:c>
      <x:c r="AC12" s="23" t="n">
        <x:f>IF(COUNTIF($E$5:E12,E12)=1,1,0)</x:f>
        <x:v>1</x:v>
      </x:c>
    </x:row>
    <x:row r="13">
      <x:c r="A13" s="24" t="n">
        <x:v>9</x:v>
      </x:c>
      <x:c r="B13" s="24" t="str">
        <x:v>F-ZJ-09</x:v>
      </x:c>
      <x:c r="C13" s="24" t="str">
        <x:v>固本丹</x:v>
      </x:c>
      <x:c r="D13" s="24" t="str">
        <x:v>G-固本</x:v>
      </x:c>
      <x:c r="E13" s="24" t="str">
        <x:v>J-ZJ-09</x:v>
      </x:c>
      <x:c r="F13" s="24" t="str">
        <x:v>磐骨薯</x:v>
      </x:c>
      <x:c r="G13" s="24" t="n">
        <x:v>1</x:v>
      </x:c>
      <x:c r="H13" s="24" t="str">
        <x:v>土</x:v>
      </x:c>
      <x:c r="I13" s="24" t="str">
        <x:v>咸</x:v>
      </x:c>
      <x:c r="J13" s="24" t="n">
        <x:v>1</x:v>
      </x:c>
      <x:c r="K13" s="24" t="n">
        <x:v>4</x:v>
      </x:c>
      <x:c r="L13" s="16" t="n">
        <x:f>VLOOKUP(H13,'01_参数'!$A$5:$D$9,2,FALSE)</x:f>
        <x:v>0</x:v>
      </x:c>
      <x:c r="M13" s="16" t="n">
        <x:f>VLOOKUP(H13,'01_参数'!$A$5:$D$9,3,FALSE)</x:f>
        <x:v>1</x:v>
      </x:c>
      <x:c r="N13" s="16" t="n">
        <x:f>VLOOKUP(H13,'01_参数'!$A$5:$D$9,4,FALSE)</x:f>
        <x:v>-1</x:v>
      </x:c>
      <x:c r="O13" s="16" t="n">
        <x:f>VLOOKUP(I13,'01_参数'!$F$5:$I$9,2,FALSE)</x:f>
        <x:v>0</x:v>
      </x:c>
      <x:c r="P13" s="16" t="n">
        <x:f>VLOOKUP(I13,'01_参数'!$F$5:$I$9,3,FALSE)</x:f>
        <x:v>-2</x:v>
      </x:c>
      <x:c r="Q13" s="16" t="n">
        <x:f>VLOOKUP(I13,'01_参数'!$F$5:$I$9,4,FALSE)</x:f>
        <x:v>-1</x:v>
      </x:c>
      <x:c r="R13" s="16" t="n">
        <x:f>$J13-$G13-L13-O13</x:f>
        <x:v>0</x:v>
      </x:c>
      <x:c r="S13" s="16" t="n">
        <x:f>$J13-$G13-L13-P13</x:f>
        <x:v>2</x:v>
      </x:c>
      <x:c r="T13" s="16" t="n">
        <x:f>$J13-$G13-L13-Q13</x:f>
        <x:v>1</x:v>
      </x:c>
      <x:c r="U13" s="16" t="n">
        <x:f>$J13-$G13-M13-O13</x:f>
        <x:v>-1</x:v>
      </x:c>
      <x:c r="V13" s="16" t="n">
        <x:f>$J13-$G13-M13-P13</x:f>
        <x:v>1</x:v>
      </x:c>
      <x:c r="W13" s="16" t="n">
        <x:f>$J13-$G13-M13-Q13</x:f>
        <x:v>0</x:v>
      </x:c>
      <x:c r="X13" s="16" t="n">
        <x:f>$J13-$G13-N13-O13</x:f>
        <x:v>1</x:v>
      </x:c>
      <x:c r="Y13" s="16" t="n">
        <x:f>$J13-$G13-N13-P13</x:f>
        <x:v>3</x:v>
      </x:c>
      <x:c r="Z13" s="16" t="n">
        <x:f>$J13-$G13-N13-Q13</x:f>
        <x:v>2</x:v>
      </x:c>
      <x:c r="AA13" s="23" t="n">
        <x:f>COUNTIFS(R13:Z13,"&gt;=-2",R13:Z13,"&lt;=2")</x:f>
        <x:v>8</x:v>
      </x:c>
      <x:c r="AB13" s="23" t="str">
        <x:f>IF(AND(AA13&gt;=K13,K13&gt;=3,K13&lt;=6),"通过","检查")</x:f>
        <x:v>通过</x:v>
      </x:c>
      <x:c r="AC13" s="23" t="n">
        <x:f>IF(COUNTIF($E$5:E13,E13)=1,1,0)</x:f>
        <x:v>1</x:v>
      </x:c>
    </x:row>
    <x:row r="14">
      <x:c r="A14" s="24" t="n">
        <x:v>10</x:v>
      </x:c>
      <x:c r="B14" s="24" t="str">
        <x:v>F-ZJ-10</x:v>
      </x:c>
      <x:c r="C14" s="24" t="str">
        <x:v>养神丹</x:v>
      </x:c>
      <x:c r="D14" s="24" t="str">
        <x:v>G-养神</x:v>
      </x:c>
      <x:c r="E14" s="24" t="str">
        <x:v>J-ZJ-10</x:v>
      </x:c>
      <x:c r="F14" s="24" t="str">
        <x:v>安神芝</x:v>
      </x:c>
      <x:c r="G14" s="24" t="n">
        <x:v>0</x:v>
      </x:c>
      <x:c r="H14" s="24" t="str">
        <x:v>土</x:v>
      </x:c>
      <x:c r="I14" s="24" t="str">
        <x:v>苦</x:v>
      </x:c>
      <x:c r="J14" s="24" t="n">
        <x:v>0</x:v>
      </x:c>
      <x:c r="K14" s="24" t="n">
        <x:v>4</x:v>
      </x:c>
      <x:c r="L14" s="16" t="n">
        <x:f>VLOOKUP(H14,'01_参数'!$A$5:$D$9,2,FALSE)</x:f>
        <x:v>0</x:v>
      </x:c>
      <x:c r="M14" s="16" t="n">
        <x:f>VLOOKUP(H14,'01_参数'!$A$5:$D$9,3,FALSE)</x:f>
        <x:v>1</x:v>
      </x:c>
      <x:c r="N14" s="16" t="n">
        <x:f>VLOOKUP(H14,'01_参数'!$A$5:$D$9,4,FALSE)</x:f>
        <x:v>-1</x:v>
      </x:c>
      <x:c r="O14" s="16" t="n">
        <x:f>VLOOKUP(I14,'01_参数'!$F$5:$I$9,2,FALSE)</x:f>
        <x:v>0</x:v>
      </x:c>
      <x:c r="P14" s="16" t="n">
        <x:f>VLOOKUP(I14,'01_参数'!$F$5:$I$9,3,FALSE)</x:f>
        <x:v>-1</x:v>
      </x:c>
      <x:c r="Q14" s="16" t="n">
        <x:f>VLOOKUP(I14,'01_参数'!$F$5:$I$9,4,FALSE)</x:f>
        <x:v>-2</x:v>
      </x:c>
      <x:c r="R14" s="16" t="n">
        <x:f>$J14-$G14-L14-O14</x:f>
        <x:v>0</x:v>
      </x:c>
      <x:c r="S14" s="16" t="n">
        <x:f>$J14-$G14-L14-P14</x:f>
        <x:v>1</x:v>
      </x:c>
      <x:c r="T14" s="16" t="n">
        <x:f>$J14-$G14-L14-Q14</x:f>
        <x:v>2</x:v>
      </x:c>
      <x:c r="U14" s="16" t="n">
        <x:f>$J14-$G14-M14-O14</x:f>
        <x:v>-1</x:v>
      </x:c>
      <x:c r="V14" s="16" t="n">
        <x:f>$J14-$G14-M14-P14</x:f>
        <x:v>0</x:v>
      </x:c>
      <x:c r="W14" s="16" t="n">
        <x:f>$J14-$G14-M14-Q14</x:f>
        <x:v>1</x:v>
      </x:c>
      <x:c r="X14" s="16" t="n">
        <x:f>$J14-$G14-N14-O14</x:f>
        <x:v>1</x:v>
      </x:c>
      <x:c r="Y14" s="16" t="n">
        <x:f>$J14-$G14-N14-P14</x:f>
        <x:v>2</x:v>
      </x:c>
      <x:c r="Z14" s="16" t="n">
        <x:f>$J14-$G14-N14-Q14</x:f>
        <x:v>3</x:v>
      </x:c>
      <x:c r="AA14" s="23" t="n">
        <x:f>COUNTIFS(R14:Z14,"&gt;=-2",R14:Z14,"&lt;=2")</x:f>
        <x:v>8</x:v>
      </x:c>
      <x:c r="AB14" s="23" t="str">
        <x:f>IF(AND(AA14&gt;=K14,K14&gt;=3,K14&lt;=6),"通过","检查")</x:f>
        <x:v>通过</x:v>
      </x:c>
      <x:c r="AC14" s="23" t="n">
        <x:f>IF(COUNTIF($E$5:E14,E14)=1,1,0)</x:f>
        <x:v>1</x:v>
      </x:c>
    </x:row>
    <x:row r="15">
      <x:c r="A15" s="24" t="n">
        <x:v>11</x:v>
      </x:c>
      <x:c r="B15" s="24" t="str">
        <x:v>F-ZJ-11</x:v>
      </x:c>
      <x:c r="C15" s="24" t="str">
        <x:v>烈脉丹</x:v>
      </x:c>
      <x:c r="D15" s="24" t="str">
        <x:v>G-爆发</x:v>
      </x:c>
      <x:c r="E15" s="24" t="str">
        <x:v>J-ZJ-11</x:v>
      </x:c>
      <x:c r="F15" s="24" t="str">
        <x:v>烈阳花</x:v>
      </x:c>
      <x:c r="G15" s="24" t="n">
        <x:v>2</x:v>
      </x:c>
      <x:c r="H15" s="24" t="str">
        <x:v>火</x:v>
      </x:c>
      <x:c r="I15" s="24" t="str">
        <x:v>辛</x:v>
      </x:c>
      <x:c r="J15" s="24" t="n">
        <x:v>2</x:v>
      </x:c>
      <x:c r="K15" s="24" t="n">
        <x:v>3</x:v>
      </x:c>
      <x:c r="L15" s="16" t="n">
        <x:f>VLOOKUP(H15,'01_参数'!$A$5:$D$9,2,FALSE)</x:f>
        <x:v>0</x:v>
      </x:c>
      <x:c r="M15" s="16" t="n">
        <x:f>VLOOKUP(H15,'01_参数'!$A$5:$D$9,3,FALSE)</x:f>
        <x:v>2</x:v>
      </x:c>
      <x:c r="N15" s="16" t="n">
        <x:f>VLOOKUP(H15,'01_参数'!$A$5:$D$9,4,FALSE)</x:f>
        <x:v>1</x:v>
      </x:c>
      <x:c r="O15" s="16" t="n">
        <x:f>VLOOKUP(I15,'01_参数'!$F$5:$I$9,2,FALSE)</x:f>
        <x:v>0</x:v>
      </x:c>
      <x:c r="P15" s="16" t="n">
        <x:f>VLOOKUP(I15,'01_参数'!$F$5:$I$9,3,FALSE)</x:f>
        <x:v>1</x:v>
      </x:c>
      <x:c r="Q15" s="16" t="n">
        <x:f>VLOOKUP(I15,'01_参数'!$F$5:$I$9,4,FALSE)</x:f>
        <x:v>-1</x:v>
      </x:c>
      <x:c r="R15" s="16" t="n">
        <x:f>$J15-$G15-L15-O15</x:f>
        <x:v>0</x:v>
      </x:c>
      <x:c r="S15" s="16" t="n">
        <x:f>$J15-$G15-L15-P15</x:f>
        <x:v>-1</x:v>
      </x:c>
      <x:c r="T15" s="16" t="n">
        <x:f>$J15-$G15-L15-Q15</x:f>
        <x:v>1</x:v>
      </x:c>
      <x:c r="U15" s="16" t="n">
        <x:f>$J15-$G15-M15-O15</x:f>
        <x:v>-2</x:v>
      </x:c>
      <x:c r="V15" s="16" t="n">
        <x:f>$J15-$G15-M15-P15</x:f>
        <x:v>-3</x:v>
      </x:c>
      <x:c r="W15" s="16" t="n">
        <x:f>$J15-$G15-M15-Q15</x:f>
        <x:v>-1</x:v>
      </x:c>
      <x:c r="X15" s="16" t="n">
        <x:f>$J15-$G15-N15-O15</x:f>
        <x:v>-1</x:v>
      </x:c>
      <x:c r="Y15" s="16" t="n">
        <x:f>$J15-$G15-N15-P15</x:f>
        <x:v>-2</x:v>
      </x:c>
      <x:c r="Z15" s="16" t="n">
        <x:f>$J15-$G15-N15-Q15</x:f>
        <x:v>0</x:v>
      </x:c>
      <x:c r="AA15" s="23" t="n">
        <x:f>COUNTIFS(R15:Z15,"&gt;=-2",R15:Z15,"&lt;=2")</x:f>
        <x:v>8</x:v>
      </x:c>
      <x:c r="AB15" s="23" t="str">
        <x:f>IF(AND(AA15&gt;=K15,K15&gt;=3,K15&lt;=6),"通过","检查")</x:f>
        <x:v>通过</x:v>
      </x:c>
      <x:c r="AC15" s="23" t="n">
        <x:f>IF(COUNTIF($E$5:E15,E15)=1,1,0)</x:f>
        <x:v>1</x:v>
      </x:c>
    </x:row>
    <x:row r="16">
      <x:c r="A16" s="24" t="n">
        <x:v>12</x:v>
      </x:c>
      <x:c r="B16" s="24" t="str">
        <x:v>F-ZJ-12</x:v>
      </x:c>
      <x:c r="C16" s="24" t="str">
        <x:v>守脉丹</x:v>
      </x:c>
      <x:c r="D16" s="24" t="str">
        <x:v>G-抗性</x:v>
      </x:c>
      <x:c r="E16" s="24" t="str">
        <x:v>J-ZJ-12</x:v>
      </x:c>
      <x:c r="F16" s="24" t="str">
        <x:v>铁甲藓</x:v>
      </x:c>
      <x:c r="G16" s="24" t="n">
        <x:v>-1</x:v>
      </x:c>
      <x:c r="H16" s="24" t="str">
        <x:v>金</x:v>
      </x:c>
      <x:c r="I16" s="24" t="str">
        <x:v>辛</x:v>
      </x:c>
      <x:c r="J16" s="24" t="n">
        <x:v>-1</x:v>
      </x:c>
      <x:c r="K16" s="24" t="n">
        <x:v>3</x:v>
      </x:c>
      <x:c r="L16" s="16" t="n">
        <x:f>VLOOKUP(H16,'01_参数'!$A$5:$D$9,2,FALSE)</x:f>
        <x:v>0</x:v>
      </x:c>
      <x:c r="M16" s="16" t="n">
        <x:f>VLOOKUP(H16,'01_参数'!$A$5:$D$9,3,FALSE)</x:f>
        <x:v>-1</x:v>
      </x:c>
      <x:c r="N16" s="16" t="n">
        <x:f>VLOOKUP(H16,'01_参数'!$A$5:$D$9,4,FALSE)</x:f>
        <x:v>-2</x:v>
      </x:c>
      <x:c r="O16" s="16" t="n">
        <x:f>VLOOKUP(I16,'01_参数'!$F$5:$I$9,2,FALSE)</x:f>
        <x:v>0</x:v>
      </x:c>
      <x:c r="P16" s="16" t="n">
        <x:f>VLOOKUP(I16,'01_参数'!$F$5:$I$9,3,FALSE)</x:f>
        <x:v>1</x:v>
      </x:c>
      <x:c r="Q16" s="16" t="n">
        <x:f>VLOOKUP(I16,'01_参数'!$F$5:$I$9,4,FALSE)</x:f>
        <x:v>-1</x:v>
      </x:c>
      <x:c r="R16" s="16" t="n">
        <x:f>$J16-$G16-L16-O16</x:f>
        <x:v>0</x:v>
      </x:c>
      <x:c r="S16" s="16" t="n">
        <x:f>$J16-$G16-L16-P16</x:f>
        <x:v>-1</x:v>
      </x:c>
      <x:c r="T16" s="16" t="n">
        <x:f>$J16-$G16-L16-Q16</x:f>
        <x:v>1</x:v>
      </x:c>
      <x:c r="U16" s="16" t="n">
        <x:f>$J16-$G16-M16-O16</x:f>
        <x:v>1</x:v>
      </x:c>
      <x:c r="V16" s="16" t="n">
        <x:f>$J16-$G16-M16-P16</x:f>
        <x:v>0</x:v>
      </x:c>
      <x:c r="W16" s="16" t="n">
        <x:f>$J16-$G16-M16-Q16</x:f>
        <x:v>2</x:v>
      </x:c>
      <x:c r="X16" s="16" t="n">
        <x:f>$J16-$G16-N16-O16</x:f>
        <x:v>2</x:v>
      </x:c>
      <x:c r="Y16" s="16" t="n">
        <x:f>$J16-$G16-N16-P16</x:f>
        <x:v>1</x:v>
      </x:c>
      <x:c r="Z16" s="16" t="n">
        <x:f>$J16-$G16-N16-Q16</x:f>
        <x:v>3</x:v>
      </x:c>
      <x:c r="AA16" s="23" t="n">
        <x:f>COUNTIFS(R16:Z16,"&gt;=-2",R16:Z16,"&lt;=2")</x:f>
        <x:v>8</x:v>
      </x:c>
      <x:c r="AB16" s="23" t="str">
        <x:f>IF(AND(AA16&gt;=K16,K16&gt;=3,K16&lt;=6),"通过","检查")</x:f>
        <x:v>通过</x:v>
      </x:c>
      <x:c r="AC16" s="23" t="n">
        <x:f>IF(COUNTIF($E$5:E16,E16)=1,1,0)</x:f>
        <x:v>1</x:v>
      </x:c>
    </x:row>
    <x:row r="17">
      <x:c r="A17" s="24" t="n">
        <x:v>13</x:v>
      </x:c>
      <x:c r="B17" s="24" t="str">
        <x:v>F-ZJ-13</x:v>
      </x:c>
      <x:c r="C17" s="24" t="str">
        <x:v>展脉丹</x:v>
      </x:c>
      <x:c r="D17" s="24" t="str">
        <x:v>G-行遁</x:v>
      </x:c>
      <x:c r="E17" s="24" t="str">
        <x:v>J-ZJ-13</x:v>
      </x:c>
      <x:c r="F17" s="24" t="str">
        <x:v>疾风藤</x:v>
      </x:c>
      <x:c r="G17" s="24" t="n">
        <x:v>1</x:v>
      </x:c>
      <x:c r="H17" s="24" t="str">
        <x:v>木</x:v>
      </x:c>
      <x:c r="I17" s="24" t="str">
        <x:v>辛</x:v>
      </x:c>
      <x:c r="J17" s="24" t="n">
        <x:v>1</x:v>
      </x:c>
      <x:c r="K17" s="24" t="n">
        <x:v>3</x:v>
      </x:c>
      <x:c r="L17" s="16" t="n">
        <x:f>VLOOKUP(H17,'01_参数'!$A$5:$D$9,2,FALSE)</x:f>
        <x:v>0</x:v>
      </x:c>
      <x:c r="M17" s="16" t="n">
        <x:f>VLOOKUP(H17,'01_参数'!$A$5:$D$9,3,FALSE)</x:f>
        <x:v>1</x:v>
      </x:c>
      <x:c r="N17" s="16" t="n">
        <x:f>VLOOKUP(H17,'01_参数'!$A$5:$D$9,4,FALSE)</x:f>
        <x:v>2</x:v>
      </x:c>
      <x:c r="O17" s="16" t="n">
        <x:f>VLOOKUP(I17,'01_参数'!$F$5:$I$9,2,FALSE)</x:f>
        <x:v>0</x:v>
      </x:c>
      <x:c r="P17" s="16" t="n">
        <x:f>VLOOKUP(I17,'01_参数'!$F$5:$I$9,3,FALSE)</x:f>
        <x:v>1</x:v>
      </x:c>
      <x:c r="Q17" s="16" t="n">
        <x:f>VLOOKUP(I17,'01_参数'!$F$5:$I$9,4,FALSE)</x:f>
        <x:v>-1</x:v>
      </x:c>
      <x:c r="R17" s="16" t="n">
        <x:f>$J17-$G17-L17-O17</x:f>
        <x:v>0</x:v>
      </x:c>
      <x:c r="S17" s="16" t="n">
        <x:f>$J17-$G17-L17-P17</x:f>
        <x:v>-1</x:v>
      </x:c>
      <x:c r="T17" s="16" t="n">
        <x:f>$J17-$G17-L17-Q17</x:f>
        <x:v>1</x:v>
      </x:c>
      <x:c r="U17" s="16" t="n">
        <x:f>$J17-$G17-M17-O17</x:f>
        <x:v>-1</x:v>
      </x:c>
      <x:c r="V17" s="16" t="n">
        <x:f>$J17-$G17-M17-P17</x:f>
        <x:v>-2</x:v>
      </x:c>
      <x:c r="W17" s="16" t="n">
        <x:f>$J17-$G17-M17-Q17</x:f>
        <x:v>0</x:v>
      </x:c>
      <x:c r="X17" s="16" t="n">
        <x:f>$J17-$G17-N17-O17</x:f>
        <x:v>-2</x:v>
      </x:c>
      <x:c r="Y17" s="16" t="n">
        <x:f>$J17-$G17-N17-P17</x:f>
        <x:v>-3</x:v>
      </x:c>
      <x:c r="Z17" s="16" t="n">
        <x:f>$J17-$G17-N17-Q17</x:f>
        <x:v>-1</x:v>
      </x:c>
      <x:c r="AA17" s="23" t="n">
        <x:f>COUNTIFS(R17:Z17,"&gt;=-2",R17:Z17,"&lt;=2")</x:f>
        <x:v>8</x:v>
      </x:c>
      <x:c r="AB17" s="23" t="str">
        <x:f>IF(AND(AA17&gt;=K17,K17&gt;=3,K17&lt;=6),"通过","检查")</x:f>
        <x:v>通过</x:v>
      </x:c>
      <x:c r="AC17" s="23" t="n">
        <x:f>IF(COUNTIF($E$5:E17,E17)=1,1,0)</x:f>
        <x:v>1</x:v>
      </x:c>
    </x:row>
    <x:row r="18">
      <x:c r="A18" s="24" t="n">
        <x:v>14</x:v>
      </x:c>
      <x:c r="B18" s="24" t="str">
        <x:v>F-ZJ-14</x:v>
      </x:c>
      <x:c r="C18" s="24" t="str">
        <x:v>明台丹</x:v>
      </x:c>
      <x:c r="D18" s="24" t="str">
        <x:v>G-感知</x:v>
      </x:c>
      <x:c r="E18" s="24" t="str">
        <x:v>J-ZJ-14</x:v>
      </x:c>
      <x:c r="F18" s="24" t="str">
        <x:v>明目菌</x:v>
      </x:c>
      <x:c r="G18" s="24" t="n">
        <x:v>1</x:v>
      </x:c>
      <x:c r="H18" s="24" t="str">
        <x:v>火</x:v>
      </x:c>
      <x:c r="I18" s="24" t="str">
        <x:v>苦</x:v>
      </x:c>
      <x:c r="J18" s="24" t="n">
        <x:v>1</x:v>
      </x:c>
      <x:c r="K18" s="24" t="n">
        <x:v>3</x:v>
      </x:c>
      <x:c r="L18" s="16" t="n">
        <x:f>VLOOKUP(H18,'01_参数'!$A$5:$D$9,2,FALSE)</x:f>
        <x:v>0</x:v>
      </x:c>
      <x:c r="M18" s="16" t="n">
        <x:f>VLOOKUP(H18,'01_参数'!$A$5:$D$9,3,FALSE)</x:f>
        <x:v>2</x:v>
      </x:c>
      <x:c r="N18" s="16" t="n">
        <x:f>VLOOKUP(H18,'01_参数'!$A$5:$D$9,4,FALSE)</x:f>
        <x:v>1</x:v>
      </x:c>
      <x:c r="O18" s="16" t="n">
        <x:f>VLOOKUP(I18,'01_参数'!$F$5:$I$9,2,FALSE)</x:f>
        <x:v>0</x:v>
      </x:c>
      <x:c r="P18" s="16" t="n">
        <x:f>VLOOKUP(I18,'01_参数'!$F$5:$I$9,3,FALSE)</x:f>
        <x:v>-1</x:v>
      </x:c>
      <x:c r="Q18" s="16" t="n">
        <x:f>VLOOKUP(I18,'01_参数'!$F$5:$I$9,4,FALSE)</x:f>
        <x:v>-2</x:v>
      </x:c>
      <x:c r="R18" s="16" t="n">
        <x:f>$J18-$G18-L18-O18</x:f>
        <x:v>0</x:v>
      </x:c>
      <x:c r="S18" s="16" t="n">
        <x:f>$J18-$G18-L18-P18</x:f>
        <x:v>1</x:v>
      </x:c>
      <x:c r="T18" s="16" t="n">
        <x:f>$J18-$G18-L18-Q18</x:f>
        <x:v>2</x:v>
      </x:c>
      <x:c r="U18" s="16" t="n">
        <x:f>$J18-$G18-M18-O18</x:f>
        <x:v>-2</x:v>
      </x:c>
      <x:c r="V18" s="16" t="n">
        <x:f>$J18-$G18-M18-P18</x:f>
        <x:v>-1</x:v>
      </x:c>
      <x:c r="W18" s="16" t="n">
        <x:f>$J18-$G18-M18-Q18</x:f>
        <x:v>0</x:v>
      </x:c>
      <x:c r="X18" s="16" t="n">
        <x:f>$J18-$G18-N18-O18</x:f>
        <x:v>-1</x:v>
      </x:c>
      <x:c r="Y18" s="16" t="n">
        <x:f>$J18-$G18-N18-P18</x:f>
        <x:v>0</x:v>
      </x:c>
      <x:c r="Z18" s="16" t="n">
        <x:f>$J18-$G18-N18-Q18</x:f>
        <x:v>1</x:v>
      </x:c>
      <x:c r="AA18" s="23" t="n">
        <x:f>COUNTIFS(R18:Z18,"&gt;=-2",R18:Z18,"&lt;=2")</x:f>
        <x:v>9</x:v>
      </x:c>
      <x:c r="AB18" s="23" t="str">
        <x:f>IF(AND(AA18&gt;=K18,K18&gt;=3,K18&lt;=6),"通过","检查")</x:f>
        <x:v>通过</x:v>
      </x:c>
      <x:c r="AC18" s="23" t="n">
        <x:f>IF(COUNTIF($E$5:E18,E18)=1,1,0)</x:f>
        <x:v>1</x:v>
      </x:c>
    </x:row>
    <x:row r="19">
      <x:c r="A19" s="24" t="n">
        <x:v>15</x:v>
      </x:c>
      <x:c r="B19" s="24" t="str">
        <x:v>F-ZJ-15</x:v>
      </x:c>
      <x:c r="C19" s="24" t="str">
        <x:v>续元丹</x:v>
      </x:c>
      <x:c r="D19" s="24" t="str">
        <x:v>G-延寿</x:v>
      </x:c>
      <x:c r="E19" s="24" t="str">
        <x:v>J-ZJ-15</x:v>
      </x:c>
      <x:c r="F19" s="24" t="str">
        <x:v>龟纹苔</x:v>
      </x:c>
      <x:c r="G19" s="24" t="n">
        <x:v>0</x:v>
      </x:c>
      <x:c r="H19" s="24" t="str">
        <x:v>水</x:v>
      </x:c>
      <x:c r="I19" s="24" t="str">
        <x:v>咸</x:v>
      </x:c>
      <x:c r="J19" s="24" t="n">
        <x:v>0</x:v>
      </x:c>
      <x:c r="K19" s="24" t="n">
        <x:v>5</x:v>
      </x:c>
      <x:c r="L19" s="16" t="n">
        <x:f>VLOOKUP(H19,'01_参数'!$A$5:$D$9,2,FALSE)</x:f>
        <x:v>0</x:v>
      </x:c>
      <x:c r="M19" s="16" t="n">
        <x:f>VLOOKUP(H19,'01_参数'!$A$5:$D$9,3,FALSE)</x:f>
        <x:v>-1</x:v>
      </x:c>
      <x:c r="N19" s="16" t="n">
        <x:f>VLOOKUP(H19,'01_参数'!$A$5:$D$9,4,FALSE)</x:f>
        <x:v>-2</x:v>
      </x:c>
      <x:c r="O19" s="16" t="n">
        <x:f>VLOOKUP(I19,'01_参数'!$F$5:$I$9,2,FALSE)</x:f>
        <x:v>0</x:v>
      </x:c>
      <x:c r="P19" s="16" t="n">
        <x:f>VLOOKUP(I19,'01_参数'!$F$5:$I$9,3,FALSE)</x:f>
        <x:v>-2</x:v>
      </x:c>
      <x:c r="Q19" s="16" t="n">
        <x:f>VLOOKUP(I19,'01_参数'!$F$5:$I$9,4,FALSE)</x:f>
        <x:v>-1</x:v>
      </x:c>
      <x:c r="R19" s="16" t="n">
        <x:f>$J19-$G19-L19-O19</x:f>
        <x:v>0</x:v>
      </x:c>
      <x:c r="S19" s="16" t="n">
        <x:f>$J19-$G19-L19-P19</x:f>
        <x:v>2</x:v>
      </x:c>
      <x:c r="T19" s="16" t="n">
        <x:f>$J19-$G19-L19-Q19</x:f>
        <x:v>1</x:v>
      </x:c>
      <x:c r="U19" s="16" t="n">
        <x:f>$J19-$G19-M19-O19</x:f>
        <x:v>1</x:v>
      </x:c>
      <x:c r="V19" s="16" t="n">
        <x:f>$J19-$G19-M19-P19</x:f>
        <x:v>3</x:v>
      </x:c>
      <x:c r="W19" s="16" t="n">
        <x:f>$J19-$G19-M19-Q19</x:f>
        <x:v>2</x:v>
      </x:c>
      <x:c r="X19" s="16" t="n">
        <x:f>$J19-$G19-N19-O19</x:f>
        <x:v>2</x:v>
      </x:c>
      <x:c r="Y19" s="16" t="n">
        <x:f>$J19-$G19-N19-P19</x:f>
        <x:v>4</x:v>
      </x:c>
      <x:c r="Z19" s="16" t="n">
        <x:f>$J19-$G19-N19-Q19</x:f>
        <x:v>3</x:v>
      </x:c>
      <x:c r="AA19" s="23" t="n">
        <x:f>COUNTIFS(R19:Z19,"&gt;=-2",R19:Z19,"&lt;=2")</x:f>
        <x:v>6</x:v>
      </x:c>
      <x:c r="AB19" s="23" t="str">
        <x:f>IF(AND(AA19&gt;=K19,K19&gt;=3,K19&lt;=6),"通过","检查")</x:f>
        <x:v>通过</x:v>
      </x:c>
      <x:c r="AC19" s="23" t="n">
        <x:f>IF(COUNTIF($E$5:E19,E19)=1,1,0)</x:f>
        <x:v>1</x:v>
      </x:c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  <x:c r="AA20" s="25"/>
      <x:c r="AB20" s="25"/>
      <x:c r="AC20" s="25"/>
    </x:row>
    <x:row r="21">
      <x:c r="A21" s="12" t="str">
        <x:v>核验合计</x:v>
      </x:c>
      <x:c r="B21" s="12" t="str">
        <x:v>丹方数</x:v>
      </x:c>
      <x:c r="C21" s="12" t="str">
        <x:v>君材数</x:v>
      </x:c>
      <x:c r="D21" s="12" t="str">
        <x:v>臣材数</x:v>
      </x:c>
      <x:c r="E21" s="12" t="str">
        <x:v>佐材数</x:v>
      </x:c>
      <x:c r="F21" s="12" t="str">
        <x:v>使材数</x:v>
      </x:c>
      <x:c r="G21" s="12" t="str">
        <x:v>灵植总数</x:v>
      </x:c>
      <x:c r="H21" s="12" t="str">
        <x:v>N合法总数</x:v>
      </x:c>
      <x:c r="I21" s="12" t="str">
        <x:v>N认证总数</x:v>
      </x:c>
      <x:c r="J21" s="12" t="str">
        <x:v>最少N合法</x:v>
      </x:c>
      <x:c r="K21" s="12" t="str">
        <x:v>最多N合法</x:v>
      </x:c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  <x:c r="AA21" s="25"/>
      <x:c r="AB21" s="25"/>
      <x:c r="AC21" s="25"/>
    </x:row>
    <x:row r="22">
      <x:c r="A22" s="17" t="str">
        <x:f>"工作值"</x:f>
        <x:v>工作值</x:v>
      </x:c>
      <x:c r="B22" s="17" t="n">
        <x:f>COUNTA(B5:B19)</x:f>
        <x:v>15</x:v>
      </x:c>
      <x:c r="C22" s="17" t="n">
        <x:f>SUM(AC5:AC19)</x:f>
        <x:v>13</x:v>
      </x:c>
      <x:c r="D22" s="17" t="n">
        <x:f>15</x:f>
        <x:v>15</x:v>
      </x:c>
      <x:c r="E22" s="17" t="n">
        <x:f>5</x:f>
        <x:v>5</x:v>
      </x:c>
      <x:c r="F22" s="17" t="n">
        <x:f>15</x:f>
        <x:v>15</x:v>
      </x:c>
      <x:c r="G22" s="17" t="n">
        <x:f>C22+D22+E22+F22</x:f>
        <x:v>48</x:v>
      </x:c>
      <x:c r="H22" s="17" t="n">
        <x:f>SUM(AA5:AA19)</x:f>
        <x:v>122</x:v>
      </x:c>
      <x:c r="I22" s="17" t="n">
        <x:f>SUM(K5:K19)</x:f>
        <x:v>52</x:v>
      </x:c>
      <x:c r="J22" s="17" t="n">
        <x:f>MIN(AA5:AA19)</x:f>
        <x:v>6</x:v>
      </x:c>
      <x:c r="K22" s="17" t="n">
        <x:f>MAX(AA5:AA19)</x:f>
        <x:v>9</x:v>
      </x:c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  <x:c r="AA22" s="25"/>
      <x:c r="AB22" s="25"/>
      <x:c r="AC22" s="25"/>
    </x:row>
  </x:sheetData>
  <x:mergeCells>
    <x:mergeCell ref="A1:AC1"/>
    <x:mergeCell ref="A2:AC2"/>
  </x:mergeCells>
  <x:conditionalFormatting sqref="AB5:AB19">
    <x:cfRule type="containsText" dxfId="0" priority="1" operator="containsText" text="通过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玩家学习与系统判定｜一个入口，两层深度</x:v>
      </x:c>
      <x:c r="B1" s="3" t="str">
        <x:v>玩家学习与系统判定｜一个入口，两层深度</x:v>
      </x:c>
      <x:c r="C1" s="3" t="str">
        <x:v>玩家学习与系统判定｜一个入口，两层深度</x:v>
      </x:c>
      <x:c r="D1" s="3" t="str">
        <x:v>玩家学习与系统判定｜一个入口，两层深度</x:v>
      </x:c>
      <x:c r="E1" s="3" t="str">
        <x:v>玩家学习与系统判定｜一个入口，两层深度</x:v>
      </x:c>
      <x:c r="F1" s="3" t="str">
        <x:v>玩家学习与系统判定｜一个入口，两层深度</x:v>
      </x:c>
      <x:c r="G1" s="3" t="str">
        <x:v>玩家学习与系统判定｜一个入口，两层深度</x:v>
      </x:c>
      <x:c r="H1" s="3" t="str">
        <x:v>玩家学习与系统判定｜一个入口，两层深度</x:v>
      </x:c>
    </x:row>
    <x:row r="2" ht="25" customHeight="1">
      <x:c r="A2" s="7" t="str">
        <x:v>默认照认证组合；试方模式复用同一验证器，不另造第二套炼丹规则</x:v>
      </x:c>
      <x:c r="B2" s="7" t="str">
        <x:v>默认照认证组合；试方模式复用同一验证器，不另造第二套炼丹规则</x:v>
      </x:c>
      <x:c r="C2" s="7" t="str">
        <x:v>默认照认证组合；试方模式复用同一验证器，不另造第二套炼丹规则</x:v>
      </x:c>
      <x:c r="D2" s="7" t="str">
        <x:v>默认照认证组合；试方模式复用同一验证器，不另造第二套炼丹规则</x:v>
      </x:c>
      <x:c r="E2" s="7" t="str">
        <x:v>默认照认证组合；试方模式复用同一验证器，不另造第二套炼丹规则</x:v>
      </x:c>
      <x:c r="F2" s="7" t="str">
        <x:v>默认照认证组合；试方模式复用同一验证器，不另造第二套炼丹规则</x:v>
      </x:c>
      <x:c r="G2" s="7" t="str">
        <x:v>默认照认证组合；试方模式复用同一验证器，不另造第二套炼丹规则</x:v>
      </x:c>
      <x:c r="H2" s="7" t="str">
        <x:v>默认照认证组合；试方模式复用同一验证器，不另造第二套炼丹规则</x:v>
      </x:c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2" t="str">
        <x:v>阶段</x:v>
      </x:c>
      <x:c r="B4" s="12" t="str">
        <x:v>玩家动作</x:v>
      </x:c>
      <x:c r="C4" s="12" t="str">
        <x:v>君</x:v>
      </x:c>
      <x:c r="D4" s="12" t="str">
        <x:v>臣</x:v>
      </x:c>
      <x:c r="E4" s="12" t="str">
        <x:v>佐</x:v>
      </x:c>
      <x:c r="F4" s="12" t="str">
        <x:v>使</x:v>
      </x:c>
      <x:c r="G4" s="12" t="str">
        <x:v>系统检查</x:v>
      </x:c>
      <x:c r="H4" s="12" t="str">
        <x:v>结果</x:v>
      </x:c>
    </x:row>
    <x:row r="5">
      <x:c r="A5" s="16" t="str">
        <x:v>初学</x:v>
      </x:c>
      <x:c r="B5" s="16" t="str">
        <x:v>选择师承标准解</x:v>
      </x:c>
      <x:c r="C5" s="16" t="str">
        <x:v>自动放入</x:v>
      </x:c>
      <x:c r="D5" s="16" t="str">
        <x:v>自动放入</x:v>
      </x:c>
      <x:c r="E5" s="16" t="str">
        <x:v>自动放入</x:v>
      </x:c>
      <x:c r="F5" s="16" t="str">
        <x:v>自动放入</x:v>
      </x:c>
      <x:c r="G5" s="16" t="str">
        <x:v>五盏灯</x:v>
      </x:c>
      <x:c r="H5" s="16" t="str">
        <x:v>稳定成丹</x:v>
      </x:c>
    </x:row>
    <x:row r="6">
      <x:c r="A6" s="16" t="str">
        <x:v>日常</x:v>
      </x:c>
      <x:c r="B6" s="16" t="str">
        <x:v>改品质和份数</x:v>
      </x:c>
      <x:c r="C6" s="16" t="str">
        <x:v>锁物种</x:v>
      </x:c>
      <x:c r="D6" s="16" t="str">
        <x:v>锁物种</x:v>
      </x:c>
      <x:c r="E6" s="16" t="str">
        <x:v>锁物种</x:v>
      </x:c>
      <x:c r="F6" s="16" t="str">
        <x:v>锁物种</x:v>
      </x:c>
      <x:c r="G6" s="16" t="str">
        <x:v>方性不变；重算药力/成本</x:v>
      </x:c>
      <x:c r="H6" s="16" t="str">
        <x:v>同一组合</x:v>
      </x:c>
    </x:row>
    <x:row r="7">
      <x:c r="A7" s="16" t="str">
        <x:v>经营</x:v>
      </x:c>
      <x:c r="B7" s="16" t="str">
        <x:v>选择廉价解</x:v>
      </x:c>
      <x:c r="C7" s="16" t="str">
        <x:v>固定</x:v>
      </x:c>
      <x:c r="D7" s="16" t="str">
        <x:v>廉价路线</x:v>
      </x:c>
      <x:c r="E7" s="16" t="str">
        <x:v>配平路线</x:v>
      </x:c>
      <x:c r="F7" s="16" t="str">
        <x:v>廉价路线</x:v>
      </x:c>
      <x:c r="G7" s="16" t="str">
        <x:v>君力/总力/份数</x:v>
      </x:c>
      <x:c r="H7" s="16" t="str">
        <x:v>低成本卖药</x:v>
      </x:c>
    </x:row>
    <x:row r="8">
      <x:c r="A8" s="16" t="str">
        <x:v>冲品</x:v>
      </x:c>
      <x:c r="B8" s="16" t="str">
        <x:v>选择精炼解</x:v>
      </x:c>
      <x:c r="C8" s="16" t="str">
        <x:v>高品质</x:v>
      </x:c>
      <x:c r="D8" s="16" t="str">
        <x:v>省格/厚力</x:v>
      </x:c>
      <x:c r="E8" s="16" t="str">
        <x:v>按性配平</x:v>
      </x:c>
      <x:c r="F8" s="16" t="str">
        <x:v>厚力</x:v>
      </x:c>
      <x:c r="G8" s="16" t="str">
        <x:v>丹炉与技能另算成品品质</x:v>
      </x:c>
      <x:c r="H8" s="16" t="str">
        <x:v>冲高品质</x:v>
      </x:c>
    </x:row>
    <x:row r="9">
      <x:c r="A9" s="16" t="str">
        <x:v>试方</x:v>
      </x:c>
      <x:c r="B9" s="16" t="str">
        <x:v>替换臣佐使</x:v>
      </x:c>
      <x:c r="C9" s="16" t="str">
        <x:v>仍固定</x:v>
      </x:c>
      <x:c r="D9" s="16" t="str">
        <x:v>同行可换</x:v>
      </x:c>
      <x:c r="E9" s="16" t="str">
        <x:v>五性可换</x:v>
      </x:c>
      <x:c r="F9" s="16" t="str">
        <x:v>同味可换</x:v>
      </x:c>
      <x:c r="G9" s="16" t="str">
        <x:v>N合法验证器</x:v>
      </x:c>
      <x:c r="H9" s="16" t="str">
        <x:v>发现自研组合</x:v>
      </x:c>
    </x:row>
    <x:row r="10">
      <x:c r="A10" s="16" t="str">
        <x:v>秘传</x:v>
      </x:c>
      <x:c r="B10" s="16" t="str">
        <x:v>获得第4—6套认证</x:v>
      </x:c>
      <x:c r="C10" s="16" t="str">
        <x:v>按方</x:v>
      </x:c>
      <x:c r="D10" s="16" t="str">
        <x:v>按方</x:v>
      </x:c>
      <x:c r="E10" s="16" t="str">
        <x:v>按方</x:v>
      </x:c>
      <x:c r="F10" s="16" t="str">
        <x:v>按方</x:v>
      </x:c>
      <x:c r="G10" s="16" t="str">
        <x:v>直接登记</x:v>
      </x:c>
      <x:c r="H10" s="16" t="str">
        <x:v>组合收集</x:v>
      </x:c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0" t="str">
        <x:v>五盏灯：君药正确｜臣行相合｜方性合度｜使味归位｜药力足量（含君力与总份数）。</x:v>
      </x:c>
      <x:c r="B12" s="20" t="str">
        <x:v>五盏灯：君药正确｜臣行相合｜方性合度｜使味归位｜药力足量（含君力与总份数）。</x:v>
      </x:c>
      <x:c r="C12" s="20" t="str">
        <x:v>五盏灯：君药正确｜臣行相合｜方性合度｜使味归位｜药力足量（含君力与总份数）。</x:v>
      </x:c>
      <x:c r="D12" s="20" t="str">
        <x:v>五盏灯：君药正确｜臣行相合｜方性合度｜使味归位｜药力足量（含君力与总份数）。</x:v>
      </x:c>
      <x:c r="E12" s="20" t="str">
        <x:v>五盏灯：君药正确｜臣行相合｜方性合度｜使味归位｜药力足量（含君力与总份数）。</x:v>
      </x:c>
      <x:c r="F12" s="20" t="str">
        <x:v>五盏灯：君药正确｜臣行相合｜方性合度｜使味归位｜药力足量（含君力与总份数）。</x:v>
      </x:c>
      <x:c r="G12" s="20" t="str">
        <x:v>五盏灯：君药正确｜臣行相合｜方性合度｜使味归位｜药力足量（含君力与总份数）。</x:v>
      </x:c>
      <x:c r="H12" s="20" t="str">
        <x:v>五盏灯：君药正确｜臣行相合｜方性合度｜使味归位｜药力足量（含君力与总份数）。</x:v>
      </x:c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12" t="str">
        <x:v>不进入第一版</x:v>
      </x:c>
      <x:c r="B14" s="12" t="str">
        <x:v>双臣</x:v>
      </x:c>
      <x:c r="C14" s="12" t="str">
        <x:v>双佐</x:v>
      </x:c>
      <x:c r="D14" s="12" t="str">
        <x:v>副使</x:v>
      </x:c>
      <x:c r="E14" s="12" t="str">
        <x:v>无使炼丹</x:v>
      </x:c>
      <x:c r="F14" s="12" t="str">
        <x:v>使药损耗</x:v>
      </x:c>
      <x:c r="G14" s="12" t="str">
        <x:v>自由换君</x:v>
      </x:c>
      <x:c r="H14" s="12" t="str">
        <x:v>原因</x:v>
      </x:c>
    </x:row>
    <x:row r="15">
      <x:c r="A15" s="16" t="str">
        <x:v>后置项</x:v>
      </x:c>
      <x:c r="B15" s="16" t="str">
        <x:v>后置</x:v>
      </x:c>
      <x:c r="C15" s="16" t="str">
        <x:v>后置</x:v>
      </x:c>
      <x:c r="D15" s="16" t="str">
        <x:v>后置</x:v>
      </x:c>
      <x:c r="E15" s="16" t="str">
        <x:v>禁止</x:v>
      </x:c>
      <x:c r="F15" s="16" t="str">
        <x:v>后置</x:v>
      </x:c>
      <x:c r="G15" s="16" t="str">
        <x:v>禁止</x:v>
      </x:c>
      <x:c r="H15" s="16" t="str">
        <x:v>先把四格和双N教会玩家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4" hidden="0" customWidth="1"/>
    <x:col min="6" max="6" width="22" hidden="0" customWidth="1"/>
    <x:col min="7" max="7" width="16" hidden="0" customWidth="1"/>
    <x:col min="8" max="8" width="40" hidden="0" customWidth="1"/>
  </x:cols>
  <x:sheetData>
    <x:row r="1" ht="30" customHeight="1">
      <x:c r="A1" s="3" t="str">
        <x:v>完整性核验｜第19轮收敛工作值</x:v>
      </x:c>
      <x:c r="B1" s="3" t="str">
        <x:v>完整性核验｜第19轮收敛工作值</x:v>
      </x:c>
      <x:c r="C1" s="3" t="str">
        <x:v>完整性核验｜第19轮收敛工作值</x:v>
      </x:c>
      <x:c r="D1" s="3" t="str">
        <x:v>完整性核验｜第19轮收敛工作值</x:v>
      </x:c>
      <x:c r="E1" s="3" t="str">
        <x:v>完整性核验｜第19轮收敛工作值</x:v>
      </x:c>
      <x:c r="F1" s="3" t="str">
        <x:v>完整性核验｜第19轮收敛工作值</x:v>
      </x:c>
      <x:c r="G1" s="3" t="str">
        <x:v>完整性核验｜第19轮收敛工作值</x:v>
      </x:c>
      <x:c r="H1" s="3" t="str">
        <x:v>完整性核验｜第19轮收敛工作值</x:v>
      </x:c>
    </x:row>
    <x:row r="2" ht="25" customHeight="1">
      <x:c r="A2" s="7" t="str">
        <x:v>所有规模数字从06筑基纵切与01参数读取；未包含全局灵根清毒与洗灵根两张丹方</x:v>
      </x:c>
      <x:c r="B2" s="7" t="str">
        <x:v>所有规模数字从06筑基纵切与01参数读取；未包含全局灵根清毒与洗灵根两张丹方</x:v>
      </x:c>
      <x:c r="C2" s="7" t="str">
        <x:v>所有规模数字从06筑基纵切与01参数读取；未包含全局灵根清毒与洗灵根两张丹方</x:v>
      </x:c>
      <x:c r="D2" s="7" t="str">
        <x:v>所有规模数字从06筑基纵切与01参数读取；未包含全局灵根清毒与洗灵根两张丹方</x:v>
      </x:c>
      <x:c r="E2" s="7" t="str">
        <x:v>所有规模数字从06筑基纵切与01参数读取；未包含全局灵根清毒与洗灵根两张丹方</x:v>
      </x:c>
      <x:c r="F2" s="7" t="str">
        <x:v>所有规模数字从06筑基纵切与01参数读取；未包含全局灵根清毒与洗灵根两张丹方</x:v>
      </x:c>
      <x:c r="G2" s="7" t="str">
        <x:v>所有规模数字从06筑基纵切与01参数读取；未包含全局灵根清毒与洗灵根两张丹方</x:v>
      </x:c>
      <x:c r="H2" s="7" t="str">
        <x:v>所有规模数字从06筑基纵切与01参数读取；未包含全局灵根清毒与洗灵根两张丹方</x:v>
      </x:c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2" t="str">
        <x:v>指标</x:v>
      </x:c>
      <x:c r="B4" s="12" t="str">
        <x:v>实际</x:v>
      </x:c>
      <x:c r="C4" s="12" t="str">
        <x:v>目标</x:v>
      </x:c>
      <x:c r="D4" s="12" t="str">
        <x:v>状态</x:v>
      </x:c>
      <x:c r="E4" s="25"/>
      <x:c r="F4" s="12" t="str">
        <x:v>关键口径</x:v>
      </x:c>
      <x:c r="G4" s="12" t="str">
        <x:v>值</x:v>
      </x:c>
      <x:c r="H4" s="12" t="str">
        <x:v>说明</x:v>
      </x:c>
    </x:row>
    <x:row r="5">
      <x:c r="A5" s="16" t="str">
        <x:v>丹方数</x:v>
      </x:c>
      <x:c r="B5" s="16" t="n">
        <x:f>'06_筑基纵切'!B22</x:f>
        <x:v>15</x:v>
      </x:c>
      <x:c r="C5" s="16" t="n">
        <x:v>15</x:v>
      </x:c>
      <x:c r="D5" s="23" t="str">
        <x:f>IF(B5=C5,"通过","检查")</x:f>
        <x:v>通过</x:v>
      </x:c>
      <x:c r="E5" s="25"/>
      <x:c r="F5" s="16" t="str">
        <x:v>四格物种数</x:v>
      </x:c>
      <x:c r="G5" s="16" t="str">
        <x:v>1/1/1/1</x:v>
      </x:c>
      <x:c r="H5" s="16" t="str">
        <x:v>每格一物种，份数可叠加</x:v>
      </x:c>
    </x:row>
    <x:row r="6">
      <x:c r="A6" s="16" t="str">
        <x:v>独立君材数</x:v>
      </x:c>
      <x:c r="B6" s="16" t="n">
        <x:f>'06_筑基纵切'!C22</x:f>
        <x:v>13</x:v>
      </x:c>
      <x:c r="C6" s="16" t="n">
        <x:v>13</x:v>
      </x:c>
      <x:c r="D6" s="23" t="str">
        <x:f>IF(B6=C6,"通过","检查")</x:f>
        <x:v>通过</x:v>
      </x:c>
      <x:c r="E6" s="25"/>
      <x:c r="F6" s="16" t="str">
        <x:v>N合法范围</x:v>
      </x:c>
      <x:c r="G6" s="16" t="str">
        <x:v>6—9</x:v>
      </x:c>
      <x:c r="H6" s="16" t="str">
        <x:v>当前筑基48株池</x:v>
      </x:c>
    </x:row>
    <x:row r="7">
      <x:c r="A7" s="16" t="str">
        <x:v>臣材数</x:v>
      </x:c>
      <x:c r="B7" s="16" t="n">
        <x:f>'06_筑基纵切'!D22</x:f>
        <x:v>15</x:v>
      </x:c>
      <x:c r="C7" s="16" t="n">
        <x:v>15</x:v>
      </x:c>
      <x:c r="D7" s="23" t="str">
        <x:f>IF(B7=C7,"通过","检查")</x:f>
        <x:v>通过</x:v>
      </x:c>
      <x:c r="E7" s="25"/>
      <x:c r="F7" s="16" t="str">
        <x:v>N认证范围</x:v>
      </x:c>
      <x:c r="G7" s="16" t="str">
        <x:v>3—5</x:v>
      </x:c>
      <x:c r="H7" s="16" t="str">
        <x:v>延寿采用5的工作值</x:v>
      </x:c>
    </x:row>
    <x:row r="8">
      <x:c r="A8" s="16" t="str">
        <x:v>佐材数</x:v>
      </x:c>
      <x:c r="B8" s="16" t="n">
        <x:f>'06_筑基纵切'!E22</x:f>
        <x:v>5</x:v>
      </x:c>
      <x:c r="C8" s="16" t="n">
        <x:v>5</x:v>
      </x:c>
      <x:c r="D8" s="23" t="str">
        <x:f>IF(B8=C8,"通过","检查")</x:f>
        <x:v>通过</x:v>
      </x:c>
      <x:c r="E8" s="25"/>
      <x:c r="F8" s="16" t="str">
        <x:v>性计算</x:v>
      </x:c>
      <x:c r="G8" s="16" t="str">
        <x:v>每物种一次</x:v>
      </x:c>
      <x:c r="H8" s="16" t="str">
        <x:v>不随份数叠加</x:v>
      </x:c>
    </x:row>
    <x:row r="9">
      <x:c r="A9" s="16" t="str">
        <x:v>使材数</x:v>
      </x:c>
      <x:c r="B9" s="16" t="n">
        <x:f>'06_筑基纵切'!F22</x:f>
        <x:v>15</x:v>
      </x:c>
      <x:c r="C9" s="16" t="n">
        <x:v>15</x:v>
      </x:c>
      <x:c r="D9" s="23" t="str">
        <x:f>IF(B9=C9,"通过","检查")</x:f>
        <x:v>通过</x:v>
      </x:c>
      <x:c r="E9" s="25"/>
      <x:c r="F9" s="16" t="str">
        <x:v>药力计算</x:v>
      </x:c>
      <x:c r="G9" s="16" t="str">
        <x:v>单份×数量</x:v>
      </x:c>
      <x:c r="H9" s="16" t="str">
        <x:v>四材共同力</x:v>
      </x:c>
    </x:row>
    <x:row r="10">
      <x:c r="A10" s="16" t="str">
        <x:v>灵植总数</x:v>
      </x:c>
      <x:c r="B10" s="16" t="n">
        <x:f>'06_筑基纵切'!G22</x:f>
        <x:v>48</x:v>
      </x:c>
      <x:c r="C10" s="16" t="n">
        <x:v>48</x:v>
      </x:c>
      <x:c r="D10" s="23" t="str">
        <x:f>IF(B10=C10,"通过","检查")</x:f>
        <x:v>通过</x:v>
      </x:c>
      <x:c r="E10" s="25"/>
      <x:c r="F10" s="16" t="str">
        <x:v>君力</x:v>
      </x:c>
      <x:c r="G10" s="16" t="str">
        <x:v>≥总力30%</x:v>
      </x:c>
      <x:c r="H10" s="16" t="str">
        <x:v>玩家显示最低君力</x:v>
      </x:c>
    </x:row>
    <x:row r="11">
      <x:c r="A11" s="16" t="str">
        <x:v>N合法总数</x:v>
      </x:c>
      <x:c r="B11" s="16" t="n">
        <x:f>'06_筑基纵切'!H22</x:f>
        <x:v>122</x:v>
      </x:c>
      <x:c r="C11" s="16" t="n">
        <x:v>122</x:v>
      </x:c>
      <x:c r="D11" s="23" t="str">
        <x:f>IF(B11=C11,"通过","检查")</x:f>
        <x:v>通过</x:v>
      </x:c>
      <x:c r="E11" s="25"/>
      <x:c r="F11" s="16" t="str">
        <x:v>使材</x:v>
      </x:c>
      <x:c r="G11" s="16" t="str">
        <x:v>必放</x:v>
      </x:c>
      <x:c r="H11" s="16" t="str">
        <x:v>归经损耗后置</x:v>
      </x:c>
    </x:row>
    <x:row r="12">
      <x:c r="A12" s="16" t="str">
        <x:v>N认证总数</x:v>
      </x:c>
      <x:c r="B12" s="16" t="n">
        <x:f>'06_筑基纵切'!I22</x:f>
        <x:v>52</x:v>
      </x:c>
      <x:c r="C12" s="16" t="n">
        <x:v>52</x:v>
      </x:c>
      <x:c r="D12" s="23" t="str">
        <x:f>IF(B12=C12,"通过","检查")</x:f>
        <x:v>通过</x:v>
      </x:c>
      <x:c r="E12" s="25"/>
      <x:c r="F12" s="16" t="str">
        <x:v>全局丹方</x:v>
      </x:c>
      <x:c r="G12" s="16" t="str">
        <x:v>未计入</x:v>
      </x:c>
      <x:c r="H12" s="16" t="str">
        <x:v>灵根清毒/洗灵根另表</x:v>
      </x:c>
    </x:row>
    <x:row r="13">
      <x:c r="A13" s="16" t="str">
        <x:v>每方认证是否3—6</x:v>
      </x:c>
      <x:c r="B13" s="16" t="n">
        <x:f>COUNTIF('06_筑基纵切'!AB5:AB19,"通过")</x:f>
        <x:v>15</x:v>
      </x:c>
      <x:c r="C13" s="16" t="n">
        <x:v>15</x:v>
      </x:c>
      <x:c r="D13" s="23" t="str">
        <x:f>IF(B13=C13,"通过","检查")</x:f>
        <x:v>通过</x:v>
      </x:c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0" t="str">
        <x:v>通过标准：15方、13君、48株、122套合法物种组合、52套认证工作值，且每方N认证均在3—6内。</x:v>
      </x:c>
      <x:c r="B15" s="20" t="str">
        <x:v>通过标准：15方、13君、48株、122套合法物种组合、52套认证工作值，且每方N认证均在3—6内。</x:v>
      </x:c>
      <x:c r="C15" s="20" t="str">
        <x:v>通过标准：15方、13君、48株、122套合法物种组合、52套认证工作值，且每方N认证均在3—6内。</x:v>
      </x:c>
      <x:c r="D15" s="20" t="str">
        <x:v>通过标准：15方、13君、48株、122套合法物种组合、52套认证工作值，且每方N认证均在3—6内。</x:v>
      </x:c>
      <x:c r="E15" s="20" t="str">
        <x:v>通过标准：15方、13君、48株、122套合法物种组合、52套认证工作值，且每方N认证均在3—6内。</x:v>
      </x:c>
      <x:c r="F15" s="20" t="str">
        <x:v>通过标准：15方、13君、48株、122套合法物种组合、52套认证工作值，且每方N认证均在3—6内。</x:v>
      </x:c>
      <x:c r="G15" s="20" t="str">
        <x:v>通过标准：15方、13君、48株、122套合法物种组合、52套认证工作值，且每方N认证均在3—6内。</x:v>
      </x:c>
      <x:c r="H15" s="20" t="str">
        <x:v>通过标准：15方、13君、48株、122套合法物种组合、52套认证工作值，且每方N认证均在3—6内。</x:v>
      </x:c>
    </x:row>
  </x:sheetData>
  <x:mergeCells>
    <x:mergeCell ref="A1:H1"/>
    <x:mergeCell ref="A2:H2"/>
    <x:mergeCell ref="A15:H15"/>
  </x:mergeCells>
  <x:conditionalFormatting sqref="D5:D13">
    <x:cfRule type="containsText" dxfId="1" priority="1" operator="containsText" text="检查"/>
  </x:conditionalFormatting>
  <x:pageMargins left="0.7" right="0.7" top="0.75" bottom="0.75" header="0.3" footer="0.3"/>
</x:worksheet>
</file>