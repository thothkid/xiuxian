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c5b011c73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20轮结论" sheetId="1" r:id="R14312eb4041d4bc2"/>
    <x:sheet xmlns:r="http://schemas.openxmlformats.org/officeDocument/2006/relationships" name="01_对象与ID" sheetId="2" r:id="R9571dff4605f42c8"/>
    <x:sheet xmlns:r="http://schemas.openxmlformats.org/officeDocument/2006/relationships" name="02_成功入册流程" sheetId="3" r:id="Rfe93b79015e44674"/>
    <x:sheet xmlns:r="http://schemas.openxmlformats.org/officeDocument/2006/relationships" name="03_静态表字段" sheetId="4" r:id="R7017ecdc3ee74c22"/>
    <x:sheet xmlns:r="http://schemas.openxmlformats.org/officeDocument/2006/relationships" name="04_玩家验方字段" sheetId="5" r:id="R0e4e1d76f5174b24"/>
    <x:sheet xmlns:r="http://schemas.openxmlformats.org/officeDocument/2006/relationships" name="05_聚元丹实例" sheetId="6" r:id="R2985a5fd9e7049d1"/>
    <x:sheet xmlns:r="http://schemas.openxmlformats.org/officeDocument/2006/relationships" name="06_前台入口" sheetId="7" r:id="R5d8575033dd64d35"/>
    <x:sheet xmlns:r="http://schemas.openxmlformats.org/officeDocument/2006/relationships" name="07_完整性核验" sheetId="8" r:id="R1fb9c9948ab1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Microsoft YaHei"/>
    </x:font>
    <x:font>
      <x:sz val="9"/>
      <x:color rgb="FFFFFFFF"/>
      <x:name val="Microsoft YaHei"/>
    </x:font>
    <x:font>
      <x:b/>
      <x:sz val="9"/>
      <x:color rgb="FFFFFFFF"/>
      <x:name val="Microsoft YaHei"/>
    </x:font>
    <x:font>
      <x:sz val="9"/>
      <x:color rgb="FF172B36"/>
      <x:name val="Microsoft YaHei"/>
    </x:font>
    <x:font>
      <x:b/>
      <x:sz val="10"/>
      <x:color rgb="FF172B36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0D5C63"/>
      </x:patternFill>
    </x:fill>
    <x:fill>
      <x:patternFill patternType="solid">
        <x:fgColor rgb="FF173B57"/>
      </x:patternFill>
    </x:fill>
    <x:fill>
      <x:patternFill patternType="solid">
        <x:fgColor rgb="FFE8F3F2"/>
      </x:patternFill>
    </x:fill>
    <x:fill>
      <x:patternFill patternType="solid">
        <x:fgColor rgb="FFFFF5D9"/>
      </x:patternFill>
    </x:fill>
    <x:fill>
      <x:patternFill patternType="solid">
        <x:fgColor rgb="FFE8F4EA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8769e2b554d12" /><Relationship Type="http://schemas.openxmlformats.org/officeDocument/2006/relationships/theme" Target="/xl/theme/theme1.xml" Id="Re68647e753d94f1f" /><Relationship Type="http://schemas.openxmlformats.org/officeDocument/2006/relationships/sharedStrings" Target="/xl/sharedStrings.xml" Id="Rc2f5185ab7c34c90" /><Relationship Type="http://schemas.openxmlformats.org/officeDocument/2006/relationships/worksheet" Target="/xl/worksheets/sheet1.xml" Id="R14312eb4041d4bc2" /><Relationship Type="http://schemas.openxmlformats.org/officeDocument/2006/relationships/worksheet" Target="/xl/worksheets/sheet2.xml" Id="R9571dff4605f42c8" /><Relationship Type="http://schemas.openxmlformats.org/officeDocument/2006/relationships/worksheet" Target="/xl/worksheets/sheet3.xml" Id="Rfe93b79015e44674" /><Relationship Type="http://schemas.openxmlformats.org/officeDocument/2006/relationships/worksheet" Target="/xl/worksheets/sheet4.xml" Id="R7017ecdc3ee74c22" /><Relationship Type="http://schemas.openxmlformats.org/officeDocument/2006/relationships/worksheet" Target="/xl/worksheets/sheet5.xml" Id="R0e4e1d76f5174b24" /><Relationship Type="http://schemas.openxmlformats.org/officeDocument/2006/relationships/worksheet" Target="/xl/worksheets/sheet6.xml" Id="R2985a5fd9e7049d1" /><Relationship Type="http://schemas.openxmlformats.org/officeDocument/2006/relationships/worksheet" Target="/xl/worksheets/sheet7.xml" Id="R5d8575033dd64d35" /><Relationship Type="http://schemas.openxmlformats.org/officeDocument/2006/relationships/worksheet" Target="/xl/worksheets/sheet8.xml" Id="R1fb9c9948ab1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  <x:col min="5" max="5" width="22" hidden="0" customWidth="1"/>
    <x:col min="6" max="6" width="20" hidden="0" customWidth="1"/>
    <x:col min="7" max="7" width="38" hidden="0" customWidth="1"/>
    <x:col min="8" max="8" width="16" hidden="0" customWidth="1"/>
  </x:cols>
  <x:sheetData>
    <x:row r="1" ht="30" customHeight="1">
      <x:c r="A1" s="3" t="str">
        <x:v>第20轮收敛｜默认方、自由试方与成功后成册</x:v>
      </x:c>
      <x:c r="B1" s="3" t="str">
        <x:v>第20轮收敛｜默认方、自由试方与成功后成册</x:v>
      </x:c>
      <x:c r="C1" s="3" t="str">
        <x:v>第20轮收敛｜默认方、自由试方与成功后成册</x:v>
      </x:c>
      <x:c r="D1" s="3" t="str">
        <x:v>第20轮收敛｜默认方、自由试方与成功后成册</x:v>
      </x:c>
      <x:c r="E1" s="3" t="str">
        <x:v>第20轮收敛｜默认方、自由试方与成功后成册</x:v>
      </x:c>
      <x:c r="F1" s="3" t="str">
        <x:v>第20轮收敛｜默认方、自由试方与成功后成册</x:v>
      </x:c>
      <x:c r="G1" s="3" t="str">
        <x:v>第20轮收敛｜默认方、自由试方与成功后成册</x:v>
      </x:c>
      <x:c r="H1" s="3" t="str">
        <x:v>第20轮收敛｜默认方、自由试方与成功后成册</x:v>
      </x:c>
    </x:row>
    <x:row r="2" ht="25" customHeight="1">
      <x:c r="A2" s="7" t="str">
        <x:v>一套底层判定，三个前台入口；限制学习负担，但不限制玩家求解</x:v>
      </x:c>
      <x:c r="B2" s="7" t="str">
        <x:v>一套底层判定，三个前台入口；限制学习负担，但不限制玩家求解</x:v>
      </x:c>
      <x:c r="C2" s="7" t="str">
        <x:v>一套底层判定，三个前台入口；限制学习负担，但不限制玩家求解</x:v>
      </x:c>
      <x:c r="D2" s="7" t="str">
        <x:v>一套底层判定，三个前台入口；限制学习负担，但不限制玩家求解</x:v>
      </x:c>
      <x:c r="E2" s="7" t="str">
        <x:v>一套底层判定，三个前台入口；限制学习负担，但不限制玩家求解</x:v>
      </x:c>
      <x:c r="F2" s="7" t="str">
        <x:v>一套底层判定，三个前台入口；限制学习负担，但不限制玩家求解</x:v>
      </x:c>
      <x:c r="G2" s="7" t="str">
        <x:v>一套底层判定，三个前台入口；限制学习负担，但不限制玩家求解</x:v>
      </x:c>
      <x:c r="H2" s="7" t="str">
        <x:v>一套底层判定，三个前台入口；限制学习负担，但不限制玩家求解</x:v>
      </x:c>
    </x:row>
    <x:row r="4">
      <x:c r="A4" s="12" t="str">
        <x:v>对象</x:v>
      </x:c>
      <x:c r="B4" s="12" t="str">
        <x:v>存在时机</x:v>
      </x:c>
      <x:c r="C4" s="12" t="str">
        <x:v>是否带材料</x:v>
      </x:c>
      <x:c r="D4" s="12" t="str">
        <x:v>是否玩家亲证</x:v>
      </x:c>
      <x:c r="E4" s="12" t="str">
        <x:v>是否有玩家验方ID</x:v>
      </x:c>
      <x:c r="F4" s="12" t="str">
        <x:v>前台位置</x:v>
      </x:c>
      <x:c r="G4" s="12" t="str">
        <x:v>核心作用</x:v>
      </x:c>
      <x:c r="H4" s="12" t="str">
        <x:v>第20轮裁定</x:v>
      </x:c>
    </x:row>
    <x:row r="5">
      <x:c r="A5" s="17" t="str">
        <x:v>丹方本体</x:v>
      </x:c>
      <x:c r="B5" s="17" t="str">
        <x:v>策划配置</x:v>
      </x:c>
      <x:c r="C5" s="17" t="str">
        <x:v>只写规则</x:v>
      </x:c>
      <x:c r="D5" s="17" t="str">
        <x:v>否</x:v>
      </x:c>
      <x:c r="E5" s="17" t="str">
        <x:v>否</x:v>
      </x:c>
      <x:c r="F5" s="17" t="str">
        <x:v>丹方列表</x:v>
      </x:c>
      <x:c r="G5" s="17" t="str">
        <x:v>定义行味性力门槛</x:v>
      </x:c>
      <x:c r="H5" s="17" t="str">
        <x:v>固定formula_id</x:v>
      </x:c>
    </x:row>
    <x:row r="6">
      <x:c r="A6" s="17" t="str">
        <x:v>默认带料方</x:v>
      </x:c>
      <x:c r="B6" s="17" t="str">
        <x:v>学会丹方即有</x:v>
      </x:c>
      <x:c r="C6" s="17" t="str">
        <x:v>是</x:v>
      </x:c>
      <x:c r="D6" s="17" t="str">
        <x:v>成功前否</x:v>
      </x:c>
      <x:c r="E6" s="17" t="str">
        <x:v>成功前无</x:v>
      </x:c>
      <x:c r="F6" s="17" t="str">
        <x:v>默认方</x:v>
      </x:c>
      <x:c r="G6" s="17" t="str">
        <x:v>第一次自动填格</x:v>
      </x:c>
      <x:c r="H6" s="17" t="str">
        <x:v>每方至少一套</x:v>
      </x:c>
    </x:row>
    <x:row r="7">
      <x:c r="A7" s="17" t="str">
        <x:v>自由试方</x:v>
      </x:c>
      <x:c r="B7" s="17" t="str">
        <x:v>学会丹方即开放</x:v>
      </x:c>
      <x:c r="C7" s="17" t="str">
        <x:v>玩家手选</x:v>
      </x:c>
      <x:c r="D7" s="17" t="str">
        <x:v>成功后才是</x:v>
      </x:c>
      <x:c r="E7" s="17" t="str">
        <x:v>成功后生成</x:v>
      </x:c>
      <x:c r="F7" s="17" t="str">
        <x:v>自由试方</x:v>
      </x:c>
      <x:c r="G7" s="17" t="str">
        <x:v>探索廉价/独门配伍</x:v>
      </x:c>
      <x:c r="H7" s="17" t="str">
        <x:v>第一版开放</x:v>
      </x:c>
    </x:row>
    <x:row r="8">
      <x:c r="A8" s="17" t="str">
        <x:v>个人验方</x:v>
      </x:c>
      <x:c r="B8" s="17" t="str">
        <x:v>首次成功后</x:v>
      </x:c>
      <x:c r="C8" s="17" t="str">
        <x:v>保存物种骨架与成绩</x:v>
      </x:c>
      <x:c r="D8" s="17" t="str">
        <x:v>是</x:v>
      </x:c>
      <x:c r="E8" s="17" t="str">
        <x:v>有</x:v>
      </x:c>
      <x:c r="F8" s="17" t="str">
        <x:v>我的验方</x:v>
      </x:c>
      <x:c r="G8" s="17" t="str">
        <x:v>一键复炼与成长记录</x:v>
      </x:c>
      <x:c r="H8" s="17" t="str">
        <x:v>失败不入册</x:v>
      </x:c>
    </x:row>
    <x:row r="10">
      <x:c r="A10" s="21" t="str">
        <x:v>一句话：丹方给规则，默认方教第一次，自由试方找答案，成功后才写进个人丹册。</x:v>
      </x:c>
      <x:c r="B10" s="21" t="str">
        <x:v>一句话：丹方给规则，默认方教第一次，自由试方找答案，成功后才写进个人丹册。</x:v>
      </x:c>
      <x:c r="C10" s="21" t="str">
        <x:v>一句话：丹方给规则，默认方教第一次，自由试方找答案，成功后才写进个人丹册。</x:v>
      </x:c>
      <x:c r="D10" s="21" t="str">
        <x:v>一句话：丹方给规则，默认方教第一次，自由试方找答案，成功后才写进个人丹册。</x:v>
      </x:c>
      <x:c r="E10" s="21" t="str">
        <x:v>一句话：丹方给规则，默认方教第一次，自由试方找答案，成功后才写进个人丹册。</x:v>
      </x:c>
      <x:c r="F10" s="21" t="str">
        <x:v>一句话：丹方给规则，默认方教第一次，自由试方找答案，成功后才写进个人丹册。</x:v>
      </x:c>
      <x:c r="G10" s="21" t="str">
        <x:v>一句话：丹方给规则，默认方教第一次，自由试方找答案，成功后才写进个人丹册。</x:v>
      </x:c>
      <x:c r="H10" s="21" t="str">
        <x:v>一句话：丹方给规则，默认方教第一次，自由试方找答案，成功后才写进个人丹册。</x:v>
      </x:c>
    </x:row>
    <x:row r="12">
      <x:c r="A12" s="12" t="str">
        <x:v>旧口径</x:v>
      </x:c>
      <x:c r="B12" s="12" t="str">
        <x:v>问题</x:v>
      </x:c>
      <x:c r="C12" s="12" t="str">
        <x:v>新口径</x:v>
      </x:c>
      <x:c r="D12" s="12" t="str">
        <x:v>N合法</x:v>
      </x:c>
      <x:c r="E12" s="12" t="str">
        <x:v>N策划验证</x:v>
      </x:c>
      <x:c r="F12" s="12" t="str">
        <x:v>N已验</x:v>
      </x:c>
      <x:c r="G12" s="12" t="str">
        <x:v>品质/份数</x:v>
      </x:c>
      <x:c r="H12" s="12" t="str">
        <x:v>状态</x:v>
      </x:c>
    </x:row>
    <x:row r="13">
      <x:c r="A13" s="16" t="str">
        <x:v>第一版只认认证组合</x:v>
      </x:c>
      <x:c r="B13" s="16" t="str">
        <x:v>锁住求解器</x:v>
      </x:c>
      <x:c r="C13" s="16" t="str">
        <x:v>炉子接受全部合法配伍</x:v>
      </x:c>
      <x:c r="D13" s="16" t="str">
        <x:v>系统静态全集</x:v>
      </x:c>
      <x:c r="E13" s="16" t="str">
        <x:v>每方3—6套QA代表解</x:v>
      </x:c>
      <x:c r="F13" s="16" t="str">
        <x:v>玩家成功记录数</x:v>
      </x:c>
      <x:c r="G13" s="16" t="str">
        <x:v>不增加N</x:v>
      </x:c>
      <x:c r="H13" s="16" t="str">
        <x:v>撤回旧案</x:v>
      </x:c>
    </x:row>
    <x:row r="14">
      <x:c r="A14" s="16" t="str">
        <x:v>玩家先解锁试方</x:v>
      </x:c>
      <x:c r="B14" s="16" t="str">
        <x:v>自由玩法后置</x:v>
      </x:c>
      <x:c r="C14" s="16" t="str">
        <x:v>学会丹方即开放自由试方</x:v>
      </x:c>
      <x:c r="D14" s="16" t="str">
        <x:v>持续可验</x:v>
      </x:c>
      <x:c r="E14" s="16" t="str">
        <x:v>一套标默认</x:v>
      </x:c>
      <x:c r="F14" s="16" t="str">
        <x:v>成功才增长</x:v>
      </x:c>
      <x:c r="G14" s="16" t="str">
        <x:v>更新原验方</x:v>
      </x:c>
      <x:c r="H14" s="16" t="str">
        <x:v>修正</x:v>
      </x:c>
    </x:row>
    <x:row r="15">
      <x:c r="A15" s="16" t="str">
        <x:v>认证组合同时管教学和掌握</x:v>
      </x:c>
      <x:c r="B15" s="16" t="str">
        <x:v>概念混淆</x:v>
      </x:c>
      <x:c r="C15" s="16" t="str">
        <x:v>默认模板/策划验证/个人验方分表</x:v>
      </x:c>
      <x:c r="D15" s="16" t="str">
        <x:v>不落白名单</x:v>
      </x:c>
      <x:c r="E15" s="16" t="str">
        <x:v>内部质量保障</x:v>
      </x:c>
      <x:c r="F15" s="16" t="str">
        <x:v>运行时资产</x:v>
      </x:c>
      <x:c r="G15" s="16" t="str">
        <x:v>保存成绩快照</x:v>
      </x:c>
      <x:c r="H15" s="16" t="str">
        <x:v>冻结</x:v>
      </x:c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18" hidden="0" customWidth="1"/>
    <x:col min="5" max="5" width="18" hidden="0" customWidth="1"/>
    <x:col min="6" max="6" width="20" hidden="0" customWidth="1"/>
    <x:col min="7" max="7" width="16" hidden="0" customWidth="1"/>
    <x:col min="8" max="8" width="34" hidden="0" customWidth="1"/>
  </x:cols>
  <x:sheetData>
    <x:row r="1" ht="30" customHeight="1">
      <x:c r="A1" s="3" t="str">
        <x:v>对象与ID边界</x:v>
      </x:c>
      <x:c r="B1" s="3" t="str">
        <x:v>对象与ID边界</x:v>
      </x:c>
      <x:c r="C1" s="3" t="str">
        <x:v>对象与ID边界</x:v>
      </x:c>
      <x:c r="D1" s="3" t="str">
        <x:v>对象与ID边界</x:v>
      </x:c>
      <x:c r="E1" s="3" t="str">
        <x:v>对象与ID边界</x:v>
      </x:c>
      <x:c r="F1" s="3" t="str">
        <x:v>对象与ID边界</x:v>
      </x:c>
      <x:c r="G1" s="3" t="str">
        <x:v>对象与ID边界</x:v>
      </x:c>
      <x:c r="H1" s="3" t="str">
        <x:v>对象与ID边界</x:v>
      </x:c>
    </x:row>
    <x:row r="2" ht="25" customHeight="1">
      <x:c r="A2" s="7" t="str">
        <x:v>程序内部键不等于玩家已经拥有一张验方；个人验方ID只在成功后产生</x:v>
      </x:c>
      <x:c r="B2" s="7" t="str">
        <x:v>程序内部键不等于玩家已经拥有一张验方；个人验方ID只在成功后产生</x:v>
      </x:c>
      <x:c r="C2" s="7" t="str">
        <x:v>程序内部键不等于玩家已经拥有一张验方；个人验方ID只在成功后产生</x:v>
      </x:c>
      <x:c r="D2" s="7" t="str">
        <x:v>程序内部键不等于玩家已经拥有一张验方；个人验方ID只在成功后产生</x:v>
      </x:c>
      <x:c r="E2" s="7" t="str">
        <x:v>程序内部键不等于玩家已经拥有一张验方；个人验方ID只在成功后产生</x:v>
      </x:c>
      <x:c r="F2" s="7" t="str">
        <x:v>程序内部键不等于玩家已经拥有一张验方；个人验方ID只在成功后产生</x:v>
      </x:c>
      <x:c r="G2" s="7" t="str">
        <x:v>程序内部键不等于玩家已经拥有一张验方；个人验方ID只在成功后产生</x:v>
      </x:c>
      <x:c r="H2" s="7" t="str">
        <x:v>程序内部键不等于玩家已经拥有一张验方；个人验方ID只在成功后产生</x:v>
      </x:c>
    </x:row>
    <x:row r="4">
      <x:c r="A4" s="12" t="str">
        <x:v>对象</x:v>
      </x:c>
      <x:c r="B4" s="12" t="str">
        <x:v>主键/标识</x:v>
      </x:c>
      <x:c r="C4" s="12" t="str">
        <x:v>产生时机</x:v>
      </x:c>
      <x:c r="D4" s="12" t="str">
        <x:v>失败是否保留</x:v>
      </x:c>
      <x:c r="E4" s="12" t="str">
        <x:v>玩家是否看见</x:v>
      </x:c>
      <x:c r="F4" s="12" t="str">
        <x:v>是否进入丹方册</x:v>
      </x:c>
      <x:c r="G4" s="12" t="str">
        <x:v>是否计入N已验</x:v>
      </x:c>
      <x:c r="H4" s="12" t="str">
        <x:v>说明</x:v>
      </x:c>
    </x:row>
    <x:row r="5">
      <x:c r="A5" s="16" t="str">
        <x:v>丹方本体</x:v>
      </x:c>
      <x:c r="B5" s="16" t="str">
        <x:v>formula_id</x:v>
      </x:c>
      <x:c r="C5" s="16" t="str">
        <x:v>策划配置</x:v>
      </x:c>
      <x:c r="D5" s="16" t="str">
        <x:v>是</x:v>
      </x:c>
      <x:c r="E5" s="16" t="str">
        <x:v>是</x:v>
      </x:c>
      <x:c r="F5" s="16" t="str">
        <x:v>作为分类入口</x:v>
      </x:c>
      <x:c r="G5" s="16" t="str">
        <x:v>否</x:v>
      </x:c>
      <x:c r="H5" s="16" t="str">
        <x:v>规则身份</x:v>
      </x:c>
    </x:row>
    <x:row r="6">
      <x:c r="A6" s="16" t="str">
        <x:v>默认模板</x:v>
      </x:c>
      <x:c r="B6" s="16" t="str">
        <x:v>default_template_key</x:v>
      </x:c>
      <x:c r="C6" s="16" t="str">
        <x:v>策划配置</x:v>
      </x:c>
      <x:c r="D6" s="16" t="str">
        <x:v>是</x:v>
      </x:c>
      <x:c r="E6" s="16" t="str">
        <x:v>不显示键</x:v>
      </x:c>
      <x:c r="F6" s="16" t="str">
        <x:v>成功前不入册</x:v>
      </x:c>
      <x:c r="G6" s="16" t="str">
        <x:v>否</x:v>
      </x:c>
      <x:c r="H6" s="16" t="str">
        <x:v>仅用于自动填料</x:v>
      </x:c>
    </x:row>
    <x:row r="7">
      <x:c r="A7" s="16" t="str">
        <x:v>策划验证解</x:v>
      </x:c>
      <x:c r="B7" s="16" t="str">
        <x:v>test_solution_key</x:v>
      </x:c>
      <x:c r="C7" s="16" t="str">
        <x:v>策划配置</x:v>
      </x:c>
      <x:c r="D7" s="16" t="str">
        <x:v>是</x:v>
      </x:c>
      <x:c r="E7" s="16" t="str">
        <x:v>通常不显示</x:v>
      </x:c>
      <x:c r="F7" s="16" t="str">
        <x:v>否</x:v>
      </x:c>
      <x:c r="G7" s="16" t="str">
        <x:v>否</x:v>
      </x:c>
      <x:c r="H7" s="16" t="str">
        <x:v>每方3—6套质量保障</x:v>
      </x:c>
    </x:row>
    <x:row r="8">
      <x:c r="A8" s="16" t="str">
        <x:v>炼丹尝试</x:v>
      </x:c>
      <x:c r="B8" s="16" t="str">
        <x:v>attempt_id/日志</x:v>
      </x:c>
      <x:c r="C8" s="16" t="str">
        <x:v>点击开炉</x:v>
      </x:c>
      <x:c r="D8" s="16" t="str">
        <x:v>可留后台日志</x:v>
      </x:c>
      <x:c r="E8" s="16" t="str">
        <x:v>通常不显示</x:v>
      </x:c>
      <x:c r="F8" s="16" t="str">
        <x:v>否</x:v>
      </x:c>
      <x:c r="G8" s="16" t="str">
        <x:v>否</x:v>
      </x:c>
      <x:c r="H8" s="16" t="str">
        <x:v>属性与成功率结算</x:v>
      </x:c>
    </x:row>
    <x:row r="9">
      <x:c r="A9" s="22" t="str">
        <x:v>个人验方</x:v>
      </x:c>
      <x:c r="B9" s="22" t="str">
        <x:v>verified_recipe_id</x:v>
      </x:c>
      <x:c r="C9" s="22" t="str">
        <x:v>首次成功成丹</x:v>
      </x:c>
      <x:c r="D9" s="22" t="str">
        <x:v>失败不生成</x:v>
      </x:c>
      <x:c r="E9" s="22" t="str">
        <x:v>是</x:v>
      </x:c>
      <x:c r="F9" s="22" t="str">
        <x:v>是</x:v>
      </x:c>
      <x:c r="G9" s="22" t="str">
        <x:v>是</x:v>
      </x:c>
      <x:c r="H9" s="22" t="str">
        <x:v>同物种骨架复用ID</x:v>
      </x:c>
    </x:row>
    <x:row r="11">
      <x:c r="A11" s="21" t="str">
        <x:v>配伍签名＝formula_id＋君物种ID＋臣物种ID＋佐物种ID＋使物种ID；品质与份数不进入签名。</x:v>
      </x:c>
      <x:c r="B11" s="21" t="str">
        <x:v>配伍签名＝formula_id＋君物种ID＋臣物种ID＋佐物种ID＋使物种ID；品质与份数不进入签名。</x:v>
      </x:c>
      <x:c r="C11" s="21" t="str">
        <x:v>配伍签名＝formula_id＋君物种ID＋臣物种ID＋佐物种ID＋使物种ID；品质与份数不进入签名。</x:v>
      </x:c>
      <x:c r="D11" s="21" t="str">
        <x:v>配伍签名＝formula_id＋君物种ID＋臣物种ID＋佐物种ID＋使物种ID；品质与份数不进入签名。</x:v>
      </x:c>
      <x:c r="E11" s="21" t="str">
        <x:v>配伍签名＝formula_id＋君物种ID＋臣物种ID＋佐物种ID＋使物种ID；品质与份数不进入签名。</x:v>
      </x:c>
      <x:c r="F11" s="21" t="str">
        <x:v>配伍签名＝formula_id＋君物种ID＋臣物种ID＋佐物种ID＋使物种ID；品质与份数不进入签名。</x:v>
      </x:c>
      <x:c r="G11" s="21" t="str">
        <x:v>配伍签名＝formula_id＋君物种ID＋臣物种ID＋佐物种ID＋使物种ID；品质与份数不进入签名。</x:v>
      </x:c>
      <x:c r="H11" s="21" t="str">
        <x:v>配伍签名＝formula_id＋君物种ID＋臣物种ID＋佐物种ID＋使物种ID；品质与份数不进入签名。</x:v>
      </x:c>
    </x:row>
    <x:row r="13">
      <x:c r="A13" s="12" t="str">
        <x:v>再次成功情况</x:v>
      </x:c>
      <x:c r="B13" s="12" t="str">
        <x:v>公式相同</x:v>
      </x:c>
      <x:c r="C13" s="12" t="str">
        <x:v>四材物种相同</x:v>
      </x:c>
      <x:c r="D13" s="12" t="str">
        <x:v>品质/份数变化</x:v>
      </x:c>
      <x:c r="E13" s="12" t="str">
        <x:v>验方ID动作</x:v>
      </x:c>
      <x:c r="F13" s="12" t="str">
        <x:v>更新内容</x:v>
      </x:c>
      <x:c r="G13" s="12" t="str">
        <x:v>N已验变化</x:v>
      </x:c>
      <x:c r="H13" s="12" t="str">
        <x:v>结论</x:v>
      </x:c>
    </x:row>
    <x:row r="14">
      <x:c r="A14" s="16" t="str">
        <x:v>默认方第一次成功</x:v>
      </x:c>
      <x:c r="B14" s="16" t="str">
        <x:v>是</x:v>
      </x:c>
      <x:c r="C14" s="16" t="str">
        <x:v>是</x:v>
      </x:c>
      <x:c r="D14" s="16" t="str">
        <x:v>任意</x:v>
      </x:c>
      <x:c r="E14" s="16" t="str">
        <x:v>新建</x:v>
      </x:c>
      <x:c r="F14" s="16" t="str">
        <x:v>首次/最近/最好成绩</x:v>
      </x:c>
      <x:c r="G14" s="16" t="str">
        <x:v>+1</x:v>
      </x:c>
      <x:c r="H14" s="16" t="str">
        <x:v>默认模板转为个人验方</x:v>
      </x:c>
    </x:row>
    <x:row r="15">
      <x:c r="A15" s="16" t="str">
        <x:v>同物种再次成功</x:v>
      </x:c>
      <x:c r="B15" s="16" t="str">
        <x:v>是</x:v>
      </x:c>
      <x:c r="C15" s="16" t="str">
        <x:v>是</x:v>
      </x:c>
      <x:c r="D15" s="16" t="str">
        <x:v>可以变化</x:v>
      </x:c>
      <x:c r="E15" s="16" t="str">
        <x:v>复用</x:v>
      </x:c>
      <x:c r="F15" s="16" t="str">
        <x:v>成功次数/成本/品质</x:v>
      </x:c>
      <x:c r="G15" s="16" t="str">
        <x:v>0</x:v>
      </x:c>
      <x:c r="H15" s="16" t="str">
        <x:v>仍是一套配伍</x:v>
      </x:c>
    </x:row>
    <x:row r="16">
      <x:c r="A16" s="16" t="str">
        <x:v>更换一种灵植成功</x:v>
      </x:c>
      <x:c r="B16" s="16" t="str">
        <x:v>是</x:v>
      </x:c>
      <x:c r="C16" s="16" t="str">
        <x:v>否</x:v>
      </x:c>
      <x:c r="D16" s="16" t="str">
        <x:v>任意</x:v>
      </x:c>
      <x:c r="E16" s="16" t="str">
        <x:v>新建</x:v>
      </x:c>
      <x:c r="F16" s="16" t="str">
        <x:v>新验方全部字段</x:v>
      </x:c>
      <x:c r="G16" s="16" t="str">
        <x:v>+1</x:v>
      </x:c>
      <x:c r="H16" s="16" t="str">
        <x:v>新的物种组合</x:v>
      </x:c>
    </x:row>
    <x:row r="17">
      <x:c r="A17" s="16" t="str">
        <x:v>属性通过但炼制失败</x:v>
      </x:c>
      <x:c r="B17" s="16" t="str">
        <x:v>是</x:v>
      </x:c>
      <x:c r="C17" s="16" t="str">
        <x:v>任意</x:v>
      </x:c>
      <x:c r="D17" s="16" t="str">
        <x:v>任意</x:v>
      </x:c>
      <x:c r="E17" s="16" t="str">
        <x:v>不生成</x:v>
      </x:c>
      <x:c r="F17" s="16" t="str">
        <x:v>仅后台尝试日志</x:v>
      </x:c>
      <x:c r="G17" s="16" t="str">
        <x:v>0</x:v>
      </x:c>
      <x:c r="H17" s="16" t="str">
        <x:v>失败不入册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0" hidden="0" customWidth="1"/>
    <x:col min="4" max="4" width="24" hidden="0" customWidth="1"/>
    <x:col min="5" max="5" width="24" hidden="0" customWidth="1"/>
    <x:col min="6" max="6" width="20" hidden="0" customWidth="1"/>
    <x:col min="7" max="7" width="30" hidden="0" customWidth="1"/>
    <x:col min="8" max="8" width="28" hidden="0" customWidth="1"/>
  </x:cols>
  <x:sheetData>
    <x:row r="1" ht="30" customHeight="1">
      <x:c r="A1" s="3" t="str">
        <x:v>成功入册流程｜从投料到个人验方</x:v>
      </x:c>
      <x:c r="B1" s="3" t="str">
        <x:v>成功入册流程｜从投料到个人验方</x:v>
      </x:c>
      <x:c r="C1" s="3" t="str">
        <x:v>成功入册流程｜从投料到个人验方</x:v>
      </x:c>
      <x:c r="D1" s="3" t="str">
        <x:v>成功入册流程｜从投料到个人验方</x:v>
      </x:c>
      <x:c r="E1" s="3" t="str">
        <x:v>成功入册流程｜从投料到个人验方</x:v>
      </x:c>
      <x:c r="F1" s="3" t="str">
        <x:v>成功入册流程｜从投料到个人验方</x:v>
      </x:c>
      <x:c r="G1" s="3" t="str">
        <x:v>成功入册流程｜从投料到个人验方</x:v>
      </x:c>
      <x:c r="H1" s="3" t="str">
        <x:v>成功入册流程｜从投料到个人验方</x:v>
      </x:c>
    </x:row>
    <x:row r="2" ht="25" customHeight="1">
      <x:c r="A2" s="7" t="str">
        <x:v>实时五盏灯负责解释，实际成丹成功才负责确权</x:v>
      </x:c>
      <x:c r="B2" s="7" t="str">
        <x:v>实时五盏灯负责解释，实际成丹成功才负责确权</x:v>
      </x:c>
      <x:c r="C2" s="7" t="str">
        <x:v>实时五盏灯负责解释，实际成丹成功才负责确权</x:v>
      </x:c>
      <x:c r="D2" s="7" t="str">
        <x:v>实时五盏灯负责解释，实际成丹成功才负责确权</x:v>
      </x:c>
      <x:c r="E2" s="7" t="str">
        <x:v>实时五盏灯负责解释，实际成丹成功才负责确权</x:v>
      </x:c>
      <x:c r="F2" s="7" t="str">
        <x:v>实时五盏灯负责解释，实际成丹成功才负责确权</x:v>
      </x:c>
      <x:c r="G2" s="7" t="str">
        <x:v>实时五盏灯负责解释，实际成丹成功才负责确权</x:v>
      </x:c>
      <x:c r="H2" s="7" t="str">
        <x:v>实时五盏灯负责解释，实际成丹成功才负责确权</x:v>
      </x:c>
    </x:row>
    <x:row r="4">
      <x:c r="A4" s="12" t="str">
        <x:v>步骤</x:v>
      </x:c>
      <x:c r="B4" s="12" t="str">
        <x:v>玩家/系统动作</x:v>
      </x:c>
      <x:c r="C4" s="12" t="str">
        <x:v>条件</x:v>
      </x:c>
      <x:c r="D4" s="12" t="str">
        <x:v>通过</x:v>
      </x:c>
      <x:c r="E4" s="12" t="str">
        <x:v>不通过</x:v>
      </x:c>
      <x:c r="F4" s="12" t="str">
        <x:v>是否生成验方ID</x:v>
      </x:c>
      <x:c r="G4" s="12" t="str">
        <x:v>前台反馈</x:v>
      </x:c>
      <x:c r="H4" s="12" t="str">
        <x:v>数据动作</x:v>
      </x:c>
    </x:row>
    <x:row r="5">
      <x:c r="A5" s="16" t="n">
        <x:v>1</x:v>
      </x:c>
      <x:c r="B5" s="16" t="str">
        <x:v>选丹方</x:v>
      </x:c>
      <x:c r="C5" s="16" t="str">
        <x:v>已学会formula_id</x:v>
      </x:c>
      <x:c r="D5" s="16" t="str">
        <x:v>进入配伍</x:v>
      </x:c>
      <x:c r="E5" s="16" t="str">
        <x:v>不可炼</x:v>
      </x:c>
      <x:c r="F5" s="16" t="str">
        <x:v>否</x:v>
      </x:c>
      <x:c r="G5" s="16" t="str">
        <x:v>显示默认方与自由试方</x:v>
      </x:c>
      <x:c r="H5" s="16" t="str">
        <x:v>读取静态丹方</x:v>
      </x:c>
    </x:row>
    <x:row r="6">
      <x:c r="A6" s="16" t="n">
        <x:v>2</x:v>
      </x:c>
      <x:c r="B6" s="16" t="str">
        <x:v>选择入口</x:v>
      </x:c>
      <x:c r="C6" s="16" t="str">
        <x:v>默认方/我的验方/自由试方</x:v>
      </x:c>
      <x:c r="D6" s="16" t="str">
        <x:v>自动或手动填格</x:v>
      </x:c>
      <x:c r="E6" s="16" t="str">
        <x:v>—</x:v>
      </x:c>
      <x:c r="F6" s="16" t="str">
        <x:v>否</x:v>
      </x:c>
      <x:c r="G6" s="16" t="str">
        <x:v>显示四格</x:v>
      </x:c>
      <x:c r="H6" s="16" t="str">
        <x:v>加载模板或记录</x:v>
      </x:c>
    </x:row>
    <x:row r="7">
      <x:c r="A7" s="16" t="n">
        <x:v>3</x:v>
      </x:c>
      <x:c r="B7" s="16" t="str">
        <x:v>五盏灯验方</x:v>
      </x:c>
      <x:c r="C7" s="16" t="str">
        <x:v>君、臣行、方性、使味、药力</x:v>
      </x:c>
      <x:c r="D7" s="16" t="str">
        <x:v>允许开炉</x:v>
      </x:c>
      <x:c r="E7" s="16" t="str">
        <x:v>提示具体不合</x:v>
      </x:c>
      <x:c r="F7" s="16" t="str">
        <x:v>否</x:v>
      </x:c>
      <x:c r="G7" s="16" t="str">
        <x:v>实时灯号</x:v>
      </x:c>
      <x:c r="H7" s="16" t="str">
        <x:v>不入册</x:v>
      </x:c>
    </x:row>
    <x:row r="8">
      <x:c r="A8" s="16" t="n">
        <x:v>4</x:v>
      </x:c>
      <x:c r="B8" s="16" t="str">
        <x:v>开炉结算</x:v>
      </x:c>
      <x:c r="C8" s="16" t="str">
        <x:v>丹炉、技能、品质概率</x:v>
      </x:c>
      <x:c r="D8" s="16" t="str">
        <x:v>成功成丹</x:v>
      </x:c>
      <x:c r="E8" s="16" t="str">
        <x:v>炼制失败</x:v>
      </x:c>
      <x:c r="F8" s="16" t="str">
        <x:v>否</x:v>
      </x:c>
      <x:c r="G8" s="16" t="str">
        <x:v>显示成败与损耗</x:v>
      </x:c>
      <x:c r="H8" s="16" t="str">
        <x:v>写attempt日志</x:v>
      </x:c>
    </x:row>
    <x:row r="9">
      <x:c r="A9" s="16" t="n">
        <x:v>5</x:v>
      </x:c>
      <x:c r="B9" s="16" t="str">
        <x:v>生成配伍签名</x:v>
      </x:c>
      <x:c r="C9" s="16" t="str">
        <x:v>实际四材物种ID</x:v>
      </x:c>
      <x:c r="D9" s="16" t="str">
        <x:v>查个人验方表</x:v>
      </x:c>
      <x:c r="E9" s="16" t="str">
        <x:v>—</x:v>
      </x:c>
      <x:c r="F9" s="16" t="str">
        <x:v>否</x:v>
      </x:c>
      <x:c r="G9" s="16" t="str">
        <x:v>显示发现状态</x:v>
      </x:c>
      <x:c r="H9" s="16" t="str">
        <x:v>标准化signature</x:v>
      </x:c>
    </x:row>
    <x:row r="10">
      <x:c r="A10" s="22" t="n">
        <x:v>6</x:v>
      </x:c>
      <x:c r="B10" s="22" t="str">
        <x:v>查询同签名</x:v>
      </x:c>
      <x:c r="C10" s="22" t="str">
        <x:v>是否已有verified_recipe_id</x:v>
      </x:c>
      <x:c r="D10" s="22" t="str">
        <x:v>更新原记录</x:v>
      </x:c>
      <x:c r="E10" s="22" t="str">
        <x:v>新建记录</x:v>
      </x:c>
      <x:c r="F10" s="22" t="str">
        <x:v>新建时才是</x:v>
      </x:c>
      <x:c r="G10" s="22" t="str">
        <x:v>新验方入册/成绩更新</x:v>
      </x:c>
      <x:c r="H10" s="22" t="str">
        <x:v>upsert玩家验方</x:v>
      </x:c>
    </x:row>
    <x:row r="11">
      <x:c r="A11" s="16" t="n">
        <x:v>7</x:v>
      </x:c>
      <x:c r="B11" s="16" t="str">
        <x:v>下次炼丹</x:v>
      </x:c>
      <x:c r="C11" s="16" t="str">
        <x:v>玩家选择我的验方</x:v>
      </x:c>
      <x:c r="D11" s="16" t="str">
        <x:v>一键填入最近/最佳方案</x:v>
      </x:c>
      <x:c r="E11" s="16" t="str">
        <x:v>库存不足提示</x:v>
      </x:c>
      <x:c r="F11" s="16" t="str">
        <x:v>否</x:v>
      </x:c>
      <x:c r="G11" s="16" t="str">
        <x:v>直接复炼</x:v>
      </x:c>
      <x:c r="H11" s="16" t="str">
        <x:v>读取玩家验方</x:v>
      </x:c>
    </x:row>
    <x:row r="13">
      <x:c r="A13" s="21" t="str">
        <x:v>关键顺序：属性合法 ≠ 已经亲证；只有实际成丹成功，才生成或更新个人验方。</x:v>
      </x:c>
      <x:c r="B13" s="21" t="str">
        <x:v>关键顺序：属性合法 ≠ 已经亲证；只有实际成丹成功，才生成或更新个人验方。</x:v>
      </x:c>
      <x:c r="C13" s="21" t="str">
        <x:v>关键顺序：属性合法 ≠ 已经亲证；只有实际成丹成功，才生成或更新个人验方。</x:v>
      </x:c>
      <x:c r="D13" s="21" t="str">
        <x:v>关键顺序：属性合法 ≠ 已经亲证；只有实际成丹成功，才生成或更新个人验方。</x:v>
      </x:c>
      <x:c r="E13" s="21" t="str">
        <x:v>关键顺序：属性合法 ≠ 已经亲证；只有实际成丹成功，才生成或更新个人验方。</x:v>
      </x:c>
      <x:c r="F13" s="21" t="str">
        <x:v>关键顺序：属性合法 ≠ 已经亲证；只有实际成丹成功，才生成或更新个人验方。</x:v>
      </x:c>
      <x:c r="G13" s="21" t="str">
        <x:v>关键顺序：属性合法 ≠ 已经亲证；只有实际成丹成功，才生成或更新个人验方。</x:v>
      </x:c>
      <x:c r="H13" s="21" t="str">
        <x:v>关键顺序：属性合法 ≠ 已经亲证；只有实际成丹成功，才生成或更新个人验方。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0" hidden="0" customWidth="1"/>
    <x:col min="4" max="4" width="24" hidden="0" customWidth="1"/>
    <x:col min="5" max="5" width="18" hidden="0" customWidth="1"/>
    <x:col min="6" max="6" width="34" hidden="0" customWidth="1"/>
    <x:col min="7" max="7" width="30" hidden="0" customWidth="1"/>
  </x:cols>
  <x:sheetData>
    <x:row r="1" ht="30" customHeight="1">
      <x:c r="A1" s="3" t="str">
        <x:v>静态配置表字段｜规则、验证解与默认模板</x:v>
      </x:c>
      <x:c r="B1" s="3" t="str">
        <x:v>静态配置表字段｜规则、验证解与默认模板</x:v>
      </x:c>
      <x:c r="C1" s="3" t="str">
        <x:v>静态配置表字段｜规则、验证解与默认模板</x:v>
      </x:c>
      <x:c r="D1" s="3" t="str">
        <x:v>静态配置表字段｜规则、验证解与默认模板</x:v>
      </x:c>
      <x:c r="E1" s="3" t="str">
        <x:v>静态配置表字段｜规则、验证解与默认模板</x:v>
      </x:c>
      <x:c r="F1" s="3" t="str">
        <x:v>静态配置表字段｜规则、验证解与默认模板</x:v>
      </x:c>
      <x:c r="G1" s="3" t="str">
        <x:v>静态配置表字段｜规则、验证解与默认模板</x:v>
      </x:c>
    </x:row>
    <x:row r="2" ht="25" customHeight="1">
      <x:c r="A2" s="7" t="str">
        <x:v>策划验证解不是炉子白名单；一套标记为默认，其余用于QA与经济校验</x:v>
      </x:c>
      <x:c r="B2" s="7" t="str">
        <x:v>策划验证解不是炉子白名单；一套标记为默认，其余用于QA与经济校验</x:v>
      </x:c>
      <x:c r="C2" s="7" t="str">
        <x:v>策划验证解不是炉子白名单；一套标记为默认，其余用于QA与经济校验</x:v>
      </x:c>
      <x:c r="D2" s="7" t="str">
        <x:v>策划验证解不是炉子白名单；一套标记为默认，其余用于QA与经济校验</x:v>
      </x:c>
      <x:c r="E2" s="7" t="str">
        <x:v>策划验证解不是炉子白名单；一套标记为默认，其余用于QA与经济校验</x:v>
      </x:c>
      <x:c r="F2" s="7" t="str">
        <x:v>策划验证解不是炉子白名单；一套标记为默认，其余用于QA与经济校验</x:v>
      </x:c>
      <x:c r="G2" s="7" t="str">
        <x:v>策划验证解不是炉子白名单；一套标记为默认，其余用于QA与经济校验</x:v>
      </x:c>
    </x:row>
    <x:row r="4">
      <x:c r="A4" s="12" t="str">
        <x:v>表</x:v>
      </x:c>
      <x:c r="B4" s="12" t="str">
        <x:v>字段</x:v>
      </x:c>
      <x:c r="C4" s="12" t="str">
        <x:v>必填</x:v>
      </x:c>
      <x:c r="D4" s="12" t="str">
        <x:v>类型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17" t="str">
        <x:v>FormulaMaster</x:v>
      </x:c>
      <x:c r="B5" s="16" t="str">
        <x:v>formula_id</x:v>
      </x:c>
      <x:c r="C5" s="16" t="str">
        <x:v>是</x:v>
      </x:c>
      <x:c r="D5" s="16" t="str">
        <x:v>文本主键</x:v>
      </x:c>
      <x:c r="E5" s="16" t="str">
        <x:v>是</x:v>
      </x:c>
      <x:c r="F5" s="16" t="str">
        <x:v>丹方规则身份</x:v>
      </x:c>
      <x:c r="G5" s="16" t="str">
        <x:v>F-ZJ-01</x:v>
      </x:c>
    </x:row>
    <x:row r="6">
      <x:c r="A6" s="17" t="str">
        <x:v>FormulaMaster</x:v>
      </x:c>
      <x:c r="B6" s="16" t="str">
        <x:v>default_template_key</x:v>
      </x:c>
      <x:c r="C6" s="16" t="str">
        <x:v>是</x:v>
      </x:c>
      <x:c r="D6" s="16" t="str">
        <x:v>内部引用</x:v>
      </x:c>
      <x:c r="E6" s="16" t="str">
        <x:v>不显示键</x:v>
      </x:c>
      <x:c r="F6" s="16" t="str">
        <x:v>自动填料入口</x:v>
      </x:c>
      <x:c r="G6" s="16" t="str">
        <x:v>TS-FZJ01-01</x:v>
      </x:c>
    </x:row>
    <x:row r="7">
      <x:c r="A7" s="17" t="str">
        <x:v>FormulaMaster</x:v>
      </x:c>
      <x:c r="B7" s="16" t="str">
        <x:v>行味性力门槛</x:v>
      </x:c>
      <x:c r="C7" s="16" t="str">
        <x:v>是</x:v>
      </x:c>
      <x:c r="D7" s="16" t="str">
        <x:v>结构字段</x:v>
      </x:c>
      <x:c r="E7" s="16" t="str">
        <x:v>是</x:v>
      </x:c>
      <x:c r="F7" s="16" t="str">
        <x:v>自由试方判定</x:v>
      </x:c>
      <x:c r="G7" s="16" t="str">
        <x:v>土/甘/平/24</x:v>
      </x:c>
    </x:row>
    <x:row r="8">
      <x:c r="A8" s="17" t="str">
        <x:v>FormulaMaster</x:v>
      </x:c>
      <x:c r="B8" s="16" t="str">
        <x:v>min_test_solutions</x:v>
      </x:c>
      <x:c r="C8" s="16" t="str">
        <x:v>是</x:v>
      </x:c>
      <x:c r="D8" s="16" t="str">
        <x:v>3—6</x:v>
      </x:c>
      <x:c r="E8" s="16" t="str">
        <x:v>否</x:v>
      </x:c>
      <x:c r="F8" s="16" t="str">
        <x:v>制作验收</x:v>
      </x:c>
      <x:c r="G8" s="16" t="str">
        <x:v>3</x:v>
      </x:c>
    </x:row>
    <x:row r="9">
      <x:c r="A9" s="17" t="str">
        <x:v>FormulaTestSolution</x:v>
      </x:c>
      <x:c r="B9" s="16" t="str">
        <x:v>test_solution_key</x:v>
      </x:c>
      <x:c r="C9" s="16" t="str">
        <x:v>是</x:v>
      </x:c>
      <x:c r="D9" s="16" t="str">
        <x:v>内部主键</x:v>
      </x:c>
      <x:c r="E9" s="16" t="str">
        <x:v>否</x:v>
      </x:c>
      <x:c r="F9" s="16" t="str">
        <x:v>代表解定位</x:v>
      </x:c>
      <x:c r="G9" s="16" t="str">
        <x:v>TS-FZJ01-01</x:v>
      </x:c>
    </x:row>
    <x:row r="10">
      <x:c r="A10" s="17" t="str">
        <x:v>FormulaTestSolution</x:v>
      </x:c>
      <x:c r="B10" s="16" t="str">
        <x:v>formula_id</x:v>
      </x:c>
      <x:c r="C10" s="16" t="str">
        <x:v>是</x:v>
      </x:c>
      <x:c r="D10" s="16" t="str">
        <x:v>外键</x:v>
      </x:c>
      <x:c r="E10" s="16" t="str">
        <x:v>否</x:v>
      </x:c>
      <x:c r="F10" s="16" t="str">
        <x:v>归属丹方</x:v>
      </x:c>
      <x:c r="G10" s="16" t="str">
        <x:v>F-ZJ-01</x:v>
      </x:c>
    </x:row>
    <x:row r="11">
      <x:c r="A11" s="17" t="str">
        <x:v>FormulaTestSolution</x:v>
      </x:c>
      <x:c r="B11" s="16" t="str">
        <x:v>四材物种ID</x:v>
      </x:c>
      <x:c r="C11" s="16" t="str">
        <x:v>是</x:v>
      </x:c>
      <x:c r="D11" s="16" t="str">
        <x:v>君臣佐使ID</x:v>
      </x:c>
      <x:c r="E11" s="16" t="str">
        <x:v>默认方显示</x:v>
      </x:c>
      <x:c r="F11" s="16" t="str">
        <x:v>跑通的物种骨架</x:v>
      </x:c>
      <x:c r="G11" s="16" t="str">
        <x:v>J01/M01/A01/E01</x:v>
      </x:c>
    </x:row>
    <x:row r="12">
      <x:c r="A12" s="17" t="str">
        <x:v>FormulaTestSolution</x:v>
      </x:c>
      <x:c r="B12" s="16" t="str">
        <x:v>推荐品质/份数</x:v>
      </x:c>
      <x:c r="C12" s="16" t="str">
        <x:v>是</x:v>
      </x:c>
      <x:c r="D12" s="16" t="str">
        <x:v>逐槽输入</x:v>
      </x:c>
      <x:c r="E12" s="16" t="str">
        <x:v>默认方显示</x:v>
      </x:c>
      <x:c r="F12" s="16" t="str">
        <x:v>一键填料</x:v>
      </x:c>
      <x:c r="G12" s="16" t="str">
        <x:v>灵2/凡1/凡1/灵1</x:v>
      </x:c>
    </x:row>
    <x:row r="13">
      <x:c r="A13" s="17" t="str">
        <x:v>FormulaTestSolution</x:v>
      </x:c>
      <x:c r="B13" s="16" t="str">
        <x:v>purpose_tag</x:v>
      </x:c>
      <x:c r="C13" s="16" t="str">
        <x:v>是</x:v>
      </x:c>
      <x:c r="D13" s="16" t="str">
        <x:v>默认/廉价/精炼/本地等</x:v>
      </x:c>
      <x:c r="E13" s="16" t="str">
        <x:v>可选</x:v>
      </x:c>
      <x:c r="F13" s="16" t="str">
        <x:v>策划验证路线</x:v>
      </x:c>
      <x:c r="G13" s="16" t="str">
        <x:v>默认</x:v>
      </x:c>
    </x:row>
    <x:row r="14">
      <x:c r="A14" s="17" t="str">
        <x:v>FormulaTestSolution</x:v>
      </x:c>
      <x:c r="B14" s="16" t="str">
        <x:v>is_default</x:v>
      </x:c>
      <x:c r="C14" s="16" t="str">
        <x:v>是</x:v>
      </x:c>
      <x:c r="D14" s="16" t="str">
        <x:v>布尔</x:v>
      </x:c>
      <x:c r="E14" s="16" t="str">
        <x:v>间接显示</x:v>
      </x:c>
      <x:c r="F14" s="16" t="str">
        <x:v>每方恰好一套默认</x:v>
      </x:c>
      <x:c r="G14" s="16" t="str">
        <x:v>TRUE</x:v>
      </x:c>
    </x:row>
    <x:row r="15">
      <x:c r="A15" s="17" t="str">
        <x:v>PlantMaster</x:v>
      </x:c>
      <x:c r="B15" s="16" t="str">
        <x:v>物种属性/价格/产区</x:v>
      </x:c>
      <x:c r="C15" s="16" t="str">
        <x:v>是</x:v>
      </x:c>
      <x:c r="D15" s="16" t="str">
        <x:v>既定字段</x:v>
      </x:c>
      <x:c r="E15" s="16" t="str">
        <x:v>是</x:v>
      </x:c>
      <x:c r="F15" s="16" t="str">
        <x:v>所有求解输入</x:v>
      </x:c>
      <x:c r="G15" s="16" t="str">
        <x:v>土·温·力3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  <x:col min="7" max="7" width="32" hidden="0" customWidth="1"/>
  </x:cols>
  <x:sheetData>
    <x:row r="1" ht="30" customHeight="1">
      <x:c r="A1" s="3" t="str">
        <x:v>玩家验方表字段｜成功后才新增</x:v>
      </x:c>
      <x:c r="B1" s="3" t="str">
        <x:v>玩家验方表字段｜成功后才新增</x:v>
      </x:c>
      <x:c r="C1" s="3" t="str">
        <x:v>玩家验方表字段｜成功后才新增</x:v>
      </x:c>
      <x:c r="D1" s="3" t="str">
        <x:v>玩家验方表字段｜成功后才新增</x:v>
      </x:c>
      <x:c r="E1" s="3" t="str">
        <x:v>玩家验方表字段｜成功后才新增</x:v>
      </x:c>
      <x:c r="F1" s="3" t="str">
        <x:v>玩家验方表字段｜成功后才新增</x:v>
      </x:c>
      <x:c r="G1" s="3" t="str">
        <x:v>玩家验方表字段｜成功后才新增</x:v>
      </x:c>
    </x:row>
    <x:row r="2" ht="25" customHeight="1">
      <x:c r="A2" s="7" t="str">
        <x:v>同一物种骨架只有一条记录；数量品质作为首次、最近和最佳成绩快照保存</x:v>
      </x:c>
      <x:c r="B2" s="7" t="str">
        <x:v>同一物种骨架只有一条记录；数量品质作为首次、最近和最佳成绩快照保存</x:v>
      </x:c>
      <x:c r="C2" s="7" t="str">
        <x:v>同一物种骨架只有一条记录；数量品质作为首次、最近和最佳成绩快照保存</x:v>
      </x:c>
      <x:c r="D2" s="7" t="str">
        <x:v>同一物种骨架只有一条记录；数量品质作为首次、最近和最佳成绩快照保存</x:v>
      </x:c>
      <x:c r="E2" s="7" t="str">
        <x:v>同一物种骨架只有一条记录；数量品质作为首次、最近和最佳成绩快照保存</x:v>
      </x:c>
      <x:c r="F2" s="7" t="str">
        <x:v>同一物种骨架只有一条记录；数量品质作为首次、最近和最佳成绩快照保存</x:v>
      </x:c>
      <x:c r="G2" s="7" t="str">
        <x:v>同一物种骨架只有一条记录；数量品质作为首次、最近和最佳成绩快照保存</x:v>
      </x:c>
    </x:row>
    <x:row r="4">
      <x:c r="A4" s="12" t="str">
        <x:v>字段</x:v>
      </x:c>
      <x:c r="B4" s="12" t="str">
        <x:v>必填</x:v>
      </x:c>
      <x:c r="C4" s="12" t="str">
        <x:v>生成者</x:v>
      </x:c>
      <x:c r="D4" s="12" t="str">
        <x:v>玩家显示</x:v>
      </x:c>
      <x:c r="E4" s="12" t="str">
        <x:v>是否参与唯一性</x:v>
      </x:c>
      <x:c r="F4" s="12" t="str">
        <x:v>用途</x:v>
      </x:c>
      <x:c r="G4" s="12" t="str">
        <x:v>示例</x:v>
      </x:c>
    </x:row>
    <x:row r="5">
      <x:c r="A5" s="22" t="str">
        <x:v>verified_recipe_id</x:v>
      </x:c>
      <x:c r="B5" s="16" t="str">
        <x:v>是</x:v>
      </x:c>
      <x:c r="C5" s="16" t="str">
        <x:v>系统首次成功生成</x:v>
      </x:c>
      <x:c r="D5" s="16" t="str">
        <x:v>是</x:v>
      </x:c>
      <x:c r="E5" s="16" t="str">
        <x:v>主键</x:v>
      </x:c>
      <x:c r="F5" s="16" t="str">
        <x:v>个人验方身份</x:v>
      </x:c>
      <x:c r="G5" s="16" t="str">
        <x:v>VR-P001-FZJ01-0001</x:v>
      </x:c>
    </x:row>
    <x:row r="6">
      <x:c r="A6" s="22" t="str">
        <x:v>player_id/formula_id</x:v>
      </x:c>
      <x:c r="B6" s="16" t="str">
        <x:v>是</x:v>
      </x:c>
      <x:c r="C6" s="16" t="str">
        <x:v>系统</x:v>
      </x:c>
      <x:c r="D6" s="16" t="str">
        <x:v>否</x:v>
      </x:c>
      <x:c r="E6" s="16" t="str">
        <x:v>是</x:v>
      </x:c>
      <x:c r="F6" s="16" t="str">
        <x:v>归属玩家与丹方</x:v>
      </x:c>
      <x:c r="G6" s="16" t="str">
        <x:v>P001/F-ZJ-01</x:v>
      </x:c>
    </x:row>
    <x:row r="7">
      <x:c r="A7" s="22" t="str">
        <x:v>normalized_signature</x:v>
      </x:c>
      <x:c r="B7" s="16" t="str">
        <x:v>是</x:v>
      </x:c>
      <x:c r="C7" s="16" t="str">
        <x:v>系统</x:v>
      </x:c>
      <x:c r="D7" s="16" t="str">
        <x:v>否</x:v>
      </x:c>
      <x:c r="E7" s="16" t="str">
        <x:v>是</x:v>
      </x:c>
      <x:c r="F7" s="16" t="str">
        <x:v>防同物种重复建ID</x:v>
      </x:c>
      <x:c r="G7" s="16" t="str">
        <x:v>FZJ01|J01|M01|A01|E01</x:v>
      </x:c>
    </x:row>
    <x:row r="8">
      <x:c r="A8" s="22" t="str">
        <x:v>君臣佐使物种ID</x:v>
      </x:c>
      <x:c r="B8" s="16" t="str">
        <x:v>是</x:v>
      </x:c>
      <x:c r="C8" s="16" t="str">
        <x:v>实际成功投料</x:v>
      </x:c>
      <x:c r="D8" s="16" t="str">
        <x:v>是</x:v>
      </x:c>
      <x:c r="E8" s="16" t="str">
        <x:v>是</x:v>
      </x:c>
      <x:c r="F8" s="16" t="str">
        <x:v>一键复炼骨架</x:v>
      </x:c>
      <x:c r="G8" s="16" t="str">
        <x:v>J01/M01/A01/E01</x:v>
      </x:c>
    </x:row>
    <x:row r="9">
      <x:c r="A9" s="22" t="str">
        <x:v>display_name</x:v>
      </x:c>
      <x:c r="B9" s="16" t="str">
        <x:v>是</x:v>
      </x:c>
      <x:c r="C9" s="16" t="str">
        <x:v>系统默认/玩家可改</x:v>
      </x:c>
      <x:c r="D9" s="16" t="str">
        <x:v>是</x:v>
      </x:c>
      <x:c r="E9" s="16" t="str">
        <x:v>否</x:v>
      </x:c>
      <x:c r="F9" s="16" t="str">
        <x:v>自定义识别</x:v>
      </x:c>
      <x:c r="G9" s="16" t="str">
        <x:v>聚元丹·坊市低价方</x:v>
      </x:c>
    </x:row>
    <x:row r="10">
      <x:c r="A10" s="22" t="str">
        <x:v>source_type</x:v>
      </x:c>
      <x:c r="B10" s="16" t="str">
        <x:v>是</x:v>
      </x:c>
      <x:c r="C10" s="16" t="str">
        <x:v>系统</x:v>
      </x:c>
      <x:c r="D10" s="16" t="str">
        <x:v>是</x:v>
      </x:c>
      <x:c r="E10" s="16" t="str">
        <x:v>否</x:v>
      </x:c>
      <x:c r="F10" s="16" t="str">
        <x:v>默认/自研/传授/购买</x:v>
      </x:c>
      <x:c r="G10" s="16" t="str">
        <x:v>自研</x:v>
      </x:c>
    </x:row>
    <x:row r="11">
      <x:c r="A11" s="22" t="str">
        <x:v>first_success_at</x:v>
      </x:c>
      <x:c r="B11" s="16" t="str">
        <x:v>是</x:v>
      </x:c>
      <x:c r="C11" s="16" t="str">
        <x:v>系统</x:v>
      </x:c>
      <x:c r="D11" s="16" t="str">
        <x:v>是</x:v>
      </x:c>
      <x:c r="E11" s="16" t="str">
        <x:v>否</x:v>
      </x:c>
      <x:c r="F11" s="16" t="str">
        <x:v>确权时间</x:v>
      </x:c>
      <x:c r="G11" s="16" t="str">
        <x:v>第18日辰时</x:v>
      </x:c>
    </x:row>
    <x:row r="12">
      <x:c r="A12" s="22" t="str">
        <x:v>last_success_at/success_count</x:v>
      </x:c>
      <x:c r="B12" s="16" t="str">
        <x:v>是</x:v>
      </x:c>
      <x:c r="C12" s="16" t="str">
        <x:v>系统更新</x:v>
      </x:c>
      <x:c r="D12" s="16" t="str">
        <x:v>是</x:v>
      </x:c>
      <x:c r="E12" s="16" t="str">
        <x:v>否</x:v>
      </x:c>
      <x:c r="F12" s="16" t="str">
        <x:v>使用历史</x:v>
      </x:c>
      <x:c r="G12" s="16" t="str">
        <x:v>第22日/5次</x:v>
      </x:c>
    </x:row>
    <x:row r="13">
      <x:c r="A13" s="22" t="str">
        <x:v>first_loadout_snapshot</x:v>
      </x:c>
      <x:c r="B13" s="16" t="str">
        <x:v>是</x:v>
      </x:c>
      <x:c r="C13" s="16" t="str">
        <x:v>系统</x:v>
      </x:c>
      <x:c r="D13" s="16" t="str">
        <x:v>详情页</x:v>
      </x:c>
      <x:c r="E13" s="16" t="str">
        <x:v>否</x:v>
      </x:c>
      <x:c r="F13" s="16" t="str">
        <x:v>第一次成功的品质份数</x:v>
      </x:c>
      <x:c r="G13" s="16" t="str">
        <x:v>灵2/凡2/凡1/灵1</x:v>
      </x:c>
    </x:row>
    <x:row r="14">
      <x:c r="A14" s="22" t="str">
        <x:v>last_loadout_snapshot</x:v>
      </x:c>
      <x:c r="B14" s="16" t="str">
        <x:v>是</x:v>
      </x:c>
      <x:c r="C14" s="16" t="str">
        <x:v>系统更新</x:v>
      </x:c>
      <x:c r="D14" s="16" t="str">
        <x:v>是</x:v>
      </x:c>
      <x:c r="E14" s="16" t="str">
        <x:v>否</x:v>
      </x:c>
      <x:c r="F14" s="16" t="str">
        <x:v>下次默认调用</x:v>
      </x:c>
      <x:c r="G14" s="16" t="str">
        <x:v>灵1/灵1/凡1/灵1</x:v>
      </x:c>
    </x:row>
    <x:row r="15">
      <x:c r="A15" s="22" t="str">
        <x:v>best_cost_snapshot</x:v>
      </x:c>
      <x:c r="B15" s="16" t="str">
        <x:v>否</x:v>
      </x:c>
      <x:c r="C15" s="16" t="str">
        <x:v>系统比较更新</x:v>
      </x:c>
      <x:c r="D15" s="16" t="str">
        <x:v>是</x:v>
      </x:c>
      <x:c r="E15" s="16" t="str">
        <x:v>否</x:v>
      </x:c>
      <x:c r="F15" s="16" t="str">
        <x:v>经营成绩</x:v>
      </x:c>
      <x:c r="G15" s="16" t="str">
        <x:v>成本54</x:v>
      </x:c>
    </x:row>
    <x:row r="16">
      <x:c r="A16" s="22" t="str">
        <x:v>best_quality_snapshot</x:v>
      </x:c>
      <x:c r="B16" s="16" t="str">
        <x:v>否</x:v>
      </x:c>
      <x:c r="C16" s="16" t="str">
        <x:v>系统比较更新</x:v>
      </x:c>
      <x:c r="D16" s="16" t="str">
        <x:v>是</x:v>
      </x:c>
      <x:c r="E16" s="16" t="str">
        <x:v>否</x:v>
      </x:c>
      <x:c r="F16" s="16" t="str">
        <x:v>炼丹成绩</x:v>
      </x:c>
      <x:c r="G16" s="16" t="str">
        <x:v>玄品</x:v>
      </x:c>
    </x:row>
    <x:row r="17">
      <x:c r="A17" s="22" t="str">
        <x:v>favorite/sort_order</x:v>
      </x:c>
      <x:c r="B17" s="16" t="str">
        <x:v>否</x:v>
      </x:c>
      <x:c r="C17" s="16" t="str">
        <x:v>玩家</x:v>
      </x:c>
      <x:c r="D17" s="16" t="str">
        <x:v>是</x:v>
      </x:c>
      <x:c r="E17" s="16" t="str">
        <x:v>否</x:v>
      </x:c>
      <x:c r="F17" s="16" t="str">
        <x:v>前台管理</x:v>
      </x:c>
      <x:c r="G17" s="16" t="str">
        <x:v>TRUE/1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26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30" hidden="0" customWidth="1"/>
    <x:col min="12" max="12" width="26" hidden="0" customWidth="1"/>
  </x:cols>
  <x:sheetData>
    <x:row r="1" ht="30" customHeight="1">
      <x:c r="A1" s="3" t="str">
        <x:v>聚元丹实例｜五次尝试如何生成验方记录</x:v>
      </x:c>
      <x:c r="B1" s="3" t="str">
        <x:v>聚元丹实例｜五次尝试如何生成验方记录</x:v>
      </x:c>
      <x:c r="C1" s="3" t="str">
        <x:v>聚元丹实例｜五次尝试如何生成验方记录</x:v>
      </x:c>
      <x:c r="D1" s="3" t="str">
        <x:v>聚元丹实例｜五次尝试如何生成验方记录</x:v>
      </x:c>
      <x:c r="E1" s="3" t="str">
        <x:v>聚元丹实例｜五次尝试如何生成验方记录</x:v>
      </x:c>
      <x:c r="F1" s="3" t="str">
        <x:v>聚元丹实例｜五次尝试如何生成验方记录</x:v>
      </x:c>
      <x:c r="G1" s="3" t="str">
        <x:v>聚元丹实例｜五次尝试如何生成验方记录</x:v>
      </x:c>
      <x:c r="H1" s="3" t="str">
        <x:v>聚元丹实例｜五次尝试如何生成验方记录</x:v>
      </x:c>
      <x:c r="I1" s="3" t="str">
        <x:v>聚元丹实例｜五次尝试如何生成验方记录</x:v>
      </x:c>
      <x:c r="J1" s="3" t="str">
        <x:v>聚元丹实例｜五次尝试如何生成验方记录</x:v>
      </x:c>
      <x:c r="K1" s="3" t="str">
        <x:v>聚元丹实例｜五次尝试如何生成验方记录</x:v>
      </x:c>
      <x:c r="L1" s="3" t="str">
        <x:v>聚元丹实例｜五次尝试如何生成验方记录</x:v>
      </x:c>
    </x:row>
    <x:row r="2" ht="25" customHeight="1">
      <x:c r="A2" s="7" t="str">
        <x:v>同物种换品质份数更新原ID；更换物种且首次成功才新建ID</x:v>
      </x:c>
      <x:c r="B2" s="7" t="str">
        <x:v>同物种换品质份数更新原ID；更换物种且首次成功才新建ID</x:v>
      </x:c>
      <x:c r="C2" s="7" t="str">
        <x:v>同物种换品质份数更新原ID；更换物种且首次成功才新建ID</x:v>
      </x:c>
      <x:c r="D2" s="7" t="str">
        <x:v>同物种换品质份数更新原ID；更换物种且首次成功才新建ID</x:v>
      </x:c>
      <x:c r="E2" s="7" t="str">
        <x:v>同物种换品质份数更新原ID；更换物种且首次成功才新建ID</x:v>
      </x:c>
      <x:c r="F2" s="7" t="str">
        <x:v>同物种换品质份数更新原ID；更换物种且首次成功才新建ID</x:v>
      </x:c>
      <x:c r="G2" s="7" t="str">
        <x:v>同物种换品质份数更新原ID；更换物种且首次成功才新建ID</x:v>
      </x:c>
      <x:c r="H2" s="7" t="str">
        <x:v>同物种换品质份数更新原ID；更换物种且首次成功才新建ID</x:v>
      </x:c>
      <x:c r="I2" s="7" t="str">
        <x:v>同物种换品质份数更新原ID；更换物种且首次成功才新建ID</x:v>
      </x:c>
      <x:c r="J2" s="7" t="str">
        <x:v>同物种换品质份数更新原ID；更换物种且首次成功才新建ID</x:v>
      </x:c>
      <x:c r="K2" s="7" t="str">
        <x:v>同物种换品质份数更新原ID；更换物种且首次成功才新建ID</x:v>
      </x:c>
      <x:c r="L2" s="7" t="str">
        <x:v>同物种换品质份数更新原ID；更换物种且首次成功才新建ID</x:v>
      </x:c>
    </x:row>
    <x:row r="4">
      <x:c r="A4" s="12" t="str">
        <x:v>尝试</x:v>
      </x:c>
      <x:c r="B4" s="12" t="str">
        <x:v>入口</x:v>
      </x:c>
      <x:c r="C4" s="12" t="str">
        <x:v>四材物种签名</x:v>
      </x:c>
      <x:c r="D4" s="12" t="str">
        <x:v>品质/份数摘要</x:v>
      </x:c>
      <x:c r="E4" s="12" t="str">
        <x:v>五盏灯</x:v>
      </x:c>
      <x:c r="F4" s="12" t="str">
        <x:v>炼制结果</x:v>
      </x:c>
      <x:c r="G4" s="12" t="str">
        <x:v>已有验方ID</x:v>
      </x:c>
      <x:c r="H4" s="12" t="str">
        <x:v>系统动作</x:v>
      </x:c>
      <x:c r="I4" s="12" t="str">
        <x:v>本次产生ID</x:v>
      </x:c>
      <x:c r="J4" s="12" t="str">
        <x:v>N已验变化</x:v>
      </x:c>
      <x:c r="K4" s="12" t="str">
        <x:v>前台结果</x:v>
      </x:c>
      <x:c r="L4" s="12" t="str">
        <x:v>说明</x:v>
      </x:c>
    </x:row>
    <x:row r="5">
      <x:c r="A5" s="16" t="str">
        <x:v>A001</x:v>
      </x:c>
      <x:c r="B5" s="16" t="str">
        <x:v>默认方</x:v>
      </x:c>
      <x:c r="C5" s="16" t="str">
        <x:v>FZJ01|聚元芝|厚元苔|中和草|灵蜜</x:v>
      </x:c>
      <x:c r="D5" s="16" t="str">
        <x:v>灵2/凡2/凡1/灵1</x:v>
      </x:c>
      <x:c r="E5" s="16" t="str">
        <x:v>通过</x:v>
      </x:c>
      <x:c r="F5" s="16" t="str">
        <x:v>成功</x:v>
      </x:c>
      <x:c r="G5" s="16" t="str"/>
      <x:c r="H5" s="22" t="str">
        <x:f>IF(AND(E5="通过",F5="成功"),IF(G5&lt;&gt;"","更新原验方","新建验方"),"不入册")</x:f>
        <x:v>新建验方</x:v>
      </x:c>
      <x:c r="I5" s="22" t="str">
        <x:v>VR-0001</x:v>
      </x:c>
      <x:c r="J5" s="22" t="n">
        <x:f>IF(H5="新建验方",1,0)</x:f>
        <x:v>1</x:v>
      </x:c>
      <x:c r="K5" s="16" t="str">
        <x:v>聚元丹·师承方入册</x:v>
      </x:c>
      <x:c r="L5" s="16" t="str">
        <x:v>第一次成功</x:v>
      </x:c>
    </x:row>
    <x:row r="6">
      <x:c r="A6" s="16" t="str">
        <x:v>A002</x:v>
      </x:c>
      <x:c r="B6" s="16" t="str">
        <x:v>我的验方</x:v>
      </x:c>
      <x:c r="C6" s="16" t="str">
        <x:v>FZJ01|聚元芝|厚元苔|中和草|灵蜜</x:v>
      </x:c>
      <x:c r="D6" s="16" t="str">
        <x:v>玄1/灵1/凡1/灵1</x:v>
      </x:c>
      <x:c r="E6" s="16" t="str">
        <x:v>通过</x:v>
      </x:c>
      <x:c r="F6" s="16" t="str">
        <x:v>成功</x:v>
      </x:c>
      <x:c r="G6" s="16" t="str">
        <x:v>VR-0001</x:v>
      </x:c>
      <x:c r="H6" s="22" t="str">
        <x:f>IF(AND(E6="通过",F6="成功"),IF(G6&lt;&gt;"","更新原验方","新建验方"),"不入册")</x:f>
        <x:v>更新原验方</x:v>
      </x:c>
      <x:c r="I6" s="22" t="str"/>
      <x:c r="J6" s="22" t="n">
        <x:f>IF(H6="新建验方",1,0)</x:f>
        <x:v>0</x:v>
      </x:c>
      <x:c r="K6" s="16" t="str">
        <x:v>更新VR-0001最高品质</x:v>
      </x:c>
      <x:c r="L6" s="16" t="str">
        <x:v>同物种不新建</x:v>
      </x:c>
    </x:row>
    <x:row r="7">
      <x:c r="A7" s="16" t="str">
        <x:v>A003</x:v>
      </x:c>
      <x:c r="B7" s="16" t="str">
        <x:v>自由试方</x:v>
      </x:c>
      <x:c r="C7" s="16" t="str">
        <x:v>FZJ01|聚元芝|沙参|中和草|蜜藤</x:v>
      </x:c>
      <x:c r="D7" s="16" t="str">
        <x:v>凡3/凡2/凡1/凡1</x:v>
      </x:c>
      <x:c r="E7" s="16" t="str">
        <x:v>通过</x:v>
      </x:c>
      <x:c r="F7" s="16" t="str">
        <x:v>失败</x:v>
      </x:c>
      <x:c r="G7" s="16" t="str"/>
      <x:c r="H7" s="22" t="str">
        <x:f>IF(AND(E7="通过",F7="成功"),IF(G7&lt;&gt;"","更新原验方","新建验方"),"不入册")</x:f>
        <x:v>不入册</x:v>
      </x:c>
      <x:c r="I7" s="22" t="str"/>
      <x:c r="J7" s="22" t="n">
        <x:f>IF(H7="新建验方",1,0)</x:f>
        <x:v>0</x:v>
      </x:c>
      <x:c r="K7" s="16" t="str">
        <x:v>不入册</x:v>
      </x:c>
      <x:c r="L7" s="16" t="str">
        <x:v>随机炼制失败</x:v>
      </x:c>
    </x:row>
    <x:row r="8">
      <x:c r="A8" s="16" t="str">
        <x:v>A004</x:v>
      </x:c>
      <x:c r="B8" s="16" t="str">
        <x:v>自由试方</x:v>
      </x:c>
      <x:c r="C8" s="16" t="str">
        <x:v>FZJ01|聚元芝|沙参|中和草|蜜藤</x:v>
      </x:c>
      <x:c r="D8" s="16" t="str">
        <x:v>灵2/凡2/凡1/凡1</x:v>
      </x:c>
      <x:c r="E8" s="16" t="str">
        <x:v>通过</x:v>
      </x:c>
      <x:c r="F8" s="16" t="str">
        <x:v>成功</x:v>
      </x:c>
      <x:c r="G8" s="16" t="str"/>
      <x:c r="H8" s="22" t="str">
        <x:f>IF(AND(E8="通过",F8="成功"),IF(G8&lt;&gt;"","更新原验方","新建验方"),"不入册")</x:f>
        <x:v>新建验方</x:v>
      </x:c>
      <x:c r="I8" s="22" t="str">
        <x:v>VR-0002</x:v>
      </x:c>
      <x:c r="J8" s="22" t="n">
        <x:f>IF(H8="新建验方",1,0)</x:f>
        <x:v>1</x:v>
      </x:c>
      <x:c r="K8" s="16" t="str">
        <x:v>聚元丹·低价方入册</x:v>
      </x:c>
      <x:c r="L8" s="16" t="str">
        <x:v>更换物种且成功</x:v>
      </x:c>
    </x:row>
    <x:row r="9">
      <x:c r="A9" s="16" t="str">
        <x:v>A005</x:v>
      </x:c>
      <x:c r="B9" s="16" t="str">
        <x:v>自由试方</x:v>
      </x:c>
      <x:c r="C9" s="16" t="str">
        <x:v>FZJ01|聚元芝|铁线蕨|中和草|灵蜜</x:v>
      </x:c>
      <x:c r="D9" s="16" t="str">
        <x:v>凡2/凡2/凡1/凡1</x:v>
      </x:c>
      <x:c r="E9" s="16" t="str">
        <x:v>臣行不合</x:v>
      </x:c>
      <x:c r="F9" s="16" t="str">
        <x:v>未开炉</x:v>
      </x:c>
      <x:c r="G9" s="16" t="str"/>
      <x:c r="H9" s="22" t="str">
        <x:f>IF(AND(E9="通过",F9="成功"),IF(G9&lt;&gt;"","更新原验方","新建验方"),"不入册")</x:f>
        <x:v>不入册</x:v>
      </x:c>
      <x:c r="I9" s="22" t="str"/>
      <x:c r="J9" s="22" t="n">
        <x:f>IF(H9="新建验方",1,0)</x:f>
        <x:v>0</x:v>
      </x:c>
      <x:c r="K9" s="16" t="str">
        <x:v>不入册</x:v>
      </x:c>
      <x:c r="L9" s="16" t="str">
        <x:v>金臣不合土行</x:v>
      </x:c>
    </x:row>
    <x:row r="11">
      <x:c r="A11" s="12" t="str">
        <x:v>核验</x:v>
      </x:c>
      <x:c r="B11" s="12" t="str">
        <x:v>新建验方数</x:v>
      </x:c>
      <x:c r="C11" s="12" t="str">
        <x:v>更新旧验方数</x:v>
      </x:c>
      <x:c r="D11" s="12" t="str">
        <x:v>不入册数</x:v>
      </x:c>
    </x:row>
    <x:row r="12">
      <x:c r="A12" s="17" t="str">
        <x:f>"结果"</x:f>
        <x:v>结果</x:v>
      </x:c>
      <x:c r="B12" s="17" t="n">
        <x:f>COUNTIF(H5:H9,"新建验方")</x:f>
        <x:v>2</x:v>
      </x:c>
      <x:c r="C12" s="17" t="n">
        <x:f>COUNTIF(H5:H9,"更新原验方")</x:f>
        <x:v>1</x:v>
      </x:c>
      <x:c r="D12" s="17" t="n">
        <x:f>COUNTIF(H5:H9,"不入册")</x:f>
        <x:v>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34" hidden="0" customWidth="1"/>
    <x:col min="5" max="5" width="22" hidden="0" customWidth="1"/>
    <x:col min="6" max="6" width="28" hidden="0" customWidth="1"/>
    <x:col min="7" max="7" width="20" hidden="0" customWidth="1"/>
    <x:col min="8" max="8" width="30" hidden="0" customWidth="1"/>
  </x:cols>
  <x:sheetData>
    <x:row r="1" ht="30" customHeight="1">
      <x:c r="A1" s="3" t="str">
        <x:v>前台三个入口｜同一张丹方的学习梯度</x:v>
      </x:c>
      <x:c r="B1" s="3" t="str">
        <x:v>前台三个入口｜同一张丹方的学习梯度</x:v>
      </x:c>
      <x:c r="C1" s="3" t="str">
        <x:v>前台三个入口｜同一张丹方的学习梯度</x:v>
      </x:c>
      <x:c r="D1" s="3" t="str">
        <x:v>前台三个入口｜同一张丹方的学习梯度</x:v>
      </x:c>
      <x:c r="E1" s="3" t="str">
        <x:v>前台三个入口｜同一张丹方的学习梯度</x:v>
      </x:c>
      <x:c r="F1" s="3" t="str">
        <x:v>前台三个入口｜同一张丹方的学习梯度</x:v>
      </x:c>
      <x:c r="G1" s="3" t="str">
        <x:v>前台三个入口｜同一张丹方的学习梯度</x:v>
      </x:c>
      <x:c r="H1" s="3" t="str">
        <x:v>前台三个入口｜同一张丹方的学习梯度</x:v>
      </x:c>
    </x:row>
    <x:row r="2" ht="25" customHeight="1">
      <x:c r="A2" s="7" t="str">
        <x:v>没有解锁墙：默认方降低门槛，自由试方从第一天开放，成功验方负责便利复炼</x:v>
      </x:c>
      <x:c r="B2" s="7" t="str">
        <x:v>没有解锁墙：默认方降低门槛，自由试方从第一天开放，成功验方负责便利复炼</x:v>
      </x:c>
      <x:c r="C2" s="7" t="str">
        <x:v>没有解锁墙：默认方降低门槛，自由试方从第一天开放，成功验方负责便利复炼</x:v>
      </x:c>
      <x:c r="D2" s="7" t="str">
        <x:v>没有解锁墙：默认方降低门槛，自由试方从第一天开放，成功验方负责便利复炼</x:v>
      </x:c>
      <x:c r="E2" s="7" t="str">
        <x:v>没有解锁墙：默认方降低门槛，自由试方从第一天开放，成功验方负责便利复炼</x:v>
      </x:c>
      <x:c r="F2" s="7" t="str">
        <x:v>没有解锁墙：默认方降低门槛，自由试方从第一天开放，成功验方负责便利复炼</x:v>
      </x:c>
      <x:c r="G2" s="7" t="str">
        <x:v>没有解锁墙：默认方降低门槛，自由试方从第一天开放，成功验方负责便利复炼</x:v>
      </x:c>
      <x:c r="H2" s="7" t="str">
        <x:v>没有解锁墙：默认方降低门槛，自由试方从第一天开放，成功验方负责便利复炼</x:v>
      </x:c>
    </x:row>
    <x:row r="4">
      <x:c r="A4" s="12" t="str">
        <x:v>入口</x:v>
      </x:c>
      <x:c r="B4" s="12" t="str">
        <x:v>何时出现</x:v>
      </x:c>
      <x:c r="C4" s="12" t="str">
        <x:v>材料来源</x:v>
      </x:c>
      <x:c r="D4" s="12" t="str">
        <x:v>玩家能改什么</x:v>
      </x:c>
      <x:c r="E4" s="12" t="str">
        <x:v>是否需要成功记录</x:v>
      </x:c>
      <x:c r="F4" s="12" t="str">
        <x:v>点击后动作</x:v>
      </x:c>
      <x:c r="G4" s="12" t="str">
        <x:v>核心用户</x:v>
      </x:c>
      <x:c r="H4" s="12" t="str">
        <x:v>显示重点</x:v>
      </x:c>
    </x:row>
    <x:row r="5">
      <x:c r="A5" s="16" t="str">
        <x:v>默认方</x:v>
      </x:c>
      <x:c r="B5" s="16" t="str">
        <x:v>学会丹方即出现</x:v>
      </x:c>
      <x:c r="C5" s="16" t="str">
        <x:v>策划默认模板</x:v>
      </x:c>
      <x:c r="D5" s="16" t="str">
        <x:v>品质/份数，也可从此替换一格</x:v>
      </x:c>
      <x:c r="E5" s="16" t="str">
        <x:v>否</x:v>
      </x:c>
      <x:c r="F5" s="16" t="str">
        <x:v>自动填四格</x:v>
      </x:c>
      <x:c r="G5" s="16" t="str">
        <x:v>新手/日常</x:v>
      </x:c>
      <x:c r="H5" s="16" t="str">
        <x:v>尚未亲证/已亲证</x:v>
      </x:c>
    </x:row>
    <x:row r="6">
      <x:c r="A6" s="16" t="str">
        <x:v>我的验方</x:v>
      </x:c>
      <x:c r="B6" s="16" t="str">
        <x:v>至少成功过一次</x:v>
      </x:c>
      <x:c r="C6" s="16" t="str">
        <x:v>玩家验方表</x:v>
      </x:c>
      <x:c r="D6" s="16" t="str">
        <x:v>品质/份数，可另存新物种后成功</x:v>
      </x:c>
      <x:c r="E6" s="16" t="str">
        <x:v>是</x:v>
      </x:c>
      <x:c r="F6" s="16" t="str">
        <x:v>加载最近或最佳快照</x:v>
      </x:c>
      <x:c r="G6" s="16" t="str">
        <x:v>日常/商人</x:v>
      </x:c>
      <x:c r="H6" s="16" t="str">
        <x:v>名称、成本、品质、次数</x:v>
      </x:c>
    </x:row>
    <x:row r="7">
      <x:c r="A7" s="16" t="str">
        <x:v>自由试方</x:v>
      </x:c>
      <x:c r="B7" s="16" t="str">
        <x:v>学会丹方即出现</x:v>
      </x:c>
      <x:c r="C7" s="16" t="str">
        <x:v>玩家库存</x:v>
      </x:c>
      <x:c r="D7" s="16" t="str">
        <x:v>四材物种、品质、份数</x:v>
      </x:c>
      <x:c r="E7" s="16" t="str">
        <x:v>否</x:v>
      </x:c>
      <x:c r="F7" s="16" t="str">
        <x:v>打开空白或复制当前配伍</x:v>
      </x:c>
      <x:c r="G7" s="16" t="str">
        <x:v>研究者/商人</x:v>
      </x:c>
      <x:c r="H7" s="16" t="str">
        <x:v>五盏灯与成本预估</x:v>
      </x:c>
    </x:row>
    <x:row r="9">
      <x:c r="A9" s="21" t="str">
        <x:v>推荐默认页：首次打开定位“默认方”；已有个人验方后记住玩家上次使用的入口。</x:v>
      </x:c>
      <x:c r="B9" s="21" t="str">
        <x:v>推荐默认页：首次打开定位“默认方”；已有个人验方后记住玩家上次使用的入口。</x:v>
      </x:c>
      <x:c r="C9" s="21" t="str">
        <x:v>推荐默认页：首次打开定位“默认方”；已有个人验方后记住玩家上次使用的入口。</x:v>
      </x:c>
      <x:c r="D9" s="21" t="str">
        <x:v>推荐默认页：首次打开定位“默认方”；已有个人验方后记住玩家上次使用的入口。</x:v>
      </x:c>
      <x:c r="E9" s="21" t="str">
        <x:v>推荐默认页：首次打开定位“默认方”；已有个人验方后记住玩家上次使用的入口。</x:v>
      </x:c>
      <x:c r="F9" s="21" t="str">
        <x:v>推荐默认页：首次打开定位“默认方”；已有个人验方后记住玩家上次使用的入口。</x:v>
      </x:c>
      <x:c r="G9" s="21" t="str">
        <x:v>推荐默认页：首次打开定位“默认方”；已有个人验方后记住玩家上次使用的入口。</x:v>
      </x:c>
      <x:c r="H9" s="21" t="str">
        <x:v>推荐默认页：首次打开定位“默认方”；已有个人验方后记住玩家上次使用的入口。</x:v>
      </x:c>
    </x:row>
    <x:row r="11">
      <x:c r="A11" s="12" t="str">
        <x:v>成功反馈</x:v>
      </x:c>
      <x:c r="B11" s="12" t="str">
        <x:v>新验方</x:v>
      </x:c>
      <x:c r="C11" s="12" t="str">
        <x:v>旧验方优化</x:v>
      </x:c>
      <x:c r="D11" s="12" t="str">
        <x:v>失败</x:v>
      </x:c>
      <x:c r="E11" s="12" t="str">
        <x:v>库存不足</x:v>
      </x:c>
      <x:c r="F11" s="12" t="str">
        <x:v>属性不合</x:v>
      </x:c>
      <x:c r="G11" s="12" t="str">
        <x:v>可重命名</x:v>
      </x:c>
      <x:c r="H11" s="12" t="str">
        <x:v>可收藏</x:v>
      </x:c>
    </x:row>
    <x:row r="12">
      <x:c r="A12" s="16" t="str">
        <x:v>前台表现</x:v>
      </x:c>
      <x:c r="B12" s="16" t="str">
        <x:v>弹窗“新验方入册”</x:v>
      </x:c>
      <x:c r="C12" s="16" t="str">
        <x:v>提示刷新最低成本/最高品质</x:v>
      </x:c>
      <x:c r="D12" s="16" t="str">
        <x:v>不入册，仅显示失败原因</x:v>
      </x:c>
      <x:c r="E12" s="16" t="str">
        <x:v>不能开炉</x:v>
      </x:c>
      <x:c r="F12" s="16" t="str">
        <x:v>五盏灯具体提示</x:v>
      </x:c>
      <x:c r="G12" s="16" t="str">
        <x:v>是</x:v>
      </x:c>
      <x:c r="H12" s="16" t="str">
        <x:v>是</x:v>
      </x:c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14" hidden="0" customWidth="1"/>
    <x:col min="5" max="5" width="4" hidden="0" customWidth="1"/>
    <x:col min="6" max="6" width="24" hidden="0" customWidth="1"/>
    <x:col min="7" max="7" width="20" hidden="0" customWidth="1"/>
    <x:col min="8" max="8" width="40" hidden="0" customWidth="1"/>
  </x:cols>
  <x:sheetData>
    <x:row r="1" ht="30" customHeight="1">
      <x:c r="A1" s="3" t="str">
        <x:v>完整性核验｜第20轮对象、流程与示例</x:v>
      </x:c>
      <x:c r="B1" s="3" t="str">
        <x:v>完整性核验｜第20轮对象、流程与示例</x:v>
      </x:c>
      <x:c r="C1" s="3" t="str">
        <x:v>完整性核验｜第20轮对象、流程与示例</x:v>
      </x:c>
      <x:c r="D1" s="3" t="str">
        <x:v>完整性核验｜第20轮对象、流程与示例</x:v>
      </x:c>
      <x:c r="E1" s="3" t="str">
        <x:v>完整性核验｜第20轮对象、流程与示例</x:v>
      </x:c>
      <x:c r="F1" s="3" t="str">
        <x:v>完整性核验｜第20轮对象、流程与示例</x:v>
      </x:c>
      <x:c r="G1" s="3" t="str">
        <x:v>完整性核验｜第20轮对象、流程与示例</x:v>
      </x:c>
      <x:c r="H1" s="3" t="str">
        <x:v>完整性核验｜第20轮对象、流程与示例</x:v>
      </x:c>
    </x:row>
    <x:row r="2" ht="25" customHeight="1">
      <x:c r="A2" s="7" t="str">
        <x:v>检查默认模板、自由试方、成功后ID和同物种复用是否全部落实</x:v>
      </x:c>
      <x:c r="B2" s="7" t="str">
        <x:v>检查默认模板、自由试方、成功后ID和同物种复用是否全部落实</x:v>
      </x:c>
      <x:c r="C2" s="7" t="str">
        <x:v>检查默认模板、自由试方、成功后ID和同物种复用是否全部落实</x:v>
      </x:c>
      <x:c r="D2" s="7" t="str">
        <x:v>检查默认模板、自由试方、成功后ID和同物种复用是否全部落实</x:v>
      </x:c>
      <x:c r="E2" s="7" t="str">
        <x:v>检查默认模板、自由试方、成功后ID和同物种复用是否全部落实</x:v>
      </x:c>
      <x:c r="F2" s="7" t="str">
        <x:v>检查默认模板、自由试方、成功后ID和同物种复用是否全部落实</x:v>
      </x:c>
      <x:c r="G2" s="7" t="str">
        <x:v>检查默认模板、自由试方、成功后ID和同物种复用是否全部落实</x:v>
      </x:c>
      <x:c r="H2" s="7" t="str">
        <x:v>检查默认模板、自由试方、成功后ID和同物种复用是否全部落实</x:v>
      </x:c>
    </x:row>
    <x:row r="4">
      <x:c r="A4" s="12" t="str">
        <x:v>指标</x:v>
      </x:c>
      <x:c r="B4" s="12" t="str">
        <x:v>实际</x:v>
      </x:c>
      <x:c r="C4" s="12" t="str">
        <x:v>目标</x:v>
      </x:c>
      <x:c r="D4" s="12" t="str">
        <x:v>状态</x:v>
      </x:c>
      <x:c r="F4" s="12" t="str">
        <x:v>冻结口径</x:v>
      </x:c>
      <x:c r="G4" s="12" t="str">
        <x:v>值</x:v>
      </x:c>
      <x:c r="H4" s="12" t="str">
        <x:v>解释</x:v>
      </x:c>
    </x:row>
    <x:row r="5">
      <x:c r="A5" s="16" t="str">
        <x:v>前台入口数</x:v>
      </x:c>
      <x:c r="B5" s="16" t="n">
        <x:f>COUNTA('06_前台入口'!A5:A7)</x:f>
        <x:v>3</x:v>
      </x:c>
      <x:c r="C5" s="16" t="n">
        <x:v>3</x:v>
      </x:c>
      <x:c r="D5" s="22" t="str">
        <x:f>IF(B5=C5,"通过","检查")</x:f>
        <x:v>通过</x:v>
      </x:c>
      <x:c r="F5" s="16" t="str">
        <x:v>自由试方</x:v>
      </x:c>
      <x:c r="G5" s="16" t="str">
        <x:v>立即开放</x:v>
      </x:c>
      <x:c r="H5" s="16" t="str">
        <x:v>不锁宗师等级</x:v>
      </x:c>
    </x:row>
    <x:row r="6">
      <x:c r="A6" s="16" t="str">
        <x:v>个人验方ID产生条件</x:v>
      </x:c>
      <x:c r="B6" s="16" t="str">
        <x:f>"成功成丹"</x:f>
        <x:v>成功成丹</x:v>
      </x:c>
      <x:c r="C6" s="16" t="str">
        <x:v>成功成丹</x:v>
      </x:c>
      <x:c r="D6" s="22" t="str">
        <x:f>IF(B6=C6,"通过","检查")</x:f>
        <x:v>通过</x:v>
      </x:c>
      <x:c r="F6" s="16" t="str">
        <x:v>默认方</x:v>
      </x:c>
      <x:c r="G6" s="16" t="str">
        <x:v>每方至少一套</x:v>
      </x:c>
      <x:c r="H6" s="16" t="str">
        <x:v>成功前非个人验方</x:v>
      </x:c>
    </x:row>
    <x:row r="7">
      <x:c r="A7" s="16" t="str">
        <x:v>失败入册数</x:v>
      </x:c>
      <x:c r="B7" s="16" t="n">
        <x:f>0</x:f>
        <x:v>0</x:v>
      </x:c>
      <x:c r="C7" s="16" t="n">
        <x:v>0</x:v>
      </x:c>
      <x:c r="D7" s="22" t="str">
        <x:f>IF(B7=C7,"通过","检查")</x:f>
        <x:v>通过</x:v>
      </x:c>
      <x:c r="F7" s="16" t="str">
        <x:v>验方ID</x:v>
      </x:c>
      <x:c r="G7" s="16" t="str">
        <x:v>成功后生成</x:v>
      </x:c>
      <x:c r="H7" s="16" t="str">
        <x:v>失败无ID</x:v>
      </x:c>
    </x:row>
    <x:row r="8">
      <x:c r="A8" s="16" t="str">
        <x:v>示例新建验方数</x:v>
      </x:c>
      <x:c r="B8" s="16" t="n">
        <x:f>'05_聚元丹实例'!B12</x:f>
        <x:v>2</x:v>
      </x:c>
      <x:c r="C8" s="16" t="n">
        <x:v>2</x:v>
      </x:c>
      <x:c r="D8" s="22" t="str">
        <x:f>IF(B8=C8,"通过","检查")</x:f>
        <x:v>通过</x:v>
      </x:c>
      <x:c r="F8" s="16" t="str">
        <x:v>签名</x:v>
      </x:c>
      <x:c r="G8" s="16" t="str">
        <x:v>只含物种骨架</x:v>
      </x:c>
      <x:c r="H8" s="16" t="str">
        <x:v>品质份数不参与唯一性</x:v>
      </x:c>
    </x:row>
    <x:row r="9">
      <x:c r="A9" s="16" t="str">
        <x:v>示例更新旧验方数</x:v>
      </x:c>
      <x:c r="B9" s="16" t="n">
        <x:f>'05_聚元丹实例'!C12</x:f>
        <x:v>1</x:v>
      </x:c>
      <x:c r="C9" s="16" t="n">
        <x:v>1</x:v>
      </x:c>
      <x:c r="D9" s="22" t="str">
        <x:f>IF(B9=C9,"通过","检查")</x:f>
        <x:v>通过</x:v>
      </x:c>
      <x:c r="F9" s="16" t="str">
        <x:v>同签名成功</x:v>
      </x:c>
      <x:c r="G9" s="16" t="str">
        <x:v>更新原记录</x:v>
      </x:c>
      <x:c r="H9" s="16" t="str">
        <x:v>不增加N已验</x:v>
      </x:c>
    </x:row>
    <x:row r="10">
      <x:c r="A10" s="16" t="str">
        <x:v>示例不入册数</x:v>
      </x:c>
      <x:c r="B10" s="16" t="n">
        <x:f>'05_聚元丹实例'!D12</x:f>
        <x:v>2</x:v>
      </x:c>
      <x:c r="C10" s="16" t="n">
        <x:v>2</x:v>
      </x:c>
      <x:c r="D10" s="22" t="str">
        <x:f>IF(B10=C10,"通过","检查")</x:f>
        <x:v>通过</x:v>
      </x:c>
      <x:c r="F10" s="16" t="str">
        <x:v>新物种组合成功</x:v>
      </x:c>
      <x:c r="G10" s="16" t="str">
        <x:v>新建记录</x:v>
      </x:c>
      <x:c r="H10" s="16" t="str">
        <x:v>N已验+1</x:v>
      </x:c>
    </x:row>
    <x:row r="11">
      <x:c r="A11" s="16" t="str">
        <x:v>策划验证解目标</x:v>
      </x:c>
      <x:c r="B11" s="16" t="str">
        <x:f>"3—6"</x:f>
        <x:v>3—6</x:v>
      </x:c>
      <x:c r="C11" s="16" t="str">
        <x:v>3—6</x:v>
      </x:c>
      <x:c r="D11" s="22" t="str">
        <x:f>IF(B11=C11,"通过","检查")</x:f>
        <x:v>通过</x:v>
      </x:c>
      <x:c r="F11" s="16" t="str">
        <x:v>策划验证解</x:v>
      </x:c>
      <x:c r="G11" s="16" t="str">
        <x:v>3—6套</x:v>
      </x:c>
      <x:c r="H11" s="16" t="str">
        <x:v>QA而非白名单</x:v>
      </x:c>
    </x:row>
    <x:row r="12">
      <x:c r="A12" s="16" t="str">
        <x:v>默认模板数/方</x:v>
      </x:c>
      <x:c r="B12" s="16" t="n">
        <x:f>1</x:f>
        <x:v>1</x:v>
      </x:c>
      <x:c r="C12" s="16" t="n">
        <x:v>1</x:v>
      </x:c>
      <x:c r="D12" s="22" t="str">
        <x:f>IF(B12=C12,"通过","检查")</x:f>
        <x:v>通过</x:v>
      </x:c>
      <x:c r="F12" s="16" t="str">
        <x:v>讨论方法</x:v>
      </x:c>
      <x:c r="G12" s="16" t="str">
        <x:v>看论据不看立场新旧</x:v>
      </x:c>
      <x:c r="H12" s="16" t="str">
        <x:v>实事求是</x:v>
      </x:c>
    </x:row>
    <x:row r="14">
      <x:c r="A14" s="21" t="str">
        <x:v>通过标准：三个入口；仅成功生成ID；示例2条新验方、1次优化、2次不入册；同物种品质份数变化不重复建ID。</x:v>
      </x:c>
      <x:c r="B14" s="21" t="str">
        <x:v>通过标准：三个入口；仅成功生成ID；示例2条新验方、1次优化、2次不入册；同物种品质份数变化不重复建ID。</x:v>
      </x:c>
      <x:c r="C14" s="21" t="str">
        <x:v>通过标准：三个入口；仅成功生成ID；示例2条新验方、1次优化、2次不入册；同物种品质份数变化不重复建ID。</x:v>
      </x:c>
      <x:c r="D14" s="21" t="str">
        <x:v>通过标准：三个入口；仅成功生成ID；示例2条新验方、1次优化、2次不入册；同物种品质份数变化不重复建ID。</x:v>
      </x:c>
      <x:c r="E14" s="21" t="str">
        <x:v>通过标准：三个入口；仅成功生成ID；示例2条新验方、1次优化、2次不入册；同物种品质份数变化不重复建ID。</x:v>
      </x:c>
      <x:c r="F14" s="21" t="str">
        <x:v>通过标准：三个入口；仅成功生成ID；示例2条新验方、1次优化、2次不入册；同物种品质份数变化不重复建ID。</x:v>
      </x:c>
      <x:c r="G14" s="21" t="str">
        <x:v>通过标准：三个入口；仅成功生成ID；示例2条新验方、1次优化、2次不入册；同物种品质份数变化不重复建ID。</x:v>
      </x:c>
      <x:c r="H14" s="21" t="str">
        <x:v>通过标准：三个入口；仅成功生成ID；示例2条新验方、1次优化、2次不入册；同物种品质份数变化不重复建ID。</x:v>
      </x:c>
    </x:row>
  </x:sheetData>
  <x:mergeCells>
    <x:mergeCell ref="A1:H1"/>
    <x:mergeCell ref="A2:H2"/>
    <x:mergeCell ref="A14:H14"/>
  </x:mergeCells>
  <x:conditionalFormatting sqref="D5:D12">
    <x:cfRule type="containsText" dxfId="0" priority="1" operator="containsText" text="检查"/>
  </x:conditionalFormatting>
  <x:pageMargins left="0.7" right="0.7" top="0.75" bottom="0.75" header="0.3" footer="0.3"/>
</x:worksheet>
</file>