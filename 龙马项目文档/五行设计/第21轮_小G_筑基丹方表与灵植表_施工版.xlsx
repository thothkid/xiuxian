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bdc65d001a45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第21轮说明" sheetId="1" r:id="R4d995b0dff5f403f"/>
    <x:sheet xmlns:r="http://schemas.openxmlformats.org/officeDocument/2006/relationships" name="01_丹方主表" sheetId="2" r:id="R3bce930025e24125"/>
    <x:sheet xmlns:r="http://schemas.openxmlformats.org/officeDocument/2006/relationships" name="02_策划验证解表" sheetId="3" r:id="R9a54049ece9b4078"/>
    <x:sheet xmlns:r="http://schemas.openxmlformats.org/officeDocument/2006/relationships" name="03_灵植表" sheetId="4" r:id="R7f44ff9578c446a7"/>
    <x:sheet xmlns:r="http://schemas.openxmlformats.org/officeDocument/2006/relationships" name="04_参数字典" sheetId="5" r:id="Rd299829f58a648e8"/>
    <x:sheet xmlns:r="http://schemas.openxmlformats.org/officeDocument/2006/relationships" name="05_合法解计算" sheetId="6" r:id="Rd6745cf788304022"/>
    <x:sheet xmlns:r="http://schemas.openxmlformats.org/officeDocument/2006/relationships" name="06_玩家验方字段" sheetId="7" r:id="R3ce5d54d1ca84929"/>
    <x:sheet xmlns:r="http://schemas.openxmlformats.org/officeDocument/2006/relationships" name="07_完整性核验" sheetId="8" r:id="Rdace050c63ff43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%"/>
    <x:numFmt numFmtId="202" formatCode="0.00"/>
  </x:numFmts>
  <x:fonts count="6">
    <x:font>
      <x:sz val="11"/>
      <x:name val="Carlito"/>
    </x:font>
    <x:font>
      <x:b/>
      <x:sz val="16"/>
      <x:color rgb="FFFFFFFF"/>
      <x:name val="Microsoft YaHei"/>
    </x:font>
    <x:font>
      <x:sz val="9"/>
      <x:color rgb="FFFFFFFF"/>
      <x:name val="Microsoft YaHei"/>
    </x:font>
    <x:font>
      <x:b/>
      <x:sz val="9"/>
      <x:color rgb="FFFFFFFF"/>
      <x:name val="Microsoft YaHei"/>
    </x:font>
    <x:font>
      <x:sz val="9"/>
      <x:color rgb="FF172B36"/>
      <x:name val="Microsoft YaHei"/>
    </x:font>
    <x:font>
      <x:b/>
      <x:sz val="10"/>
      <x:color rgb="FF172B36"/>
      <x:name val="Microsoft YaHei"/>
    </x:font>
  </x:fonts>
  <x:fills count="10">
    <x:fill>
      <x:patternFill patternType="none"/>
    </x:fill>
    <x:fill>
      <x:patternFill patternType="gray125"/>
    </x:fill>
    <x:fill>
      <x:patternFill patternType="solid">
        <x:fgColor rgb="FF172B36"/>
      </x:patternFill>
    </x:fill>
    <x:fill>
      <x:patternFill patternType="solid">
        <x:fgColor rgb="FF0D5C63"/>
      </x:patternFill>
    </x:fill>
    <x:fill>
      <x:patternFill patternType="solid">
        <x:fgColor rgb="FF173B57"/>
      </x:patternFill>
    </x:fill>
    <x:fill>
      <x:patternFill patternType="solid">
        <x:fgColor rgb="FFE8F3F2"/>
      </x:patternFill>
    </x:fill>
    <x:fill>
      <x:patternFill patternType="solid">
        <x:fgColor rgb="FFFFF5D9"/>
      </x:patternFill>
    </x:fill>
    <x:fill>
      <x:patternFill patternType="solid">
        <x:fgColor rgb="FFE9F1FA"/>
      </x:patternFill>
    </x:fill>
    <x:fill>
      <x:patternFill patternType="solid">
        <x:fgColor rgb="FFF1EBF7"/>
      </x:patternFill>
    </x:fill>
    <x:fill>
      <x:patternFill patternType="solid">
        <x:fgColor rgb="FFE8F4EA"/>
      </x:patternFill>
    </x:fill>
  </x:fills>
  <x:borders count="2">
    <x:border/>
    <x:border>
      <x:left style="thin">
        <x:color rgb="FFCFD8DC"/>
      </x:left>
      <x:right style="thin">
        <x:color rgb="FFCFD8DC"/>
      </x:right>
      <x:top style="thin">
        <x:color rgb="FFCFD8DC"/>
      </x:top>
      <x:bottom style="thin">
        <x:color rgb="FFCFD8DC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4" fillId="8" borderId="1" xfId="0" applyNumberFormat="1" applyFont="1" applyFill="1" applyBorder="1" applyAlignment="1">
      <x:alignment vertical="center" wrapText="1"/>
    </x:xf>
    <x:xf numFmtId="200" fontId="4" fillId="6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vertical="center" wrapText="1"/>
    </x:xf>
    <x:xf numFmtId="200" fontId="4" fillId="7" borderId="1" xfId="0" applyNumberFormat="1" applyFont="1" applyFill="1" applyBorder="1" applyAlignment="1">
      <x:alignment vertical="center" wrapText="1"/>
    </x:xf>
    <x:xf numFmtId="200" fontId="4" fillId="8" borderId="1" xfId="0" applyNumberFormat="1" applyFont="1" applyFill="1" applyBorder="1" applyAlignment="1">
      <x:alignment vertical="center" wrapText="1"/>
    </x:xf>
    <x:xf numFmtId="0" fontId="4" fillId="9" borderId="1" xfId="0" applyNumberFormat="1" applyFont="1" applyFill="1" applyBorder="1" applyAlignment="1">
      <x:alignment vertical="center" wrapText="1"/>
    </x:xf>
    <x:xf numFmtId="201" fontId="4" fillId="6" borderId="1" xfId="0" applyNumberFormat="1" applyFont="1" applyFill="1" applyBorder="1" applyAlignment="1">
      <x:alignment vertical="center" wrapText="1"/>
    </x:xf>
    <x:xf numFmtId="202" fontId="4" fillId="0" borderId="1" xfId="0" applyNumberFormat="1" applyFont="1" applyFill="1" applyBorder="1" applyAlignment="1">
      <x:alignment vertical="center" wrapText="1"/>
    </x:xf>
    <x:xf numFmtId="200" fontId="4" fillId="9" borderId="1" xfId="0" applyNumberFormat="1" applyFont="1" applyFill="1" applyBorder="1" applyAlignment="1">
      <x:alignment vertical="center" wrapText="1"/>
    </x:xf>
    <x:xf numFmtId="202" fontId="4" fillId="9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vertical="top" wrapText="1"/>
    </x:xf>
    <x:xf numFmtId="0" fontId="4" fillId="8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horizontal="left" vertical="top" wrapText="1"/>
    </x:xf>
    <x:xf numFmtId="0" fontId="4" fillId="5" borderId="1" xfId="0" applyNumberFormat="1" applyFont="1" applyFill="1" applyBorder="1" applyAlignment="1">
      <x:alignment horizontal="left" vertical="top" wrapText="1"/>
    </x:xf>
    <x:xf numFmtId="0" fontId="4" fillId="7" borderId="1" xfId="0" applyNumberFormat="1" applyFont="1" applyFill="1" applyBorder="1" applyAlignment="1">
      <x:alignment horizontal="left" vertical="top" wrapText="1"/>
    </x:xf>
    <x:xf numFmtId="0" fontId="4" fillId="8" borderId="1" xfId="0" applyNumberFormat="1" applyFont="1" applyFill="1" applyBorder="1" applyAlignment="1">
      <x:alignment horizontal="left" vertical="top" wrapText="1"/>
    </x:xf>
  </x:cellXfs>
  <x:cellStyles count="1">
    <x:cellStyle name="Normal" xfId="0"/>
  </x:cellStyles>
  <x:dxfs count="2">
    <x:dxf>
      <x:font>
        <x:b/>
        <x:color rgb="FF8A1C1C"/>
      </x:font>
      <x:fill>
        <x:patternFill>
          <x:bgColor rgb="FFFBE8E8"/>
        </x:patternFill>
      </x:fill>
    </x:dxf>
    <x:dxf>
      <x:font>
        <x:b/>
        <x:color rgb="FF8A1C1C"/>
      </x:font>
      <x:fill>
        <x:patternFill>
          <x:bgColor rgb="FFFB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46e784cee64bbd" /><Relationship Type="http://schemas.openxmlformats.org/officeDocument/2006/relationships/theme" Target="/xl/theme/theme1.xml" Id="Rda7eccd8fee24fa4" /><Relationship Type="http://schemas.openxmlformats.org/officeDocument/2006/relationships/sharedStrings" Target="/xl/sharedStrings.xml" Id="R49014f4b77da40a4" /><Relationship Type="http://schemas.openxmlformats.org/officeDocument/2006/relationships/worksheet" Target="/xl/worksheets/sheet1.xml" Id="R4d995b0dff5f403f" /><Relationship Type="http://schemas.openxmlformats.org/officeDocument/2006/relationships/worksheet" Target="/xl/worksheets/sheet2.xml" Id="R3bce930025e24125" /><Relationship Type="http://schemas.openxmlformats.org/officeDocument/2006/relationships/worksheet" Target="/xl/worksheets/sheet3.xml" Id="R9a54049ece9b4078" /><Relationship Type="http://schemas.openxmlformats.org/officeDocument/2006/relationships/worksheet" Target="/xl/worksheets/sheet4.xml" Id="R7f44ff9578c446a7" /><Relationship Type="http://schemas.openxmlformats.org/officeDocument/2006/relationships/worksheet" Target="/xl/worksheets/sheet5.xml" Id="Rd299829f58a648e8" /><Relationship Type="http://schemas.openxmlformats.org/officeDocument/2006/relationships/worksheet" Target="/xl/worksheets/sheet6.xml" Id="Rd6745cf788304022" /><Relationship Type="http://schemas.openxmlformats.org/officeDocument/2006/relationships/worksheet" Target="/xl/worksheets/sheet7.xml" Id="R3ce5d54d1ca84929" /><Relationship Type="http://schemas.openxmlformats.org/officeDocument/2006/relationships/worksheet" Target="/xl/worksheets/sheet8.xml" Id="Rdace050c63ff43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28" hidden="0" customWidth="1"/>
    <x:col min="4" max="4" width="22" hidden="0" customWidth="1"/>
    <x:col min="5" max="5" width="34" hidden="0" customWidth="1"/>
    <x:col min="6" max="6" width="30" hidden="0" customWidth="1"/>
    <x:col min="7" max="7" width="18" hidden="0" customWidth="1"/>
    <x:col min="8" max="8" width="34" hidden="0" customWidth="1"/>
  </x:cols>
  <x:sheetData>
    <x:row r="1" ht="30" customHeight="1">
      <x:c r="A1" s="3" t="str">
        <x:v>第21轮施工版｜筑基丹方表、验证解表与灵植表</x:v>
      </x:c>
      <x:c r="B1" s="3" t="str">
        <x:v>第21轮施工版｜筑基丹方表、验证解表与灵植表</x:v>
      </x:c>
      <x:c r="C1" s="3" t="str">
        <x:v>第21轮施工版｜筑基丹方表、验证解表与灵植表</x:v>
      </x:c>
      <x:c r="D1" s="3" t="str">
        <x:v>第21轮施工版｜筑基丹方表、验证解表与灵植表</x:v>
      </x:c>
      <x:c r="E1" s="3" t="str">
        <x:v>第21轮施工版｜筑基丹方表、验证解表与灵植表</x:v>
      </x:c>
      <x:c r="F1" s="3" t="str">
        <x:v>第21轮施工版｜筑基丹方表、验证解表与灵植表</x:v>
      </x:c>
      <x:c r="G1" s="3" t="str">
        <x:v>第21轮施工版｜筑基丹方表、验证解表与灵植表</x:v>
      </x:c>
      <x:c r="H1" s="3" t="str">
        <x:v>第21轮施工版｜筑基丹方表、验证解表与灵植表</x:v>
      </x:c>
    </x:row>
    <x:row r="2" ht="25" customHeight="1">
      <x:c r="A2" s="7" t="str">
        <x:v>15方 × 3套代表解＝45条配置；48株灵植；全部跨表公式校验</x:v>
      </x:c>
      <x:c r="B2" s="7" t="str">
        <x:v>15方 × 3套代表解＝45条配置；48株灵植；全部跨表公式校验</x:v>
      </x:c>
      <x:c r="C2" s="7" t="str">
        <x:v>15方 × 3套代表解＝45条配置；48株灵植；全部跨表公式校验</x:v>
      </x:c>
      <x:c r="D2" s="7" t="str">
        <x:v>15方 × 3套代表解＝45条配置；48株灵植；全部跨表公式校验</x:v>
      </x:c>
      <x:c r="E2" s="7" t="str">
        <x:v>15方 × 3套代表解＝45条配置；48株灵植；全部跨表公式校验</x:v>
      </x:c>
      <x:c r="F2" s="7" t="str">
        <x:v>15方 × 3套代表解＝45条配置；48株灵植；全部跨表公式校验</x:v>
      </x:c>
      <x:c r="G2" s="7" t="str">
        <x:v>15方 × 3套代表解＝45条配置；48株灵植；全部跨表公式校验</x:v>
      </x:c>
      <x:c r="H2" s="7" t="str">
        <x:v>15方 × 3套代表解＝45条配置；48株灵植；全部跨表公式校验</x:v>
      </x:c>
    </x:row>
    <x:row r="4">
      <x:c r="A4" s="12" t="str">
        <x:v>交付表</x:v>
      </x:c>
      <x:c r="B4" s="12" t="str">
        <x:v>行数</x:v>
      </x:c>
      <x:c r="C4" s="12" t="str">
        <x:v>一行是什么</x:v>
      </x:c>
      <x:c r="D4" s="12" t="str">
        <x:v>是否玩家验方ID</x:v>
      </x:c>
      <x:c r="E4" s="12" t="str">
        <x:v>核心字段</x:v>
      </x:c>
      <x:c r="F4" s="12" t="str">
        <x:v>用途</x:v>
      </x:c>
      <x:c r="G4" s="12" t="str">
        <x:v>数据状态</x:v>
      </x:c>
      <x:c r="H4" s="12" t="str">
        <x:v>备注</x:v>
      </x:c>
    </x:row>
    <x:row r="5">
      <x:c r="A5" s="17" t="str">
        <x:v>01_丹方主表</x:v>
      </x:c>
      <x:c r="B5" s="17" t="n">
        <x:v>15</x:v>
      </x:c>
      <x:c r="C5" s="17" t="str">
        <x:v>一张丹方规则</x:v>
      </x:c>
      <x:c r="D5" s="17" t="str">
        <x:v>否</x:v>
      </x:c>
      <x:c r="E5" s="17" t="str">
        <x:v>分类/君材/臣行/使味/方性/药力/药效</x:v>
      </x:c>
      <x:c r="F5" s="17" t="str">
        <x:v>定义能炼什么丹</x:v>
      </x:c>
      <x:c r="G5" s="17" t="str">
        <x:v>筑基纸推</x:v>
      </x:c>
      <x:c r="H5" s="17" t="str">
        <x:v>不重复写具体辅材</x:v>
      </x:c>
    </x:row>
    <x:row r="6">
      <x:c r="A6" s="17" t="str">
        <x:v>02_策划验证解表</x:v>
      </x:c>
      <x:c r="B6" s="17" t="n">
        <x:v>45</x:v>
      </x:c>
      <x:c r="C6" s="17" t="str">
        <x:v>一套具体物种组合</x:v>
      </x:c>
      <x:c r="D6" s="17" t="str">
        <x:v>否</x:v>
      </x:c>
      <x:c r="E6" s="17" t="str">
        <x:v>四材ID/品质/数量/成本/校验</x:v>
      </x:c>
      <x:c r="F6" s="17" t="str">
        <x:v>默认带料与QA</x:v>
      </x:c>
      <x:c r="G6" s="17" t="str">
        <x:v>公式驱动</x:v>
      </x:c>
      <x:c r="H6" s="17" t="str">
        <x:v>每方默认/廉价/精炼</x:v>
      </x:c>
    </x:row>
    <x:row r="7">
      <x:c r="A7" s="17" t="str">
        <x:v>03_灵植表</x:v>
      </x:c>
      <x:c r="B7" s="17" t="n">
        <x:v>48</x:v>
      </x:c>
      <x:c r="C7" s="17" t="str">
        <x:v>一种灵植物种</x:v>
      </x:c>
      <x:c r="D7" s="17" t="str">
        <x:v>否</x:v>
      </x:c>
      <x:c r="E7" s="17" t="str">
        <x:v>材品/行味性力/本体描述/炼丹说明</x:v>
      </x:c>
      <x:c r="F7" s="17" t="str">
        <x:v>定义材料是什么</x:v>
      </x:c>
      <x:c r="G7" s="17" t="str">
        <x:v>占位命名</x:v>
      </x:c>
      <x:c r="H7" s="17" t="str">
        <x:v>无效字段留空</x:v>
      </x:c>
    </x:row>
    <x:row r="8">
      <x:c r="A8" s="17" t="str">
        <x:v>04_参数字典</x:v>
      </x:c>
      <x:c r="B8" s="17" t="str">
        <x:v>—</x:v>
      </x:c>
      <x:c r="C8" s="17" t="str">
        <x:v>品质与属性输入</x:v>
      </x:c>
      <x:c r="D8" s="17" t="str">
        <x:v>否</x:v>
      </x:c>
      <x:c r="E8" s="17" t="str">
        <x:v>药力/成本/售价系数</x:v>
      </x:c>
      <x:c r="F8" s="17" t="str">
        <x:v>集中调参</x:v>
      </x:c>
      <x:c r="G8" s="17" t="str">
        <x:v>工作值</x:v>
      </x:c>
      <x:c r="H8" s="17" t="str">
        <x:v>修改会重算验证解</x:v>
      </x:c>
    </x:row>
    <x:row r="9">
      <x:c r="A9" s="17" t="str">
        <x:v>05_合法解计算</x:v>
      </x:c>
      <x:c r="B9" s="17" t="n">
        <x:v>15</x:v>
      </x:c>
      <x:c r="C9" s="17" t="str">
        <x:v>一方的配平枚举</x:v>
      </x:c>
      <x:c r="D9" s="17" t="str">
        <x:v>否</x:v>
      </x:c>
      <x:c r="E9" s="17" t="str">
        <x:v>九个臣使组合所需佐性</x:v>
      </x:c>
      <x:c r="F9" s="17" t="str">
        <x:v>计算N合法</x:v>
      </x:c>
      <x:c r="G9" s="17" t="str">
        <x:v>公式驱动</x:v>
      </x:c>
      <x:c r="H9" s="17" t="str">
        <x:v>当前每方6—9</x:v>
      </x:c>
    </x:row>
    <x:row r="10">
      <x:c r="A10" s="17" t="str">
        <x:v>06_玩家验方字段</x:v>
      </x:c>
      <x:c r="B10" s="17" t="str">
        <x:v>—</x:v>
      </x:c>
      <x:c r="C10" s="17" t="str">
        <x:v>成功后运行记录结构</x:v>
      </x:c>
      <x:c r="D10" s="17" t="str">
        <x:v>是</x:v>
      </x:c>
      <x:c r="E10" s="17" t="str">
        <x:v>verified_recipe_id/物种签名/成绩</x:v>
      </x:c>
      <x:c r="F10" s="17" t="str">
        <x:v>前台复炼</x:v>
      </x:c>
      <x:c r="G10" s="17" t="str">
        <x:v>字段定义</x:v>
      </x:c>
      <x:c r="H10" s="17" t="str">
        <x:v>失败不生成</x:v>
      </x:c>
    </x:row>
    <x:row r="12">
      <x:c r="A12" s="21" t="str">
        <x:v>ID边界：TS开头是策划静态验证行；VR开头才是玩家成功成丹后生成的个人验方ID。</x:v>
      </x:c>
      <x:c r="B12" s="21" t="str">
        <x:v>ID边界：TS开头是策划静态验证行；VR开头才是玩家成功成丹后生成的个人验方ID。</x:v>
      </x:c>
      <x:c r="C12" s="21" t="str">
        <x:v>ID边界：TS开头是策划静态验证行；VR开头才是玩家成功成丹后生成的个人验方ID。</x:v>
      </x:c>
      <x:c r="D12" s="21" t="str">
        <x:v>ID边界：TS开头是策划静态验证行；VR开头才是玩家成功成丹后生成的个人验方ID。</x:v>
      </x:c>
      <x:c r="E12" s="21" t="str">
        <x:v>ID边界：TS开头是策划静态验证行；VR开头才是玩家成功成丹后生成的个人验方ID。</x:v>
      </x:c>
      <x:c r="F12" s="21" t="str">
        <x:v>ID边界：TS开头是策划静态验证行；VR开头才是玩家成功成丹后生成的个人验方ID。</x:v>
      </x:c>
      <x:c r="G12" s="21" t="str">
        <x:v>ID边界：TS开头是策划静态验证行；VR开头才是玩家成功成丹后生成的个人验方ID。</x:v>
      </x:c>
      <x:c r="H12" s="21" t="str">
        <x:v>ID边界：TS开头是策划静态验证行；VR开头才是玩家成功成丹后生成的个人验方ID。</x:v>
      </x:c>
    </x:row>
    <x:row r="14">
      <x:c r="A14" s="12" t="str">
        <x:v>规模核验</x:v>
      </x:c>
      <x:c r="B14" s="12" t="str">
        <x:v>丹方</x:v>
      </x:c>
      <x:c r="C14" s="12" t="str">
        <x:v>验证解</x:v>
      </x:c>
      <x:c r="D14" s="12" t="str">
        <x:v>默认方</x:v>
      </x:c>
      <x:c r="E14" s="12" t="str">
        <x:v>君材</x:v>
      </x:c>
      <x:c r="F14" s="12" t="str">
        <x:v>臣材</x:v>
      </x:c>
      <x:c r="G14" s="12" t="str">
        <x:v>佐材</x:v>
      </x:c>
      <x:c r="H14" s="12" t="str">
        <x:v>使材</x:v>
      </x:c>
    </x:row>
    <x:row r="15">
      <x:c r="A15" s="16" t="str">
        <x:v>目标</x:v>
      </x:c>
      <x:c r="B15" s="16" t="n">
        <x:v>15</x:v>
      </x:c>
      <x:c r="C15" s="16" t="n">
        <x:v>45</x:v>
      </x:c>
      <x:c r="D15" s="16" t="n">
        <x:v>15</x:v>
      </x:c>
      <x:c r="E15" s="16" t="n">
        <x:v>13</x:v>
      </x:c>
      <x:c r="F15" s="16" t="n">
        <x:v>15</x:v>
      </x:c>
      <x:c r="G15" s="16" t="n">
        <x:v>5</x:v>
      </x:c>
      <x:c r="H15" s="16" t="n">
        <x:v>15</x:v>
      </x:c>
    </x:row>
    <x:row r="16">
      <x:c r="A16" s="16" t="str">
        <x:v>说明</x:v>
      </x:c>
      <x:c r="B16" s="16" t="str">
        <x:v>筑基纵切</x:v>
      </x:c>
      <x:c r="C16" s="16" t="str">
        <x:v>每方3套</x:v>
      </x:c>
      <x:c r="D16" s="16" t="str">
        <x:v>每方1套</x:v>
      </x:c>
      <x:c r="E16" s="16" t="str">
        <x:v>大小突破分君</x:v>
      </x:c>
      <x:c r="F16" s="16" t="str">
        <x:v>五行×3</x:v>
      </x:c>
      <x:c r="G16" s="16" t="str">
        <x:v>五性各1</x:v>
      </x:c>
      <x:c r="H16" s="16" t="str">
        <x:v>五味×3</x:v>
      </x:c>
    </x:row>
    <x:row r="17">
      <x:c r="A17" s="16" t="str">
        <x:v>后续扩展</x:v>
      </x:c>
      <x:c r="B17" s="16" t="str">
        <x:v>增加丹方行</x:v>
      </x:c>
      <x:c r="C17" s="16" t="str">
        <x:v>纵向加第4—6套</x:v>
      </x:c>
      <x:c r="D17" s="16" t="str">
        <x:v>仍只标1默认</x:v>
      </x:c>
      <x:c r="E17" s="16" t="str">
        <x:v>逐境异名</x:v>
      </x:c>
      <x:c r="F17" s="16" t="str">
        <x:v>逐境异名</x:v>
      </x:c>
      <x:c r="G17" s="16" t="str">
        <x:v>逐境异名</x:v>
      </x:c>
      <x:c r="H17" s="16" t="str">
        <x:v>逐境异名</x:v>
      </x:c>
    </x:row>
  </x:sheetData>
  <x:mergeCells>
    <x:mergeCell ref="A1:H1"/>
    <x:mergeCell ref="A2:H2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6" hidden="0" customWidth="1"/>
    <x:col min="3" max="3" width="14" hidden="0" customWidth="1"/>
    <x:col min="4" max="4" width="8" hidden="0" customWidth="1"/>
    <x:col min="5" max="5" width="15" hidden="0" customWidth="1"/>
    <x:col min="6" max="6" width="18" hidden="0" customWidth="1"/>
    <x:col min="7" max="7" width="10" hidden="0" customWidth="1"/>
    <x:col min="8" max="8" width="22" hidden="0" customWidth="1"/>
    <x:col min="9" max="9" width="16" hidden="0" customWidth="1"/>
    <x:col min="10" max="10" width="16" hidden="0" customWidth="1"/>
    <x:col min="11" max="11" width="9" hidden="0" customWidth="1"/>
    <x:col min="12" max="12" width="9" hidden="0" customWidth="1"/>
    <x:col min="13" max="13" width="12" hidden="0" customWidth="1"/>
    <x:col min="14" max="14" width="10" hidden="0" customWidth="1"/>
    <x:col min="15" max="15" width="14" hidden="0" customWidth="1"/>
    <x:col min="16" max="16" width="12" hidden="0" customWidth="1"/>
    <x:col min="17" max="17" width="14" hidden="0" customWidth="1"/>
    <x:col min="18" max="18" width="12" hidden="0" customWidth="1"/>
    <x:col min="19" max="19" width="10" hidden="0" customWidth="1"/>
    <x:col min="20" max="20" width="13" hidden="0" customWidth="1"/>
    <x:col min="21" max="21" width="11" hidden="0" customWidth="1"/>
    <x:col min="22" max="22" width="12" hidden="0" customWidth="1"/>
    <x:col min="23" max="23" width="10" hidden="0" customWidth="1"/>
    <x:col min="24" max="24" width="24" hidden="0" customWidth="1"/>
    <x:col min="25" max="25" width="12" hidden="0" customWidth="1"/>
    <x:col min="26" max="26" width="22" hidden="0" customWidth="1"/>
    <x:col min="27" max="27" width="12" hidden="0" customWidth="1"/>
    <x:col min="28" max="28" width="12" hidden="0" customWidth="1"/>
    <x:col min="29" max="29" width="16" hidden="0" customWidth="1"/>
    <x:col min="30" max="30" width="30" hidden="0" customWidth="1"/>
    <x:col min="31" max="31" width="28" hidden="0" customWidth="1"/>
    <x:col min="32" max="32" width="34" hidden="0" customWidth="1"/>
  </x:cols>
  <x:sheetData>
    <x:row r="1" ht="30" customHeight="1">
      <x:c r="A1" s="3" t="str">
        <x:v>筑基丹方主表｜15张规则方</x:v>
      </x:c>
      <x:c r="B1" s="3" t="str">
        <x:v>筑基丹方主表｜15张规则方</x:v>
      </x:c>
      <x:c r="C1" s="3" t="str">
        <x:v>筑基丹方主表｜15张规则方</x:v>
      </x:c>
      <x:c r="D1" s="3" t="str">
        <x:v>筑基丹方主表｜15张规则方</x:v>
      </x:c>
      <x:c r="E1" s="3" t="str">
        <x:v>筑基丹方主表｜15张规则方</x:v>
      </x:c>
      <x:c r="F1" s="3" t="str">
        <x:v>筑基丹方主表｜15张规则方</x:v>
      </x:c>
      <x:c r="G1" s="3" t="str">
        <x:v>筑基丹方主表｜15张规则方</x:v>
      </x:c>
      <x:c r="H1" s="3" t="str">
        <x:v>筑基丹方主表｜15张规则方</x:v>
      </x:c>
      <x:c r="I1" s="3" t="str">
        <x:v>筑基丹方主表｜15张规则方</x:v>
      </x:c>
      <x:c r="J1" s="3" t="str">
        <x:v>筑基丹方主表｜15张规则方</x:v>
      </x:c>
      <x:c r="K1" s="3" t="str">
        <x:v>筑基丹方主表｜15张规则方</x:v>
      </x:c>
      <x:c r="L1" s="3" t="str">
        <x:v>筑基丹方主表｜15张规则方</x:v>
      </x:c>
      <x:c r="M1" s="3" t="str">
        <x:v>筑基丹方主表｜15张规则方</x:v>
      </x:c>
      <x:c r="N1" s="3" t="str">
        <x:v>筑基丹方主表｜15张规则方</x:v>
      </x:c>
      <x:c r="O1" s="3" t="str">
        <x:v>筑基丹方主表｜15张规则方</x:v>
      </x:c>
      <x:c r="P1" s="3" t="str">
        <x:v>筑基丹方主表｜15张规则方</x:v>
      </x:c>
      <x:c r="Q1" s="3" t="str">
        <x:v>筑基丹方主表｜15张规则方</x:v>
      </x:c>
      <x:c r="R1" s="3" t="str">
        <x:v>筑基丹方主表｜15张规则方</x:v>
      </x:c>
      <x:c r="S1" s="3" t="str">
        <x:v>筑基丹方主表｜15张规则方</x:v>
      </x:c>
      <x:c r="T1" s="3" t="str">
        <x:v>筑基丹方主表｜15张规则方</x:v>
      </x:c>
      <x:c r="U1" s="3" t="str">
        <x:v>筑基丹方主表｜15张规则方</x:v>
      </x:c>
      <x:c r="V1" s="3" t="str">
        <x:v>筑基丹方主表｜15张规则方</x:v>
      </x:c>
      <x:c r="W1" s="3" t="str">
        <x:v>筑基丹方主表｜15张规则方</x:v>
      </x:c>
      <x:c r="X1" s="3" t="str">
        <x:v>筑基丹方主表｜15张规则方</x:v>
      </x:c>
      <x:c r="Y1" s="3" t="str">
        <x:v>筑基丹方主表｜15张规则方</x:v>
      </x:c>
      <x:c r="Z1" s="3" t="str">
        <x:v>筑基丹方主表｜15张规则方</x:v>
      </x:c>
      <x:c r="AA1" s="3" t="str">
        <x:v>筑基丹方主表｜15张规则方</x:v>
      </x:c>
      <x:c r="AB1" s="3" t="str">
        <x:v>筑基丹方主表｜15张规则方</x:v>
      </x:c>
      <x:c r="AC1" s="3" t="str">
        <x:v>筑基丹方主表｜15张规则方</x:v>
      </x:c>
      <x:c r="AD1" s="3" t="str">
        <x:v>筑基丹方主表｜15张规则方</x:v>
      </x:c>
      <x:c r="AE1" s="3" t="str">
        <x:v>筑基丹方主表｜15张规则方</x:v>
      </x:c>
      <x:c r="AF1" s="3" t="str">
        <x:v>筑基丹方主表｜15张规则方</x:v>
      </x:c>
    </x:row>
    <x:row r="2" ht="25" customHeight="1">
      <x:c r="A2" s="7" t="str">
        <x:v>一张丹方只写一次；具体君臣佐使组合放在02策划验证解表</x:v>
      </x:c>
      <x:c r="B2" s="7" t="str">
        <x:v>一张丹方只写一次；具体君臣佐使组合放在02策划验证解表</x:v>
      </x:c>
      <x:c r="C2" s="7" t="str">
        <x:v>一张丹方只写一次；具体君臣佐使组合放在02策划验证解表</x:v>
      </x:c>
      <x:c r="D2" s="7" t="str">
        <x:v>一张丹方只写一次；具体君臣佐使组合放在02策划验证解表</x:v>
      </x:c>
      <x:c r="E2" s="7" t="str">
        <x:v>一张丹方只写一次；具体君臣佐使组合放在02策划验证解表</x:v>
      </x:c>
      <x:c r="F2" s="7" t="str">
        <x:v>一张丹方只写一次；具体君臣佐使组合放在02策划验证解表</x:v>
      </x:c>
      <x:c r="G2" s="7" t="str">
        <x:v>一张丹方只写一次；具体君臣佐使组合放在02策划验证解表</x:v>
      </x:c>
      <x:c r="H2" s="7" t="str">
        <x:v>一张丹方只写一次；具体君臣佐使组合放在02策划验证解表</x:v>
      </x:c>
      <x:c r="I2" s="7" t="str">
        <x:v>一张丹方只写一次；具体君臣佐使组合放在02策划验证解表</x:v>
      </x:c>
      <x:c r="J2" s="7" t="str">
        <x:v>一张丹方只写一次；具体君臣佐使组合放在02策划验证解表</x:v>
      </x:c>
      <x:c r="K2" s="7" t="str">
        <x:v>一张丹方只写一次；具体君臣佐使组合放在02策划验证解表</x:v>
      </x:c>
      <x:c r="L2" s="7" t="str">
        <x:v>一张丹方只写一次；具体君臣佐使组合放在02策划验证解表</x:v>
      </x:c>
      <x:c r="M2" s="7" t="str">
        <x:v>一张丹方只写一次；具体君臣佐使组合放在02策划验证解表</x:v>
      </x:c>
      <x:c r="N2" s="7" t="str">
        <x:v>一张丹方只写一次；具体君臣佐使组合放在02策划验证解表</x:v>
      </x:c>
      <x:c r="O2" s="7" t="str">
        <x:v>一张丹方只写一次；具体君臣佐使组合放在02策划验证解表</x:v>
      </x:c>
      <x:c r="P2" s="7" t="str">
        <x:v>一张丹方只写一次；具体君臣佐使组合放在02策划验证解表</x:v>
      </x:c>
      <x:c r="Q2" s="7" t="str">
        <x:v>一张丹方只写一次；具体君臣佐使组合放在02策划验证解表</x:v>
      </x:c>
      <x:c r="R2" s="7" t="str">
        <x:v>一张丹方只写一次；具体君臣佐使组合放在02策划验证解表</x:v>
      </x:c>
      <x:c r="S2" s="7" t="str">
        <x:v>一张丹方只写一次；具体君臣佐使组合放在02策划验证解表</x:v>
      </x:c>
      <x:c r="T2" s="7" t="str">
        <x:v>一张丹方只写一次；具体君臣佐使组合放在02策划验证解表</x:v>
      </x:c>
      <x:c r="U2" s="7" t="str">
        <x:v>一张丹方只写一次；具体君臣佐使组合放在02策划验证解表</x:v>
      </x:c>
      <x:c r="V2" s="7" t="str">
        <x:v>一张丹方只写一次；具体君臣佐使组合放在02策划验证解表</x:v>
      </x:c>
      <x:c r="W2" s="7" t="str">
        <x:v>一张丹方只写一次；具体君臣佐使组合放在02策划验证解表</x:v>
      </x:c>
      <x:c r="X2" s="7" t="str">
        <x:v>一张丹方只写一次；具体君臣佐使组合放在02策划验证解表</x:v>
      </x:c>
      <x:c r="Y2" s="7" t="str">
        <x:v>一张丹方只写一次；具体君臣佐使组合放在02策划验证解表</x:v>
      </x:c>
      <x:c r="Z2" s="7" t="str">
        <x:v>一张丹方只写一次；具体君臣佐使组合放在02策划验证解表</x:v>
      </x:c>
      <x:c r="AA2" s="7" t="str">
        <x:v>一张丹方只写一次；具体君臣佐使组合放在02策划验证解表</x:v>
      </x:c>
      <x:c r="AB2" s="7" t="str">
        <x:v>一张丹方只写一次；具体君臣佐使组合放在02策划验证解表</x:v>
      </x:c>
      <x:c r="AC2" s="7" t="str">
        <x:v>一张丹方只写一次；具体君臣佐使组合放在02策划验证解表</x:v>
      </x:c>
      <x:c r="AD2" s="7" t="str">
        <x:v>一张丹方只写一次；具体君臣佐使组合放在02策划验证解表</x:v>
      </x:c>
      <x:c r="AE2" s="7" t="str">
        <x:v>一张丹方只写一次；具体君臣佐使组合放在02策划验证解表</x:v>
      </x:c>
      <x:c r="AF2" s="7" t="str">
        <x:v>一张丹方只写一次；具体君臣佐使组合放在02策划验证解表</x:v>
      </x:c>
    </x:row>
    <x:row r="4">
      <x:c r="A4" s="12" t="str">
        <x:v>序号</x:v>
      </x:c>
      <x:c r="B4" s="12" t="str">
        <x:v>丹方ID</x:v>
      </x:c>
      <x:c r="C4" s="12" t="str">
        <x:v>丹方名</x:v>
      </x:c>
      <x:c r="D4" s="12" t="str">
        <x:v>四族</x:v>
      </x:c>
      <x:c r="E4" s="12" t="str">
        <x:v>九类</x:v>
      </x:c>
      <x:c r="F4" s="12" t="str">
        <x:v>子功能</x:v>
      </x:c>
      <x:c r="G4" s="12" t="str">
        <x:v>境界</x:v>
      </x:c>
      <x:c r="H4" s="12" t="str">
        <x:v>丹核ID/释义</x:v>
      </x:c>
      <x:c r="I4" s="12" t="str">
        <x:v>君材共享组</x:v>
      </x:c>
      <x:c r="J4" s="12" t="str">
        <x:v>君材ID</x:v>
      </x:c>
      <x:c r="K4" s="12" t="str">
        <x:v>臣行</x:v>
      </x:c>
      <x:c r="L4" s="12" t="str">
        <x:v>使味</x:v>
      </x:c>
      <x:c r="M4" s="12" t="str">
        <x:v>目标药性</x:v>
      </x:c>
      <x:c r="N4" s="12" t="str">
        <x:v>目标性值</x:v>
      </x:c>
      <x:c r="O4" s="12" t="str">
        <x:v>总药力门槛</x:v>
      </x:c>
      <x:c r="P4" s="12" t="str">
        <x:v>君力占比</x:v>
      </x:c>
      <x:c r="Q4" s="12" t="str">
        <x:v>君力最低值</x:v>
      </x:c>
      <x:c r="R4" s="12" t="str">
        <x:v>总份数上限</x:v>
      </x:c>
      <x:c r="S4" s="12" t="str">
        <x:v>N合法</x:v>
      </x:c>
      <x:c r="T4" s="12" t="str">
        <x:v>N策划验证</x:v>
      </x:c>
      <x:c r="U4" s="12" t="str">
        <x:v>默认方数</x:v>
      </x:c>
      <x:c r="V4" s="12" t="str">
        <x:v>基础售价</x:v>
      </x:c>
      <x:c r="W4" s="12" t="str">
        <x:v>丹毒值</x:v>
      </x:c>
      <x:c r="X4" s="12" t="str">
        <x:v>药效1ID</x:v>
      </x:c>
      <x:c r="Y4" s="12" t="str">
        <x:v>药效1值</x:v>
      </x:c>
      <x:c r="Z4" s="12" t="str">
        <x:v>药效2ID</x:v>
      </x:c>
      <x:c r="AA4" s="12" t="str">
        <x:v>药效2值</x:v>
      </x:c>
      <x:c r="AB4" s="12" t="str">
        <x:v>持续时间</x:v>
      </x:c>
      <x:c r="AC4" s="12" t="str">
        <x:v>成品品质</x:v>
      </x:c>
      <x:c r="AD4" s="12" t="str">
        <x:v>古意描述</x:v>
      </x:c>
      <x:c r="AE4" s="12" t="str">
        <x:v>玩家白话</x:v>
      </x:c>
      <x:c r="AF4" s="12" t="str">
        <x:v>作用说明</x:v>
      </x:c>
    </x:row>
    <x:row r="5">
      <x:c r="A5" s="23" t="n">
        <x:v>1</x:v>
      </x:c>
      <x:c r="B5" s="23" t="str">
        <x:v>F-ZJ-01</x:v>
      </x:c>
      <x:c r="C5" s="23" t="str">
        <x:v>聚元丹</x:v>
      </x:c>
      <x:c r="D5" s="23" t="str">
        <x:v>养</x:v>
      </x:c>
      <x:c r="E5" s="23" t="str">
        <x:v>修为精进</x:v>
      </x:c>
      <x:c r="F5" s="23" t="str">
        <x:v>增加修为</x:v>
      </x:c>
      <x:c r="G5" s="23" t="str">
        <x:v>筑基</x:v>
      </x:c>
      <x:c r="H5" s="23" t="str">
        <x:v>修为（土·甘）</x:v>
      </x:c>
      <x:c r="I5" s="23" t="str">
        <x:v>G-修为</x:v>
      </x:c>
      <x:c r="J5" s="23" t="str">
        <x:v>J-ZJ-01</x:v>
      </x:c>
      <x:c r="K5" s="23" t="str">
        <x:v>土</x:v>
      </x:c>
      <x:c r="L5" s="23" t="str">
        <x:v>甘</x:v>
      </x:c>
      <x:c r="M5" s="23" t="str">
        <x:v>平</x:v>
      </x:c>
      <x:c r="N5" s="23" t="n">
        <x:v>0</x:v>
      </x:c>
      <x:c r="O5" s="23" t="n">
        <x:v>24</x:v>
      </x:c>
      <x:c r="P5" s="30" t="n">
        <x:v>0.3</x:v>
      </x:c>
      <x:c r="Q5" s="29" t="n">
        <x:f>ROUNDUP(O5*P5,0)</x:f>
        <x:v>8</x:v>
      </x:c>
      <x:c r="R5" s="29" t="n">
        <x:v>8</x:v>
      </x:c>
      <x:c r="S5" s="29" t="n">
        <x:f>VLOOKUP(B5,'05_合法解计算'!$B$5:$W$19,22,FALSE)</x:f>
        <x:v>9</x:v>
      </x:c>
      <x:c r="T5" s="29" t="n">
        <x:f>COUNTIF('02_策划验证解表'!$C$5:$C$49,B5)</x:f>
        <x:v>3</x:v>
      </x:c>
      <x:c r="U5" s="29" t="n">
        <x:f>COUNTIFS('02_策划验证解表'!$C$5:$C$49,B5,'02_策划验证解表'!$F$5:$F$49,"是")</x:f>
        <x:v>1</x:v>
      </x:c>
      <x:c r="V5" s="16" t="n">
        <x:v>160</x:v>
      </x:c>
      <x:c r="W5" s="16" t="n">
        <x:v>5</x:v>
      </x:c>
      <x:c r="X5" s="16" t="str">
        <x:v>cultivation_gain</x:v>
      </x:c>
      <x:c r="Y5" s="31" t="n">
        <x:v>500</x:v>
      </x:c>
      <x:c r="Z5" s="16" t="str"/>
      <x:c r="AA5" s="31" t="n">
        <x:v>0</x:v>
      </x:c>
      <x:c r="AB5" s="16" t="n">
        <x:v>0</x:v>
      </x:c>
      <x:c r="AC5" s="16" t="str">
        <x:v>由炼制结算</x:v>
      </x:c>
      <x:c r="AD5" s="16" t="str">
        <x:v>土藏其气，甘归丹田。</x:v>
      </x:c>
      <x:c r="AE5" s="16" t="str">
        <x:v>把修为存进丹田。</x:v>
      </x:c>
      <x:c r="AF5" s="16" t="str">
        <x:v>增加修为；具体数值为筑基纵切工作值。</x:v>
      </x:c>
    </x:row>
    <x:row r="6">
      <x:c r="A6" s="23" t="n">
        <x:v>2</x:v>
      </x:c>
      <x:c r="B6" s="23" t="str">
        <x:v>F-ZJ-02</x:v>
      </x:c>
      <x:c r="C6" s="23" t="str">
        <x:v>迅潮丹</x:v>
      </x:c>
      <x:c r="D6" s="23" t="str">
        <x:v>养</x:v>
      </x:c>
      <x:c r="E6" s="23" t="str">
        <x:v>灵力恢复</x:v>
      </x:c>
      <x:c r="F6" s="23" t="str">
        <x:v>立即回灵</x:v>
      </x:c>
      <x:c r="G6" s="23" t="str">
        <x:v>筑基</x:v>
      </x:c>
      <x:c r="H6" s="23" t="str">
        <x:v>回灵（水·辛）</x:v>
      </x:c>
      <x:c r="I6" s="23" t="str">
        <x:v>G-回灵</x:v>
      </x:c>
      <x:c r="J6" s="23" t="str">
        <x:v>J-ZJ-02</x:v>
      </x:c>
      <x:c r="K6" s="23" t="str">
        <x:v>水</x:v>
      </x:c>
      <x:c r="L6" s="23" t="str">
        <x:v>辛</x:v>
      </x:c>
      <x:c r="M6" s="23" t="str">
        <x:v>温</x:v>
      </x:c>
      <x:c r="N6" s="23" t="n">
        <x:v>1</x:v>
      </x:c>
      <x:c r="O6" s="23" t="n">
        <x:v>24</x:v>
      </x:c>
      <x:c r="P6" s="30" t="n">
        <x:v>0.3</x:v>
      </x:c>
      <x:c r="Q6" s="29" t="n">
        <x:f>ROUNDUP(O6*P6,0)</x:f>
        <x:v>8</x:v>
      </x:c>
      <x:c r="R6" s="29" t="n">
        <x:v>8</x:v>
      </x:c>
      <x:c r="S6" s="29" t="n">
        <x:f>VLOOKUP(B6,'05_合法解计算'!$B$5:$W$19,22,FALSE)</x:f>
        <x:v>8</x:v>
      </x:c>
      <x:c r="T6" s="29" t="n">
        <x:f>COUNTIF('02_策划验证解表'!$C$5:$C$49,B6)</x:f>
        <x:v>3</x:v>
      </x:c>
      <x:c r="U6" s="29" t="n">
        <x:f>COUNTIFS('02_策划验证解表'!$C$5:$C$49,B6,'02_策划验证解表'!$F$5:$F$49,"是")</x:f>
        <x:v>1</x:v>
      </x:c>
      <x:c r="V6" s="16" t="n">
        <x:v>170</x:v>
      </x:c>
      <x:c r="W6" s="16" t="n">
        <x:v>3</x:v>
      </x:c>
      <x:c r="X6" s="16" t="str">
        <x:v>mana_restore_instant</x:v>
      </x:c>
      <x:c r="Y6" s="31" t="n">
        <x:v>300</x:v>
      </x:c>
      <x:c r="Z6" s="16" t="str"/>
      <x:c r="AA6" s="31" t="n">
        <x:v>0</x:v>
      </x:c>
      <x:c r="AB6" s="16" t="n">
        <x:v>0</x:v>
      </x:c>
      <x:c r="AC6" s="16" t="str">
        <x:v>由炼制结算</x:v>
      </x:c>
      <x:c r="AD6" s="16" t="str">
        <x:v>水行于脉，顷刻复潮。</x:v>
      </x:c>
      <x:c r="AE6" s="16" t="str">
        <x:v>立刻恢复灵力。</x:v>
      </x:c>
      <x:c r="AF6" s="16" t="str">
        <x:v>立即回灵；具体数值为筑基纵切工作值。</x:v>
      </x:c>
    </x:row>
    <x:row r="7">
      <x:c r="A7" s="23" t="n">
        <x:v>3</x:v>
      </x:c>
      <x:c r="B7" s="23" t="str">
        <x:v>F-ZJ-03</x:v>
      </x:c>
      <x:c r="C7" s="23" t="str">
        <x:v>绵泉丹</x:v>
      </x:c>
      <x:c r="D7" s="23" t="str">
        <x:v>养</x:v>
      </x:c>
      <x:c r="E7" s="23" t="str">
        <x:v>灵力恢复</x:v>
      </x:c>
      <x:c r="F7" s="23" t="str">
        <x:v>持续回灵</x:v>
      </x:c>
      <x:c r="G7" s="23" t="str">
        <x:v>筑基</x:v>
      </x:c>
      <x:c r="H7" s="23" t="str">
        <x:v>回灵（水·辛）</x:v>
      </x:c>
      <x:c r="I7" s="23" t="str">
        <x:v>G-回灵</x:v>
      </x:c>
      <x:c r="J7" s="23" t="str">
        <x:v>J-ZJ-02</x:v>
      </x:c>
      <x:c r="K7" s="23" t="str">
        <x:v>水</x:v>
      </x:c>
      <x:c r="L7" s="23" t="str">
        <x:v>辛</x:v>
      </x:c>
      <x:c r="M7" s="23" t="str">
        <x:v>平</x:v>
      </x:c>
      <x:c r="N7" s="23" t="n">
        <x:v>0</x:v>
      </x:c>
      <x:c r="O7" s="23" t="n">
        <x:v>24</x:v>
      </x:c>
      <x:c r="P7" s="30" t="n">
        <x:v>0.3</x:v>
      </x:c>
      <x:c r="Q7" s="29" t="n">
        <x:f>ROUNDUP(O7*P7,0)</x:f>
        <x:v>8</x:v>
      </x:c>
      <x:c r="R7" s="29" t="n">
        <x:v>8</x:v>
      </x:c>
      <x:c r="S7" s="29" t="n">
        <x:f>VLOOKUP(B7,'05_合法解计算'!$B$5:$W$19,22,FALSE)</x:f>
        <x:v>9</x:v>
      </x:c>
      <x:c r="T7" s="29" t="n">
        <x:f>COUNTIF('02_策划验证解表'!$C$5:$C$49,B7)</x:f>
        <x:v>3</x:v>
      </x:c>
      <x:c r="U7" s="29" t="n">
        <x:f>COUNTIFS('02_策划验证解表'!$C$5:$C$49,B7,'02_策划验证解表'!$F$5:$F$49,"是")</x:f>
        <x:v>1</x:v>
      </x:c>
      <x:c r="V7" s="16" t="n">
        <x:v>150</x:v>
      </x:c>
      <x:c r="W7" s="16" t="n">
        <x:v>2</x:v>
      </x:c>
      <x:c r="X7" s="16" t="str">
        <x:v>mana_restore_tick</x:v>
      </x:c>
      <x:c r="Y7" s="31" t="n">
        <x:v>80</x:v>
      </x:c>
      <x:c r="Z7" s="16" t="str">
        <x:v>duration_round</x:v>
      </x:c>
      <x:c r="AA7" s="31" t="n">
        <x:v>5</x:v>
      </x:c>
      <x:c r="AB7" s="16" t="n">
        <x:v>5</x:v>
      </x:c>
      <x:c r="AC7" s="16" t="str">
        <x:v>由炼制结算</x:v>
      </x:c>
      <x:c r="AD7" s="16" t="str">
        <x:v>水润气脉，绵绵不绝。</x:v>
      </x:c>
      <x:c r="AE7" s="16" t="str">
        <x:v>持续恢复灵力。</x:v>
      </x:c>
      <x:c r="AF7" s="16" t="str">
        <x:v>持续回灵；具体数值为筑基纵切工作值。</x:v>
      </x:c>
    </x:row>
    <x:row r="8">
      <x:c r="A8" s="23" t="n">
        <x:v>4</x:v>
      </x:c>
      <x:c r="B8" s="23" t="str">
        <x:v>F-ZJ-04</x:v>
      </x:c>
      <x:c r="C8" s="23" t="str">
        <x:v>续环丹</x:v>
      </x:c>
      <x:c r="D8" s="23" t="str">
        <x:v>改</x:v>
      </x:c>
      <x:c r="E8" s="23" t="str">
        <x:v>突破破境</x:v>
      </x:c>
      <x:c r="F8" s="23" t="str">
        <x:v>小境界突破</x:v>
      </x:c>
      <x:c r="G8" s="23" t="str">
        <x:v>筑基</x:v>
      </x:c>
      <x:c r="H8" s="23" t="str">
        <x:v>小破（木·甘）</x:v>
      </x:c>
      <x:c r="I8" s="23" t="str"/>
      <x:c r="J8" s="23" t="str">
        <x:v>J-ZJ-04</x:v>
      </x:c>
      <x:c r="K8" s="23" t="str">
        <x:v>木</x:v>
      </x:c>
      <x:c r="L8" s="23" t="str">
        <x:v>甘</x:v>
      </x:c>
      <x:c r="M8" s="23" t="str">
        <x:v>温</x:v>
      </x:c>
      <x:c r="N8" s="23" t="n">
        <x:v>1</x:v>
      </x:c>
      <x:c r="O8" s="23" t="n">
        <x:v>24</x:v>
      </x:c>
      <x:c r="P8" s="30" t="n">
        <x:v>0.3</x:v>
      </x:c>
      <x:c r="Q8" s="29" t="n">
        <x:f>ROUNDUP(O8*P8,0)</x:f>
        <x:v>8</x:v>
      </x:c>
      <x:c r="R8" s="29" t="n">
        <x:v>8</x:v>
      </x:c>
      <x:c r="S8" s="29" t="n">
        <x:f>VLOOKUP(B8,'05_合法解计算'!$B$5:$W$19,22,FALSE)</x:f>
        <x:v>8</x:v>
      </x:c>
      <x:c r="T8" s="29" t="n">
        <x:f>COUNTIF('02_策划验证解表'!$C$5:$C$49,B8)</x:f>
        <x:v>3</x:v>
      </x:c>
      <x:c r="U8" s="29" t="n">
        <x:f>COUNTIFS('02_策划验证解表'!$C$5:$C$49,B8,'02_策划验证解表'!$F$5:$F$49,"是")</x:f>
        <x:v>1</x:v>
      </x:c>
      <x:c r="V8" s="16" t="n">
        <x:v>350</x:v>
      </x:c>
      <x:c r="W8" s="16" t="n">
        <x:v>8</x:v>
      </x:c>
      <x:c r="X8" s="16" t="str">
        <x:v>minor_break_bonus</x:v>
      </x:c>
      <x:c r="Y8" s="31" t="n">
        <x:v>0.15</x:v>
      </x:c>
      <x:c r="Z8" s="16" t="str"/>
      <x:c r="AA8" s="31" t="n">
        <x:v>0</x:v>
      </x:c>
      <x:c r="AB8" s="16" t="n">
        <x:v>0</x:v>
      </x:c>
      <x:c r="AC8" s="16" t="str">
        <x:v>由炼制结算</x:v>
      </x:c>
      <x:c r="AD8" s="16" t="str">
        <x:v>木续丹田之环，助小关自开。</x:v>
      </x:c>
      <x:c r="AE8" s="16" t="str">
        <x:v>提高小境界突破成功率。</x:v>
      </x:c>
      <x:c r="AF8" s="16" t="str">
        <x:v>小境界突破；具体数值为筑基纵切工作值。</x:v>
      </x:c>
    </x:row>
    <x:row r="9">
      <x:c r="A9" s="23" t="n">
        <x:v>5</x:v>
      </x:c>
      <x:c r="B9" s="23" t="str">
        <x:v>F-ZJ-05</x:v>
      </x:c>
      <x:c r="C9" s="23" t="str">
        <x:v>开关丹</x:v>
      </x:c>
      <x:c r="D9" s="23" t="str">
        <x:v>改</x:v>
      </x:c>
      <x:c r="E9" s="23" t="str">
        <x:v>突破破境</x:v>
      </x:c>
      <x:c r="F9" s="23" t="str">
        <x:v>大境界突破</x:v>
      </x:c>
      <x:c r="G9" s="23" t="str">
        <x:v>筑基</x:v>
      </x:c>
      <x:c r="H9" s="23" t="str">
        <x:v>大破（木·甘）</x:v>
      </x:c>
      <x:c r="I9" s="23" t="str"/>
      <x:c r="J9" s="23" t="str">
        <x:v>J-ZJ-05</x:v>
      </x:c>
      <x:c r="K9" s="23" t="str">
        <x:v>木</x:v>
      </x:c>
      <x:c r="L9" s="23" t="str">
        <x:v>甘</x:v>
      </x:c>
      <x:c r="M9" s="23" t="str">
        <x:v>热</x:v>
      </x:c>
      <x:c r="N9" s="23" t="n">
        <x:v>2</x:v>
      </x:c>
      <x:c r="O9" s="23" t="n">
        <x:v>24</x:v>
      </x:c>
      <x:c r="P9" s="30" t="n">
        <x:v>0.3</x:v>
      </x:c>
      <x:c r="Q9" s="29" t="n">
        <x:f>ROUNDUP(O9*P9,0)</x:f>
        <x:v>8</x:v>
      </x:c>
      <x:c r="R9" s="29" t="n">
        <x:v>8</x:v>
      </x:c>
      <x:c r="S9" s="29" t="n">
        <x:f>VLOOKUP(B9,'05_合法解计算'!$B$5:$W$19,22,FALSE)</x:f>
        <x:v>8</x:v>
      </x:c>
      <x:c r="T9" s="29" t="n">
        <x:f>COUNTIF('02_策划验证解表'!$C$5:$C$49,B9)</x:f>
        <x:v>3</x:v>
      </x:c>
      <x:c r="U9" s="29" t="n">
        <x:f>COUNTIFS('02_策划验证解表'!$C$5:$C$49,B9,'02_策划验证解表'!$F$5:$F$49,"是")</x:f>
        <x:v>1</x:v>
      </x:c>
      <x:c r="V9" s="16" t="n">
        <x:v>650</x:v>
      </x:c>
      <x:c r="W9" s="16" t="n">
        <x:v>15</x:v>
      </x:c>
      <x:c r="X9" s="16" t="str">
        <x:v>major_break_bonus</x:v>
      </x:c>
      <x:c r="Y9" s="31" t="n">
        <x:v>0.08</x:v>
      </x:c>
      <x:c r="Z9" s="16" t="str">
        <x:v>failure_protect</x:v>
      </x:c>
      <x:c r="AA9" s="31" t="n">
        <x:v>0.1</x:v>
      </x:c>
      <x:c r="AB9" s="16" t="n">
        <x:v>0</x:v>
      </x:c>
      <x:c r="AC9" s="16" t="str">
        <x:v>由炼制结算</x:v>
      </x:c>
      <x:c r="AD9" s="16" t="str">
        <x:v>烈木冲关，破旧境而开新门。</x:v>
      </x:c>
      <x:c r="AE9" s="16" t="str">
        <x:v>提高大境界突破成功率。</x:v>
      </x:c>
      <x:c r="AF9" s="16" t="str">
        <x:v>大境界突破；具体数值为筑基纵切工作值。</x:v>
      </x:c>
    </x:row>
    <x:row r="10">
      <x:c r="A10" s="23" t="n">
        <x:v>6</x:v>
      </x:c>
      <x:c r="B10" s="23" t="str">
        <x:v>F-ZJ-06</x:v>
      </x:c>
      <x:c r="C10" s="23" t="str">
        <x:v>急生丹</x:v>
      </x:c>
      <x:c r="D10" s="23" t="str">
        <x:v>养</x:v>
      </x:c>
      <x:c r="E10" s="23" t="str">
        <x:v>血气疗伤</x:v>
      </x:c>
      <x:c r="F10" s="23" t="str">
        <x:v>立即回血</x:v>
      </x:c>
      <x:c r="G10" s="23" t="str">
        <x:v>筑基</x:v>
      </x:c>
      <x:c r="H10" s="23" t="str">
        <x:v>疗伤（木·酸）</x:v>
      </x:c>
      <x:c r="I10" s="23" t="str">
        <x:v>G-疗伤</x:v>
      </x:c>
      <x:c r="J10" s="23" t="str">
        <x:v>J-ZJ-06</x:v>
      </x:c>
      <x:c r="K10" s="23" t="str">
        <x:v>木</x:v>
      </x:c>
      <x:c r="L10" s="23" t="str">
        <x:v>酸</x:v>
      </x:c>
      <x:c r="M10" s="23" t="str">
        <x:v>温</x:v>
      </x:c>
      <x:c r="N10" s="23" t="n">
        <x:v>1</x:v>
      </x:c>
      <x:c r="O10" s="23" t="n">
        <x:v>24</x:v>
      </x:c>
      <x:c r="P10" s="30" t="n">
        <x:v>0.3</x:v>
      </x:c>
      <x:c r="Q10" s="29" t="n">
        <x:f>ROUNDUP(O10*P10,0)</x:f>
        <x:v>8</x:v>
      </x:c>
      <x:c r="R10" s="29" t="n">
        <x:v>8</x:v>
      </x:c>
      <x:c r="S10" s="29" t="n">
        <x:f>VLOOKUP(B10,'05_合法解计算'!$B$5:$W$19,22,FALSE)</x:f>
        <x:v>9</x:v>
      </x:c>
      <x:c r="T10" s="29" t="n">
        <x:f>COUNTIF('02_策划验证解表'!$C$5:$C$49,B10)</x:f>
        <x:v>3</x:v>
      </x:c>
      <x:c r="U10" s="29" t="n">
        <x:f>COUNTIFS('02_策划验证解表'!$C$5:$C$49,B10,'02_策划验证解表'!$F$5:$F$49,"是")</x:f>
        <x:v>1</x:v>
      </x:c>
      <x:c r="V10" s="16" t="n">
        <x:v>180</x:v>
      </x:c>
      <x:c r="W10" s="16" t="n">
        <x:v>3</x:v>
      </x:c>
      <x:c r="X10" s="16" t="str">
        <x:v>health_restore_instant</x:v>
      </x:c>
      <x:c r="Y10" s="31" t="n">
        <x:v>350</x:v>
      </x:c>
      <x:c r="Z10" s="16" t="str"/>
      <x:c r="AA10" s="31" t="n">
        <x:v>0</x:v>
      </x:c>
      <x:c r="AB10" s="16" t="n">
        <x:v>0</x:v>
      </x:c>
      <x:c r="AC10" s="16" t="str">
        <x:v>由炼制结算</x:v>
      </x:c>
      <x:c r="AD10" s="16" t="str">
        <x:v>木接血肉，顷刻续伤。</x:v>
      </x:c>
      <x:c r="AE10" s="16" t="str">
        <x:v>立刻恢复生命。</x:v>
      </x:c>
      <x:c r="AF10" s="16" t="str">
        <x:v>立即回血；具体数值为筑基纵切工作值。</x:v>
      </x:c>
    </x:row>
    <x:row r="11">
      <x:c r="A11" s="23" t="n">
        <x:v>7</x:v>
      </x:c>
      <x:c r="B11" s="23" t="str">
        <x:v>F-ZJ-07</x:v>
      </x:c>
      <x:c r="C11" s="23" t="str">
        <x:v>绵愈丹</x:v>
      </x:c>
      <x:c r="D11" s="23" t="str">
        <x:v>养</x:v>
      </x:c>
      <x:c r="E11" s="23" t="str">
        <x:v>血气疗伤</x:v>
      </x:c>
      <x:c r="F11" s="23" t="str">
        <x:v>持续回血</x:v>
      </x:c>
      <x:c r="G11" s="23" t="str">
        <x:v>筑基</x:v>
      </x:c>
      <x:c r="H11" s="23" t="str">
        <x:v>疗伤（木·酸）</x:v>
      </x:c>
      <x:c r="I11" s="23" t="str">
        <x:v>G-疗伤</x:v>
      </x:c>
      <x:c r="J11" s="23" t="str">
        <x:v>J-ZJ-06</x:v>
      </x:c>
      <x:c r="K11" s="23" t="str">
        <x:v>木</x:v>
      </x:c>
      <x:c r="L11" s="23" t="str">
        <x:v>酸</x:v>
      </x:c>
      <x:c r="M11" s="23" t="str">
        <x:v>平</x:v>
      </x:c>
      <x:c r="N11" s="23" t="n">
        <x:v>0</x:v>
      </x:c>
      <x:c r="O11" s="23" t="n">
        <x:v>24</x:v>
      </x:c>
      <x:c r="P11" s="30" t="n">
        <x:v>0.3</x:v>
      </x:c>
      <x:c r="Q11" s="29" t="n">
        <x:f>ROUNDUP(O11*P11,0)</x:f>
        <x:v>8</x:v>
      </x:c>
      <x:c r="R11" s="29" t="n">
        <x:v>8</x:v>
      </x:c>
      <x:c r="S11" s="29" t="n">
        <x:f>VLOOKUP(B11,'05_合法解计算'!$B$5:$W$19,22,FALSE)</x:f>
        <x:v>8</x:v>
      </x:c>
      <x:c r="T11" s="29" t="n">
        <x:f>COUNTIF('02_策划验证解表'!$C$5:$C$49,B11)</x:f>
        <x:v>3</x:v>
      </x:c>
      <x:c r="U11" s="29" t="n">
        <x:f>COUNTIFS('02_策划验证解表'!$C$5:$C$49,B11,'02_策划验证解表'!$F$5:$F$49,"是")</x:f>
        <x:v>1</x:v>
      </x:c>
      <x:c r="V11" s="16" t="n">
        <x:v>160</x:v>
      </x:c>
      <x:c r="W11" s="16" t="n">
        <x:v>2</x:v>
      </x:c>
      <x:c r="X11" s="16" t="str">
        <x:v>health_restore_tick</x:v>
      </x:c>
      <x:c r="Y11" s="31" t="n">
        <x:v>70</x:v>
      </x:c>
      <x:c r="Z11" s="16" t="str">
        <x:v>duration_round</x:v>
      </x:c>
      <x:c r="AA11" s="31" t="n">
        <x:v>5</x:v>
      </x:c>
      <x:c r="AB11" s="16" t="n">
        <x:v>5</x:v>
      </x:c>
      <x:c r="AC11" s="16" t="str">
        <x:v>由炼制结算</x:v>
      </x:c>
      <x:c r="AD11" s="16" t="str">
        <x:v>木气缓生，酸收血肉。</x:v>
      </x:c>
      <x:c r="AE11" s="16" t="str">
        <x:v>持续恢复生命。</x:v>
      </x:c>
      <x:c r="AF11" s="16" t="str">
        <x:v>持续回血；具体数值为筑基纵切工作值。</x:v>
      </x:c>
    </x:row>
    <x:row r="12">
      <x:c r="A12" s="23" t="n">
        <x:v>8</x:v>
      </x:c>
      <x:c r="B12" s="23" t="str">
        <x:v>F-ZJ-08</x:v>
      </x:c>
      <x:c r="C12" s="23" t="str">
        <x:v>涤元丹</x:v>
      </x:c>
      <x:c r="D12" s="23" t="str">
        <x:v>清</x:v>
      </x:c>
      <x:c r="E12" s="23" t="str">
        <x:v>丹毒清洗</x:v>
      </x:c>
      <x:c r="F12" s="23" t="str">
        <x:v>清修为丹毒</x:v>
      </x:c>
      <x:c r="G12" s="23" t="str">
        <x:v>筑基</x:v>
      </x:c>
      <x:c r="H12" s="23" t="str">
        <x:v>修毒（金·甘）</x:v>
      </x:c>
      <x:c r="I12" s="23" t="str">
        <x:v>G-修毒</x:v>
      </x:c>
      <x:c r="J12" s="23" t="str">
        <x:v>J-ZJ-08</x:v>
      </x:c>
      <x:c r="K12" s="23" t="str">
        <x:v>金</x:v>
      </x:c>
      <x:c r="L12" s="23" t="str">
        <x:v>甘</x:v>
      </x:c>
      <x:c r="M12" s="23" t="str">
        <x:v>凉</x:v>
      </x:c>
      <x:c r="N12" s="23" t="n">
        <x:v>-1</x:v>
      </x:c>
      <x:c r="O12" s="23" t="n">
        <x:v>24</x:v>
      </x:c>
      <x:c r="P12" s="30" t="n">
        <x:v>0.3</x:v>
      </x:c>
      <x:c r="Q12" s="29" t="n">
        <x:f>ROUNDUP(O12*P12,0)</x:f>
        <x:v>8</x:v>
      </x:c>
      <x:c r="R12" s="29" t="n">
        <x:v>8</x:v>
      </x:c>
      <x:c r="S12" s="29" t="n">
        <x:f>VLOOKUP(B12,'05_合法解计算'!$B$5:$W$19,22,FALSE)</x:f>
        <x:v>8</x:v>
      </x:c>
      <x:c r="T12" s="29" t="n">
        <x:f>COUNTIF('02_策划验证解表'!$C$5:$C$49,B12)</x:f>
        <x:v>3</x:v>
      </x:c>
      <x:c r="U12" s="29" t="n">
        <x:f>COUNTIFS('02_策划验证解表'!$C$5:$C$49,B12,'02_策划验证解表'!$F$5:$F$49,"是")</x:f>
        <x:v>1</x:v>
      </x:c>
      <x:c r="V12" s="16" t="n">
        <x:v>500</x:v>
      </x:c>
      <x:c r="W12" s="16" t="n">
        <x:v>0</x:v>
      </x:c>
      <x:c r="X12" s="16" t="str">
        <x:v>cultivation_toxin_remove</x:v>
      </x:c>
      <x:c r="Y12" s="31" t="n">
        <x:v>20</x:v>
      </x:c>
      <x:c r="Z12" s="16" t="str"/>
      <x:c r="AA12" s="31" t="n">
        <x:v>0</x:v>
      </x:c>
      <x:c r="AB12" s="16" t="n">
        <x:v>0</x:v>
      </x:c>
      <x:c r="AC12" s="16" t="str">
        <x:v>由炼制结算</x:v>
      </x:c>
      <x:c r="AD12" s="16" t="str">
        <x:v>金挑丹田之滓，使元气复清。</x:v>
      </x:c>
      <x:c r="AE12" s="16" t="str">
        <x:v>清除修为丹毒。</x:v>
      </x:c>
      <x:c r="AF12" s="16" t="str">
        <x:v>清修为丹毒；具体数值为筑基纵切工作值。</x:v>
      </x:c>
    </x:row>
    <x:row r="13">
      <x:c r="A13" s="23" t="n">
        <x:v>9</x:v>
      </x:c>
      <x:c r="B13" s="23" t="str">
        <x:v>F-ZJ-09</x:v>
      </x:c>
      <x:c r="C13" s="23" t="str">
        <x:v>固本丹</x:v>
      </x:c>
      <x:c r="D13" s="23" t="str">
        <x:v>改</x:v>
      </x:c>
      <x:c r="E13" s="23" t="str">
        <x:v>永久强化</x:v>
      </x:c>
      <x:c r="F13" s="23" t="str">
        <x:v>永久淬体</x:v>
      </x:c>
      <x:c r="G13" s="23" t="str">
        <x:v>筑基</x:v>
      </x:c>
      <x:c r="H13" s="23" t="str">
        <x:v>固本（土·咸）</x:v>
      </x:c>
      <x:c r="I13" s="23" t="str">
        <x:v>G-固本</x:v>
      </x:c>
      <x:c r="J13" s="23" t="str">
        <x:v>J-ZJ-09</x:v>
      </x:c>
      <x:c r="K13" s="23" t="str">
        <x:v>土</x:v>
      </x:c>
      <x:c r="L13" s="23" t="str">
        <x:v>咸</x:v>
      </x:c>
      <x:c r="M13" s="23" t="str">
        <x:v>温</x:v>
      </x:c>
      <x:c r="N13" s="23" t="n">
        <x:v>1</x:v>
      </x:c>
      <x:c r="O13" s="23" t="n">
        <x:v>24</x:v>
      </x:c>
      <x:c r="P13" s="30" t="n">
        <x:v>0.3</x:v>
      </x:c>
      <x:c r="Q13" s="29" t="n">
        <x:f>ROUNDUP(O13*P13,0)</x:f>
        <x:v>8</x:v>
      </x:c>
      <x:c r="R13" s="29" t="n">
        <x:v>8</x:v>
      </x:c>
      <x:c r="S13" s="29" t="n">
        <x:f>VLOOKUP(B13,'05_合法解计算'!$B$5:$W$19,22,FALSE)</x:f>
        <x:v>8</x:v>
      </x:c>
      <x:c r="T13" s="29" t="n">
        <x:f>COUNTIF('02_策划验证解表'!$C$5:$C$49,B13)</x:f>
        <x:v>3</x:v>
      </x:c>
      <x:c r="U13" s="29" t="n">
        <x:f>COUNTIFS('02_策划验证解表'!$C$5:$C$49,B13,'02_策划验证解表'!$F$5:$F$49,"是")</x:f>
        <x:v>1</x:v>
      </x:c>
      <x:c r="V13" s="16" t="n">
        <x:v>900</x:v>
      </x:c>
      <x:c r="W13" s="16" t="n">
        <x:v>20</x:v>
      </x:c>
      <x:c r="X13" s="16" t="str">
        <x:v>body_permanent</x:v>
      </x:c>
      <x:c r="Y13" s="31" t="n">
        <x:v>5</x:v>
      </x:c>
      <x:c r="Z13" s="16" t="str"/>
      <x:c r="AA13" s="31" t="n">
        <x:v>0</x:v>
      </x:c>
      <x:c r="AB13" s="16" t="n">
        <x:v>0</x:v>
      </x:c>
      <x:c r="AC13" s="16" t="str">
        <x:v>由炼制结算</x:v>
      </x:c>
      <x:c r="AD13" s="16" t="str">
        <x:v>土存骨底，日久身坚。</x:v>
      </x:c>
      <x:c r="AE13" s="16" t="str">
        <x:v>永久强化肉身。</x:v>
      </x:c>
      <x:c r="AF13" s="16" t="str">
        <x:v>永久淬体；具体数值为筑基纵切工作值。</x:v>
      </x:c>
    </x:row>
    <x:row r="14">
      <x:c r="A14" s="23" t="n">
        <x:v>10</x:v>
      </x:c>
      <x:c r="B14" s="23" t="str">
        <x:v>F-ZJ-10</x:v>
      </x:c>
      <x:c r="C14" s="23" t="str">
        <x:v>养神丹</x:v>
      </x:c>
      <x:c r="D14" s="23" t="str">
        <x:v>改</x:v>
      </x:c>
      <x:c r="E14" s="23" t="str">
        <x:v>永久强化</x:v>
      </x:c>
      <x:c r="F14" s="23" t="str">
        <x:v>永久养神</x:v>
      </x:c>
      <x:c r="G14" s="23" t="str">
        <x:v>筑基</x:v>
      </x:c>
      <x:c r="H14" s="23" t="str">
        <x:v>养神（土·苦）</x:v>
      </x:c>
      <x:c r="I14" s="23" t="str">
        <x:v>G-养神</x:v>
      </x:c>
      <x:c r="J14" s="23" t="str">
        <x:v>J-ZJ-10</x:v>
      </x:c>
      <x:c r="K14" s="23" t="str">
        <x:v>土</x:v>
      </x:c>
      <x:c r="L14" s="23" t="str">
        <x:v>苦</x:v>
      </x:c>
      <x:c r="M14" s="23" t="str">
        <x:v>平</x:v>
      </x:c>
      <x:c r="N14" s="23" t="n">
        <x:v>0</x:v>
      </x:c>
      <x:c r="O14" s="23" t="n">
        <x:v>24</x:v>
      </x:c>
      <x:c r="P14" s="30" t="n">
        <x:v>0.3</x:v>
      </x:c>
      <x:c r="Q14" s="29" t="n">
        <x:f>ROUNDUP(O14*P14,0)</x:f>
        <x:v>8</x:v>
      </x:c>
      <x:c r="R14" s="29" t="n">
        <x:v>8</x:v>
      </x:c>
      <x:c r="S14" s="29" t="n">
        <x:f>VLOOKUP(B14,'05_合法解计算'!$B$5:$W$19,22,FALSE)</x:f>
        <x:v>8</x:v>
      </x:c>
      <x:c r="T14" s="29" t="n">
        <x:f>COUNTIF('02_策划验证解表'!$C$5:$C$49,B14)</x:f>
        <x:v>3</x:v>
      </x:c>
      <x:c r="U14" s="29" t="n">
        <x:f>COUNTIFS('02_策划验证解表'!$C$5:$C$49,B14,'02_策划验证解表'!$F$5:$F$49,"是")</x:f>
        <x:v>1</x:v>
      </x:c>
      <x:c r="V14" s="16" t="n">
        <x:v>900</x:v>
      </x:c>
      <x:c r="W14" s="16" t="n">
        <x:v>20</x:v>
      </x:c>
      <x:c r="X14" s="16" t="str">
        <x:v>spirit_permanent</x:v>
      </x:c>
      <x:c r="Y14" s="31" t="n">
        <x:v>5</x:v>
      </x:c>
      <x:c r="Z14" s="16" t="str"/>
      <x:c r="AA14" s="31" t="n">
        <x:v>0</x:v>
      </x:c>
      <x:c r="AB14" s="16" t="n">
        <x:v>0</x:v>
      </x:c>
      <x:c r="AC14" s="16" t="str">
        <x:v>由炼制结算</x:v>
      </x:c>
      <x:c r="AD14" s="16" t="str">
        <x:v>土藏心神，苦守灵台。</x:v>
      </x:c>
      <x:c r="AE14" s="16" t="str">
        <x:v>永久强化神识。</x:v>
      </x:c>
      <x:c r="AF14" s="16" t="str">
        <x:v>永久养神；具体数值为筑基纵切工作值。</x:v>
      </x:c>
    </x:row>
    <x:row r="15">
      <x:c r="A15" s="23" t="n">
        <x:v>11</x:v>
      </x:c>
      <x:c r="B15" s="23" t="str">
        <x:v>F-ZJ-11</x:v>
      </x:c>
      <x:c r="C15" s="23" t="str">
        <x:v>烈脉丹</x:v>
      </x:c>
      <x:c r="D15" s="23" t="str">
        <x:v>发</x:v>
      </x:c>
      <x:c r="E15" s="23" t="str">
        <x:v>战斗增益</x:v>
      </x:c>
      <x:c r="F15" s="23" t="str">
        <x:v>爆发增伤</x:v>
      </x:c>
      <x:c r="G15" s="23" t="str">
        <x:v>筑基</x:v>
      </x:c>
      <x:c r="H15" s="23" t="str">
        <x:v>爆发（火·辛）</x:v>
      </x:c>
      <x:c r="I15" s="23" t="str">
        <x:v>G-爆发</x:v>
      </x:c>
      <x:c r="J15" s="23" t="str">
        <x:v>J-ZJ-11</x:v>
      </x:c>
      <x:c r="K15" s="23" t="str">
        <x:v>火</x:v>
      </x:c>
      <x:c r="L15" s="23" t="str">
        <x:v>辛</x:v>
      </x:c>
      <x:c r="M15" s="23" t="str">
        <x:v>热</x:v>
      </x:c>
      <x:c r="N15" s="23" t="n">
        <x:v>2</x:v>
      </x:c>
      <x:c r="O15" s="23" t="n">
        <x:v>24</x:v>
      </x:c>
      <x:c r="P15" s="30" t="n">
        <x:v>0.3</x:v>
      </x:c>
      <x:c r="Q15" s="29" t="n">
        <x:f>ROUNDUP(O15*P15,0)</x:f>
        <x:v>8</x:v>
      </x:c>
      <x:c r="R15" s="29" t="n">
        <x:v>8</x:v>
      </x:c>
      <x:c r="S15" s="29" t="n">
        <x:f>VLOOKUP(B15,'05_合法解计算'!$B$5:$W$19,22,FALSE)</x:f>
        <x:v>8</x:v>
      </x:c>
      <x:c r="T15" s="29" t="n">
        <x:f>COUNTIF('02_策划验证解表'!$C$5:$C$49,B15)</x:f>
        <x:v>3</x:v>
      </x:c>
      <x:c r="U15" s="29" t="n">
        <x:f>COUNTIFS('02_策划验证解表'!$C$5:$C$49,B15,'02_策划验证解表'!$F$5:$F$49,"是")</x:f>
        <x:v>1</x:v>
      </x:c>
      <x:c r="V15" s="16" t="n">
        <x:v>250</x:v>
      </x:c>
      <x:c r="W15" s="16" t="n">
        <x:v>8</x:v>
      </x:c>
      <x:c r="X15" s="16" t="str">
        <x:v>damage_bonus</x:v>
      </x:c>
      <x:c r="Y15" s="31" t="n">
        <x:v>0.2</x:v>
      </x:c>
      <x:c r="Z15" s="16" t="str">
        <x:v>post_weakness</x:v>
      </x:c>
      <x:c r="AA15" s="31" t="n">
        <x:v>0.1</x:v>
      </x:c>
      <x:c r="AB15" s="16" t="n">
        <x:v>30</x:v>
      </x:c>
      <x:c r="AC15" s="16" t="str">
        <x:v>由炼制结算</x:v>
      </x:c>
      <x:c r="AD15" s="16" t="str">
        <x:v>火燃气脉，以一时之盛换后继之虚。</x:v>
      </x:c>
      <x:c r="AE15" s="16" t="str">
        <x:v>短时提高伤害，结束后虚弱。</x:v>
      </x:c>
      <x:c r="AF15" s="16" t="str">
        <x:v>爆发增伤；具体数值为筑基纵切工作值。</x:v>
      </x:c>
    </x:row>
    <x:row r="16">
      <x:c r="A16" s="23" t="n">
        <x:v>12</x:v>
      </x:c>
      <x:c r="B16" s="23" t="str">
        <x:v>F-ZJ-12</x:v>
      </x:c>
      <x:c r="C16" s="23" t="str">
        <x:v>守脉丹</x:v>
      </x:c>
      <x:c r="D16" s="23" t="str">
        <x:v>发</x:v>
      </x:c>
      <x:c r="E16" s="23" t="str">
        <x:v>战斗增益</x:v>
      </x:c>
      <x:c r="F16" s="23" t="str">
        <x:v>抗性减伤</x:v>
      </x:c>
      <x:c r="G16" s="23" t="str">
        <x:v>筑基</x:v>
      </x:c>
      <x:c r="H16" s="23" t="str">
        <x:v>抗性（金·辛）</x:v>
      </x:c>
      <x:c r="I16" s="23" t="str">
        <x:v>G-抗性</x:v>
      </x:c>
      <x:c r="J16" s="23" t="str">
        <x:v>J-ZJ-12</x:v>
      </x:c>
      <x:c r="K16" s="23" t="str">
        <x:v>金</x:v>
      </x:c>
      <x:c r="L16" s="23" t="str">
        <x:v>辛</x:v>
      </x:c>
      <x:c r="M16" s="23" t="str">
        <x:v>凉</x:v>
      </x:c>
      <x:c r="N16" s="23" t="n">
        <x:v>-1</x:v>
      </x:c>
      <x:c r="O16" s="23" t="n">
        <x:v>24</x:v>
      </x:c>
      <x:c r="P16" s="30" t="n">
        <x:v>0.3</x:v>
      </x:c>
      <x:c r="Q16" s="29" t="n">
        <x:f>ROUNDUP(O16*P16,0)</x:f>
        <x:v>8</x:v>
      </x:c>
      <x:c r="R16" s="29" t="n">
        <x:v>8</x:v>
      </x:c>
      <x:c r="S16" s="29" t="n">
        <x:f>VLOOKUP(B16,'05_合法解计算'!$B$5:$W$19,22,FALSE)</x:f>
        <x:v>8</x:v>
      </x:c>
      <x:c r="T16" s="29" t="n">
        <x:f>COUNTIF('02_策划验证解表'!$C$5:$C$49,B16)</x:f>
        <x:v>3</x:v>
      </x:c>
      <x:c r="U16" s="29" t="n">
        <x:f>COUNTIFS('02_策划验证解表'!$C$5:$C$49,B16,'02_策划验证解表'!$F$5:$F$49,"是")</x:f>
        <x:v>1</x:v>
      </x:c>
      <x:c r="V16" s="16" t="n">
        <x:v>250</x:v>
      </x:c>
      <x:c r="W16" s="16" t="n">
        <x:v>5</x:v>
      </x:c>
      <x:c r="X16" s="16" t="str">
        <x:v>damage_reduction</x:v>
      </x:c>
      <x:c r="Y16" s="31" t="n">
        <x:v>0.15</x:v>
      </x:c>
      <x:c r="Z16" s="16" t="str"/>
      <x:c r="AA16" s="31" t="n">
        <x:v>0</x:v>
      </x:c>
      <x:c r="AB16" s="16" t="n">
        <x:v>30</x:v>
      </x:c>
      <x:c r="AC16" s="16" t="str">
        <x:v>由炼制结算</x:v>
      </x:c>
      <x:c r="AD16" s="16" t="str">
        <x:v>金守气脉，使外邪难侵。</x:v>
      </x:c>
      <x:c r="AE16" s="16" t="str">
        <x:v>短时提高抗性与减伤。</x:v>
      </x:c>
      <x:c r="AF16" s="16" t="str">
        <x:v>抗性减伤；具体数值为筑基纵切工作值。</x:v>
      </x:c>
    </x:row>
    <x:row r="17">
      <x:c r="A17" s="23" t="n">
        <x:v>13</x:v>
      </x:c>
      <x:c r="B17" s="23" t="str">
        <x:v>F-ZJ-13</x:v>
      </x:c>
      <x:c r="C17" s="23" t="str">
        <x:v>展脉丹</x:v>
      </x:c>
      <x:c r="D17" s="23" t="str">
        <x:v>发</x:v>
      </x:c>
      <x:c r="E17" s="23" t="str">
        <x:v>战斗增益</x:v>
      </x:c>
      <x:c r="F17" s="23" t="str">
        <x:v>行遁加速</x:v>
      </x:c>
      <x:c r="G17" s="23" t="str">
        <x:v>筑基</x:v>
      </x:c>
      <x:c r="H17" s="23" t="str">
        <x:v>行遁（木·辛）</x:v>
      </x:c>
      <x:c r="I17" s="23" t="str">
        <x:v>G-行遁</x:v>
      </x:c>
      <x:c r="J17" s="23" t="str">
        <x:v>J-ZJ-13</x:v>
      </x:c>
      <x:c r="K17" s="23" t="str">
        <x:v>木</x:v>
      </x:c>
      <x:c r="L17" s="23" t="str">
        <x:v>辛</x:v>
      </x:c>
      <x:c r="M17" s="23" t="str">
        <x:v>温</x:v>
      </x:c>
      <x:c r="N17" s="23" t="n">
        <x:v>1</x:v>
      </x:c>
      <x:c r="O17" s="23" t="n">
        <x:v>24</x:v>
      </x:c>
      <x:c r="P17" s="30" t="n">
        <x:v>0.3</x:v>
      </x:c>
      <x:c r="Q17" s="29" t="n">
        <x:f>ROUNDUP(O17*P17,0)</x:f>
        <x:v>8</x:v>
      </x:c>
      <x:c r="R17" s="29" t="n">
        <x:v>8</x:v>
      </x:c>
      <x:c r="S17" s="29" t="n">
        <x:f>VLOOKUP(B17,'05_合法解计算'!$B$5:$W$19,22,FALSE)</x:f>
        <x:v>8</x:v>
      </x:c>
      <x:c r="T17" s="29" t="n">
        <x:f>COUNTIF('02_策划验证解表'!$C$5:$C$49,B17)</x:f>
        <x:v>3</x:v>
      </x:c>
      <x:c r="U17" s="29" t="n">
        <x:f>COUNTIFS('02_策划验证解表'!$C$5:$C$49,B17,'02_策划验证解表'!$F$5:$F$49,"是")</x:f>
        <x:v>1</x:v>
      </x:c>
      <x:c r="V17" s="16" t="n">
        <x:v>250</x:v>
      </x:c>
      <x:c r="W17" s="16" t="n">
        <x:v>5</x:v>
      </x:c>
      <x:c r="X17" s="16" t="str">
        <x:v>move_speed</x:v>
      </x:c>
      <x:c r="Y17" s="31" t="n">
        <x:v>0.2</x:v>
      </x:c>
      <x:c r="Z17" s="16" t="str"/>
      <x:c r="AA17" s="31" t="n">
        <x:v>0</x:v>
      </x:c>
      <x:c r="AB17" s="16" t="n">
        <x:v>30</x:v>
      </x:c>
      <x:c r="AC17" s="16" t="str">
        <x:v>由炼制结算</x:v>
      </x:c>
      <x:c r="AD17" s="16" t="str">
        <x:v>木展气脉，身随意至。</x:v>
      </x:c>
      <x:c r="AE17" s="16" t="str">
        <x:v>短时提高移动与行遁速度。</x:v>
      </x:c>
      <x:c r="AF17" s="16" t="str">
        <x:v>行遁加速；具体数值为筑基纵切工作值。</x:v>
      </x:c>
    </x:row>
    <x:row r="18">
      <x:c r="A18" s="23" t="n">
        <x:v>14</x:v>
      </x:c>
      <x:c r="B18" s="23" t="str">
        <x:v>F-ZJ-14</x:v>
      </x:c>
      <x:c r="C18" s="23" t="str">
        <x:v>明台丹</x:v>
      </x:c>
      <x:c r="D18" s="23" t="str">
        <x:v>发</x:v>
      </x:c>
      <x:c r="E18" s="23" t="str">
        <x:v>战斗增益</x:v>
      </x:c>
      <x:c r="F18" s="23" t="str">
        <x:v>感知强化</x:v>
      </x:c>
      <x:c r="G18" s="23" t="str">
        <x:v>筑基</x:v>
      </x:c>
      <x:c r="H18" s="23" t="str">
        <x:v>感知（火·苦）</x:v>
      </x:c>
      <x:c r="I18" s="23" t="str">
        <x:v>G-感知</x:v>
      </x:c>
      <x:c r="J18" s="23" t="str">
        <x:v>J-ZJ-14</x:v>
      </x:c>
      <x:c r="K18" s="23" t="str">
        <x:v>火</x:v>
      </x:c>
      <x:c r="L18" s="23" t="str">
        <x:v>苦</x:v>
      </x:c>
      <x:c r="M18" s="23" t="str">
        <x:v>温</x:v>
      </x:c>
      <x:c r="N18" s="23" t="n">
        <x:v>1</x:v>
      </x:c>
      <x:c r="O18" s="23" t="n">
        <x:v>24</x:v>
      </x:c>
      <x:c r="P18" s="30" t="n">
        <x:v>0.3</x:v>
      </x:c>
      <x:c r="Q18" s="29" t="n">
        <x:f>ROUNDUP(O18*P18,0)</x:f>
        <x:v>8</x:v>
      </x:c>
      <x:c r="R18" s="29" t="n">
        <x:v>8</x:v>
      </x:c>
      <x:c r="S18" s="29" t="n">
        <x:f>VLOOKUP(B18,'05_合法解计算'!$B$5:$W$19,22,FALSE)</x:f>
        <x:v>9</x:v>
      </x:c>
      <x:c r="T18" s="29" t="n">
        <x:f>COUNTIF('02_策划验证解表'!$C$5:$C$49,B18)</x:f>
        <x:v>3</x:v>
      </x:c>
      <x:c r="U18" s="29" t="n">
        <x:f>COUNTIFS('02_策划验证解表'!$C$5:$C$49,B18,'02_策划验证解表'!$F$5:$F$49,"是")</x:f>
        <x:v>1</x:v>
      </x:c>
      <x:c r="V18" s="16" t="n">
        <x:v>250</x:v>
      </x:c>
      <x:c r="W18" s="16" t="n">
        <x:v>5</x:v>
      </x:c>
      <x:c r="X18" s="16" t="str">
        <x:v>perception_bonus</x:v>
      </x:c>
      <x:c r="Y18" s="31" t="n">
        <x:v>0.15</x:v>
      </x:c>
      <x:c r="Z18" s="16" t="str">
        <x:v>critical_bonus</x:v>
      </x:c>
      <x:c r="AA18" s="31" t="n">
        <x:v>0.08</x:v>
      </x:c>
      <x:c r="AB18" s="16" t="n">
        <x:v>30</x:v>
      </x:c>
      <x:c r="AC18" s="16" t="str">
        <x:v>由炼制结算</x:v>
      </x:c>
      <x:c r="AD18" s="16" t="str">
        <x:v>火照灵台，苦清心神。</x:v>
      </x:c>
      <x:c r="AE18" s="16" t="str">
        <x:v>短时提高感知与暴击。</x:v>
      </x:c>
      <x:c r="AF18" s="16" t="str">
        <x:v>感知强化；具体数值为筑基纵切工作值。</x:v>
      </x:c>
    </x:row>
    <x:row r="19">
      <x:c r="A19" s="23" t="n">
        <x:v>15</x:v>
      </x:c>
      <x:c r="B19" s="23" t="str">
        <x:v>F-ZJ-15</x:v>
      </x:c>
      <x:c r="C19" s="23" t="str">
        <x:v>续元丹</x:v>
      </x:c>
      <x:c r="D19" s="23" t="str">
        <x:v>养</x:v>
      </x:c>
      <x:c r="E19" s="23" t="str">
        <x:v>养命延寿</x:v>
      </x:c>
      <x:c r="F19" s="23" t="str">
        <x:v>增加寿元</x:v>
      </x:c>
      <x:c r="G19" s="23" t="str">
        <x:v>筑基</x:v>
      </x:c>
      <x:c r="H19" s="23" t="str">
        <x:v>延寿（水·咸）</x:v>
      </x:c>
      <x:c r="I19" s="23" t="str">
        <x:v>G-延寿</x:v>
      </x:c>
      <x:c r="J19" s="23" t="str">
        <x:v>J-ZJ-15</x:v>
      </x:c>
      <x:c r="K19" s="23" t="str">
        <x:v>水</x:v>
      </x:c>
      <x:c r="L19" s="23" t="str">
        <x:v>咸</x:v>
      </x:c>
      <x:c r="M19" s="23" t="str">
        <x:v>平</x:v>
      </x:c>
      <x:c r="N19" s="23" t="n">
        <x:v>0</x:v>
      </x:c>
      <x:c r="O19" s="23" t="n">
        <x:v>24</x:v>
      </x:c>
      <x:c r="P19" s="30" t="n">
        <x:v>0.3</x:v>
      </x:c>
      <x:c r="Q19" s="29" t="n">
        <x:f>ROUNDUP(O19*P19,0)</x:f>
        <x:v>8</x:v>
      </x:c>
      <x:c r="R19" s="29" t="n">
        <x:v>8</x:v>
      </x:c>
      <x:c r="S19" s="29" t="n">
        <x:f>VLOOKUP(B19,'05_合法解计算'!$B$5:$W$19,22,FALSE)</x:f>
        <x:v>6</x:v>
      </x:c>
      <x:c r="T19" s="29" t="n">
        <x:f>COUNTIF('02_策划验证解表'!$C$5:$C$49,B19)</x:f>
        <x:v>3</x:v>
      </x:c>
      <x:c r="U19" s="29" t="n">
        <x:f>COUNTIFS('02_策划验证解表'!$C$5:$C$49,B19,'02_策划验证解表'!$F$5:$F$49,"是")</x:f>
        <x:v>1</x:v>
      </x:c>
      <x:c r="V19" s="16" t="n">
        <x:v>1800</x:v>
      </x:c>
      <x:c r="W19" s="16" t="n">
        <x:v>50</x:v>
      </x:c>
      <x:c r="X19" s="16" t="str">
        <x:v>lifespan_gain</x:v>
      </x:c>
      <x:c r="Y19" s="31" t="n">
        <x:v>10</x:v>
      </x:c>
      <x:c r="Z19" s="16" t="str"/>
      <x:c r="AA19" s="31" t="n">
        <x:v>0</x:v>
      </x:c>
      <x:c r="AB19" s="16" t="n">
        <x:v>0</x:v>
      </x:c>
      <x:c r="AC19" s="16" t="str">
        <x:v>由炼制结算</x:v>
      </x:c>
      <x:c r="AD19" s="16" t="str">
        <x:v>水润骨底，使天年稍续。</x:v>
      </x:c>
      <x:c r="AE19" s="16" t="str">
        <x:v>永久增加寿元。</x:v>
      </x:c>
      <x:c r="AF19" s="16" t="str">
        <x:v>增加寿元；具体数值为筑基纵切工作值。</x:v>
      </x:c>
    </x:row>
  </x:sheetData>
  <x:mergeCells>
    <x:mergeCell ref="A1:AF1"/>
    <x:mergeCell ref="A2:AF2"/>
  </x:mergeCells>
  <x:dataValidations count="1">
    <x:dataValidation type="list" sqref="D5:D19">
      <x:formula1>"养,清,改,发"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0" hidden="0" customWidth="1"/>
    <x:col min="3" max="3" width="16" hidden="0" customWidth="1"/>
    <x:col min="4" max="4" width="14" hidden="0" customWidth="1"/>
    <x:col min="5" max="5" width="11" hidden="0" customWidth="1"/>
    <x:col min="6" max="6" width="11" hidden="0" customWidth="1"/>
    <x:col min="7" max="7" width="16" hidden="0" customWidth="1"/>
    <x:col min="8" max="8" width="10" hidden="0" customWidth="1"/>
    <x:col min="9" max="9" width="9" hidden="0" customWidth="1"/>
    <x:col min="10" max="10" width="17" hidden="0" customWidth="1"/>
    <x:col min="11" max="11" width="10" hidden="0" customWidth="1"/>
    <x:col min="12" max="12" width="9" hidden="0" customWidth="1"/>
    <x:col min="13" max="13" width="16" hidden="0" customWidth="1"/>
    <x:col min="14" max="14" width="10" hidden="0" customWidth="1"/>
    <x:col min="15" max="15" width="9" hidden="0" customWidth="1"/>
    <x:col min="16" max="16" width="16" hidden="0" customWidth="1"/>
    <x:col min="17" max="17" width="10" hidden="0" customWidth="1"/>
    <x:col min="18" max="18" width="9" hidden="0" customWidth="1"/>
    <x:col min="19" max="19" width="9" hidden="0" customWidth="1"/>
    <x:col min="20" max="20" width="11" hidden="0" customWidth="1"/>
    <x:col min="21" max="21" width="9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2" hidden="0" customWidth="1"/>
    <x:col min="27" max="27" width="12" hidden="0" customWidth="1"/>
    <x:col min="28" max="28" width="11" hidden="0" customWidth="1"/>
    <x:col min="29" max="29" width="12" hidden="0" customWidth="1"/>
    <x:col min="30" max="30" width="12" hidden="0" customWidth="1"/>
    <x:col min="31" max="31" width="11" hidden="0" customWidth="1"/>
    <x:col min="32" max="32" width="10" hidden="0" customWidth="1"/>
    <x:col min="33" max="33" width="11" hidden="0" customWidth="1"/>
    <x:col min="34" max="34" width="11" hidden="0" customWidth="1"/>
    <x:col min="35" max="35" width="13" hidden="0" customWidth="1"/>
    <x:col min="36" max="36" width="13" hidden="0" customWidth="1"/>
    <x:col min="37" max="37" width="13" hidden="0" customWidth="1"/>
    <x:col min="38" max="38" width="12" hidden="0" customWidth="1"/>
    <x:col min="39" max="39" width="24" hidden="0" customWidth="1"/>
    <x:col min="40" max="40" width="12" hidden="0" customWidth="1"/>
    <x:col min="41" max="41" width="22" hidden="0" customWidth="1"/>
    <x:col min="42" max="42" width="12" hidden="0" customWidth="1"/>
    <x:col min="43" max="43" width="10" hidden="0" customWidth="1"/>
    <x:col min="44" max="44" width="46" hidden="0" customWidth="1"/>
    <x:col min="45" max="45" width="11" hidden="0" customWidth="1"/>
    <x:col min="46" max="46" width="46" hidden="0" customWidth="1"/>
  </x:cols>
  <x:sheetData>
    <x:row r="1" ht="30" customHeight="1">
      <x:c r="A1" s="3" t="str">
        <x:v>策划验证解表｜45套具体组合</x:v>
      </x:c>
      <x:c r="B1" s="3" t="str">
        <x:v>策划验证解表｜45套具体组合</x:v>
      </x:c>
      <x:c r="C1" s="3" t="str">
        <x:v>策划验证解表｜45套具体组合</x:v>
      </x:c>
      <x:c r="D1" s="3" t="str">
        <x:v>策划验证解表｜45套具体组合</x:v>
      </x:c>
      <x:c r="E1" s="3" t="str">
        <x:v>策划验证解表｜45套具体组合</x:v>
      </x:c>
      <x:c r="F1" s="3" t="str">
        <x:v>策划验证解表｜45套具体组合</x:v>
      </x:c>
      <x:c r="G1" s="3" t="str">
        <x:v>策划验证解表｜45套具体组合</x:v>
      </x:c>
      <x:c r="H1" s="3" t="str">
        <x:v>策划验证解表｜45套具体组合</x:v>
      </x:c>
      <x:c r="I1" s="3" t="str">
        <x:v>策划验证解表｜45套具体组合</x:v>
      </x:c>
      <x:c r="J1" s="3" t="str">
        <x:v>策划验证解表｜45套具体组合</x:v>
      </x:c>
      <x:c r="K1" s="3" t="str">
        <x:v>策划验证解表｜45套具体组合</x:v>
      </x:c>
      <x:c r="L1" s="3" t="str">
        <x:v>策划验证解表｜45套具体组合</x:v>
      </x:c>
      <x:c r="M1" s="3" t="str">
        <x:v>策划验证解表｜45套具体组合</x:v>
      </x:c>
      <x:c r="N1" s="3" t="str">
        <x:v>策划验证解表｜45套具体组合</x:v>
      </x:c>
      <x:c r="O1" s="3" t="str">
        <x:v>策划验证解表｜45套具体组合</x:v>
      </x:c>
      <x:c r="P1" s="3" t="str">
        <x:v>策划验证解表｜45套具体组合</x:v>
      </x:c>
      <x:c r="Q1" s="3" t="str">
        <x:v>策划验证解表｜45套具体组合</x:v>
      </x:c>
      <x:c r="R1" s="3" t="str">
        <x:v>策划验证解表｜45套具体组合</x:v>
      </x:c>
      <x:c r="S1" s="3" t="str">
        <x:v>策划验证解表｜45套具体组合</x:v>
      </x:c>
      <x:c r="T1" s="3" t="str">
        <x:v>策划验证解表｜45套具体组合</x:v>
      </x:c>
      <x:c r="U1" s="3" t="str">
        <x:v>策划验证解表｜45套具体组合</x:v>
      </x:c>
      <x:c r="V1" s="3" t="str">
        <x:v>策划验证解表｜45套具体组合</x:v>
      </x:c>
      <x:c r="W1" s="3" t="str">
        <x:v>策划验证解表｜45套具体组合</x:v>
      </x:c>
      <x:c r="X1" s="3" t="str">
        <x:v>策划验证解表｜45套具体组合</x:v>
      </x:c>
      <x:c r="Y1" s="3" t="str">
        <x:v>策划验证解表｜45套具体组合</x:v>
      </x:c>
      <x:c r="Z1" s="3" t="str">
        <x:v>策划验证解表｜45套具体组合</x:v>
      </x:c>
      <x:c r="AA1" s="3" t="str">
        <x:v>策划验证解表｜45套具体组合</x:v>
      </x:c>
      <x:c r="AB1" s="3" t="str">
        <x:v>策划验证解表｜45套具体组合</x:v>
      </x:c>
      <x:c r="AC1" s="3" t="str">
        <x:v>策划验证解表｜45套具体组合</x:v>
      </x:c>
      <x:c r="AD1" s="3" t="str">
        <x:v>策划验证解表｜45套具体组合</x:v>
      </x:c>
      <x:c r="AE1" s="3" t="str">
        <x:v>策划验证解表｜45套具体组合</x:v>
      </x:c>
      <x:c r="AF1" s="3" t="str">
        <x:v>策划验证解表｜45套具体组合</x:v>
      </x:c>
      <x:c r="AG1" s="3" t="str">
        <x:v>策划验证解表｜45套具体组合</x:v>
      </x:c>
      <x:c r="AH1" s="3" t="str">
        <x:v>策划验证解表｜45套具体组合</x:v>
      </x:c>
      <x:c r="AI1" s="3" t="str">
        <x:v>策划验证解表｜45套具体组合</x:v>
      </x:c>
      <x:c r="AJ1" s="3" t="str">
        <x:v>策划验证解表｜45套具体组合</x:v>
      </x:c>
      <x:c r="AK1" s="3" t="str">
        <x:v>策划验证解表｜45套具体组合</x:v>
      </x:c>
      <x:c r="AL1" s="3" t="str">
        <x:v>策划验证解表｜45套具体组合</x:v>
      </x:c>
      <x:c r="AM1" s="3" t="str">
        <x:v>策划验证解表｜45套具体组合</x:v>
      </x:c>
      <x:c r="AN1" s="3" t="str">
        <x:v>策划验证解表｜45套具体组合</x:v>
      </x:c>
      <x:c r="AO1" s="3" t="str">
        <x:v>策划验证解表｜45套具体组合</x:v>
      </x:c>
      <x:c r="AP1" s="3" t="str">
        <x:v>策划验证解表｜45套具体组合</x:v>
      </x:c>
      <x:c r="AQ1" s="3" t="str">
        <x:v>策划验证解表｜45套具体组合</x:v>
      </x:c>
      <x:c r="AR1" s="3" t="str">
        <x:v>策划验证解表｜45套具体组合</x:v>
      </x:c>
      <x:c r="AS1" s="3" t="str">
        <x:v>策划验证解表｜45套具体组合</x:v>
      </x:c>
      <x:c r="AT1" s="3" t="str">
        <x:v>策划验证解表｜45套具体组合</x:v>
      </x:c>
    </x:row>
    <x:row r="2" ht="25" customHeight="1">
      <x:c r="A2" s="7" t="str">
        <x:v>每方默认/廉价/精炼各一套；test_solution_id是静态配置行，不是成功后生成的玩家验方ID</x:v>
      </x:c>
      <x:c r="B2" s="7" t="str">
        <x:v>每方默认/廉价/精炼各一套；test_solution_id是静态配置行，不是成功后生成的玩家验方ID</x:v>
      </x:c>
      <x:c r="C2" s="7" t="str">
        <x:v>每方默认/廉价/精炼各一套；test_solution_id是静态配置行，不是成功后生成的玩家验方ID</x:v>
      </x:c>
      <x:c r="D2" s="7" t="str">
        <x:v>每方默认/廉价/精炼各一套；test_solution_id是静态配置行，不是成功后生成的玩家验方ID</x:v>
      </x:c>
      <x:c r="E2" s="7" t="str">
        <x:v>每方默认/廉价/精炼各一套；test_solution_id是静态配置行，不是成功后生成的玩家验方ID</x:v>
      </x:c>
      <x:c r="F2" s="7" t="str">
        <x:v>每方默认/廉价/精炼各一套；test_solution_id是静态配置行，不是成功后生成的玩家验方ID</x:v>
      </x:c>
      <x:c r="G2" s="7" t="str">
        <x:v>每方默认/廉价/精炼各一套；test_solution_id是静态配置行，不是成功后生成的玩家验方ID</x:v>
      </x:c>
      <x:c r="H2" s="7" t="str">
        <x:v>每方默认/廉价/精炼各一套；test_solution_id是静态配置行，不是成功后生成的玩家验方ID</x:v>
      </x:c>
      <x:c r="I2" s="7" t="str">
        <x:v>每方默认/廉价/精炼各一套；test_solution_id是静态配置行，不是成功后生成的玩家验方ID</x:v>
      </x:c>
      <x:c r="J2" s="7" t="str">
        <x:v>每方默认/廉价/精炼各一套；test_solution_id是静态配置行，不是成功后生成的玩家验方ID</x:v>
      </x:c>
      <x:c r="K2" s="7" t="str">
        <x:v>每方默认/廉价/精炼各一套；test_solution_id是静态配置行，不是成功后生成的玩家验方ID</x:v>
      </x:c>
      <x:c r="L2" s="7" t="str">
        <x:v>每方默认/廉价/精炼各一套；test_solution_id是静态配置行，不是成功后生成的玩家验方ID</x:v>
      </x:c>
      <x:c r="M2" s="7" t="str">
        <x:v>每方默认/廉价/精炼各一套；test_solution_id是静态配置行，不是成功后生成的玩家验方ID</x:v>
      </x:c>
      <x:c r="N2" s="7" t="str">
        <x:v>每方默认/廉价/精炼各一套；test_solution_id是静态配置行，不是成功后生成的玩家验方ID</x:v>
      </x:c>
      <x:c r="O2" s="7" t="str">
        <x:v>每方默认/廉价/精炼各一套；test_solution_id是静态配置行，不是成功后生成的玩家验方ID</x:v>
      </x:c>
      <x:c r="P2" s="7" t="str">
        <x:v>每方默认/廉价/精炼各一套；test_solution_id是静态配置行，不是成功后生成的玩家验方ID</x:v>
      </x:c>
      <x:c r="Q2" s="7" t="str">
        <x:v>每方默认/廉价/精炼各一套；test_solution_id是静态配置行，不是成功后生成的玩家验方ID</x:v>
      </x:c>
      <x:c r="R2" s="7" t="str">
        <x:v>每方默认/廉价/精炼各一套；test_solution_id是静态配置行，不是成功后生成的玩家验方ID</x:v>
      </x:c>
      <x:c r="S2" s="7" t="str">
        <x:v>每方默认/廉价/精炼各一套；test_solution_id是静态配置行，不是成功后生成的玩家验方ID</x:v>
      </x:c>
      <x:c r="T2" s="7" t="str">
        <x:v>每方默认/廉价/精炼各一套；test_solution_id是静态配置行，不是成功后生成的玩家验方ID</x:v>
      </x:c>
      <x:c r="U2" s="7" t="str">
        <x:v>每方默认/廉价/精炼各一套；test_solution_id是静态配置行，不是成功后生成的玩家验方ID</x:v>
      </x:c>
      <x:c r="V2" s="7" t="str">
        <x:v>每方默认/廉价/精炼各一套；test_solution_id是静态配置行，不是成功后生成的玩家验方ID</x:v>
      </x:c>
      <x:c r="W2" s="7" t="str">
        <x:v>每方默认/廉价/精炼各一套；test_solution_id是静态配置行，不是成功后生成的玩家验方ID</x:v>
      </x:c>
      <x:c r="X2" s="7" t="str">
        <x:v>每方默认/廉价/精炼各一套；test_solution_id是静态配置行，不是成功后生成的玩家验方ID</x:v>
      </x:c>
      <x:c r="Y2" s="7" t="str">
        <x:v>每方默认/廉价/精炼各一套；test_solution_id是静态配置行，不是成功后生成的玩家验方ID</x:v>
      </x:c>
      <x:c r="Z2" s="7" t="str">
        <x:v>每方默认/廉价/精炼各一套；test_solution_id是静态配置行，不是成功后生成的玩家验方ID</x:v>
      </x:c>
      <x:c r="AA2" s="7" t="str">
        <x:v>每方默认/廉价/精炼各一套；test_solution_id是静态配置行，不是成功后生成的玩家验方ID</x:v>
      </x:c>
      <x:c r="AB2" s="7" t="str">
        <x:v>每方默认/廉价/精炼各一套；test_solution_id是静态配置行，不是成功后生成的玩家验方ID</x:v>
      </x:c>
      <x:c r="AC2" s="7" t="str">
        <x:v>每方默认/廉价/精炼各一套；test_solution_id是静态配置行，不是成功后生成的玩家验方ID</x:v>
      </x:c>
      <x:c r="AD2" s="7" t="str">
        <x:v>每方默认/廉价/精炼各一套；test_solution_id是静态配置行，不是成功后生成的玩家验方ID</x:v>
      </x:c>
      <x:c r="AE2" s="7" t="str">
        <x:v>每方默认/廉价/精炼各一套；test_solution_id是静态配置行，不是成功后生成的玩家验方ID</x:v>
      </x:c>
      <x:c r="AF2" s="7" t="str">
        <x:v>每方默认/廉价/精炼各一套；test_solution_id是静态配置行，不是成功后生成的玩家验方ID</x:v>
      </x:c>
      <x:c r="AG2" s="7" t="str">
        <x:v>每方默认/廉价/精炼各一套；test_solution_id是静态配置行，不是成功后生成的玩家验方ID</x:v>
      </x:c>
      <x:c r="AH2" s="7" t="str">
        <x:v>每方默认/廉价/精炼各一套；test_solution_id是静态配置行，不是成功后生成的玩家验方ID</x:v>
      </x:c>
      <x:c r="AI2" s="7" t="str">
        <x:v>每方默认/廉价/精炼各一套；test_solution_id是静态配置行，不是成功后生成的玩家验方ID</x:v>
      </x:c>
      <x:c r="AJ2" s="7" t="str">
        <x:v>每方默认/廉价/精炼各一套；test_solution_id是静态配置行，不是成功后生成的玩家验方ID</x:v>
      </x:c>
      <x:c r="AK2" s="7" t="str">
        <x:v>每方默认/廉价/精炼各一套；test_solution_id是静态配置行，不是成功后生成的玩家验方ID</x:v>
      </x:c>
      <x:c r="AL2" s="7" t="str">
        <x:v>每方默认/廉价/精炼各一套；test_solution_id是静态配置行，不是成功后生成的玩家验方ID</x:v>
      </x:c>
      <x:c r="AM2" s="7" t="str">
        <x:v>每方默认/廉价/精炼各一套；test_solution_id是静态配置行，不是成功后生成的玩家验方ID</x:v>
      </x:c>
      <x:c r="AN2" s="7" t="str">
        <x:v>每方默认/廉价/精炼各一套；test_solution_id是静态配置行，不是成功后生成的玩家验方ID</x:v>
      </x:c>
      <x:c r="AO2" s="7" t="str">
        <x:v>每方默认/廉价/精炼各一套；test_solution_id是静态配置行，不是成功后生成的玩家验方ID</x:v>
      </x:c>
      <x:c r="AP2" s="7" t="str">
        <x:v>每方默认/廉价/精炼各一套；test_solution_id是静态配置行，不是成功后生成的玩家验方ID</x:v>
      </x:c>
      <x:c r="AQ2" s="7" t="str">
        <x:v>每方默认/廉价/精炼各一套；test_solution_id是静态配置行，不是成功后生成的玩家验方ID</x:v>
      </x:c>
      <x:c r="AR2" s="7" t="str">
        <x:v>每方默认/廉价/精炼各一套；test_solution_id是静态配置行，不是成功后生成的玩家验方ID</x:v>
      </x:c>
      <x:c r="AS2" s="7" t="str">
        <x:v>每方默认/廉价/精炼各一套；test_solution_id是静态配置行，不是成功后生成的玩家验方ID</x:v>
      </x:c>
      <x:c r="AT2" s="7" t="str">
        <x:v>每方默认/廉价/精炼各一套；test_solution_id是静态配置行，不是成功后生成的玩家验方ID</x:v>
      </x:c>
    </x:row>
    <x:row r="4">
      <x:c r="A4" s="12" t="str">
        <x:v>序号</x:v>
      </x:c>
      <x:c r="B4" s="12" t="str">
        <x:v>验证解ID</x:v>
      </x:c>
      <x:c r="C4" s="12" t="str">
        <x:v>丹方ID</x:v>
      </x:c>
      <x:c r="D4" s="12" t="str">
        <x:v>丹方名</x:v>
      </x:c>
      <x:c r="E4" s="12" t="str">
        <x:v>解法类型</x:v>
      </x:c>
      <x:c r="F4" s="12" t="str">
        <x:v>默认标记</x:v>
      </x:c>
      <x:c r="G4" s="12" t="str">
        <x:v>君材ID</x:v>
      </x:c>
      <x:c r="H4" s="12" t="str">
        <x:v>君品质</x:v>
      </x:c>
      <x:c r="I4" s="12" t="str">
        <x:v>君数量</x:v>
      </x:c>
      <x:c r="J4" s="12" t="str">
        <x:v>臣材ID</x:v>
      </x:c>
      <x:c r="K4" s="12" t="str">
        <x:v>臣品质</x:v>
      </x:c>
      <x:c r="L4" s="12" t="str">
        <x:v>臣数量</x:v>
      </x:c>
      <x:c r="M4" s="12" t="str">
        <x:v>佐材ID</x:v>
      </x:c>
      <x:c r="N4" s="12" t="str">
        <x:v>佐品质</x:v>
      </x:c>
      <x:c r="O4" s="12" t="str">
        <x:v>佐数量</x:v>
      </x:c>
      <x:c r="P4" s="12" t="str">
        <x:v>使材ID</x:v>
      </x:c>
      <x:c r="Q4" s="12" t="str">
        <x:v>使品质</x:v>
      </x:c>
      <x:c r="R4" s="12" t="str">
        <x:v>使数量</x:v>
      </x:c>
      <x:c r="S4" s="12" t="str">
        <x:v>臣行</x:v>
      </x:c>
      <x:c r="T4" s="12" t="str">
        <x:v>臣行校验</x:v>
      </x:c>
      <x:c r="U4" s="12" t="str">
        <x:v>使味</x:v>
      </x:c>
      <x:c r="V4" s="12" t="str">
        <x:v>使味校验</x:v>
      </x:c>
      <x:c r="W4" s="12" t="str">
        <x:v>目标性值</x:v>
      </x:c>
      <x:c r="X4" s="12" t="str">
        <x:v>计算性值</x:v>
      </x:c>
      <x:c r="Y4" s="12" t="str">
        <x:v>方性校验</x:v>
      </x:c>
      <x:c r="Z4" s="12" t="str">
        <x:v>总药力</x:v>
      </x:c>
      <x:c r="AA4" s="12" t="str">
        <x:v>药力门槛</x:v>
      </x:c>
      <x:c r="AB4" s="12" t="str">
        <x:v>药力校验</x:v>
      </x:c>
      <x:c r="AC4" s="12" t="str">
        <x:v>君药力</x:v>
      </x:c>
      <x:c r="AD4" s="12" t="str">
        <x:v>君力最低</x:v>
      </x:c>
      <x:c r="AE4" s="12" t="str">
        <x:v>君力校验</x:v>
      </x:c>
      <x:c r="AF4" s="12" t="str">
        <x:v>总份数</x:v>
      </x:c>
      <x:c r="AG4" s="12" t="str">
        <x:v>份数上限</x:v>
      </x:c>
      <x:c r="AH4" s="12" t="str">
        <x:v>份数校验</x:v>
      </x:c>
      <x:c r="AI4" s="12" t="str">
        <x:v>材料成本</x:v>
      </x:c>
      <x:c r="AJ4" s="12" t="str">
        <x:v>丹药售价</x:v>
      </x:c>
      <x:c r="AK4" s="12" t="str">
        <x:v>预期毛利</x:v>
      </x:c>
      <x:c r="AL4" s="12" t="str">
        <x:v>预期品质</x:v>
      </x:c>
      <x:c r="AM4" s="12" t="str">
        <x:v>药效1ID</x:v>
      </x:c>
      <x:c r="AN4" s="12" t="str">
        <x:v>药效1值</x:v>
      </x:c>
      <x:c r="AO4" s="12" t="str">
        <x:v>药效2ID</x:v>
      </x:c>
      <x:c r="AP4" s="12" t="str">
        <x:v>药效2值</x:v>
      </x:c>
      <x:c r="AQ4" s="12" t="str">
        <x:v>丹毒值</x:v>
      </x:c>
      <x:c r="AR4" s="12" t="str">
        <x:v>配伍签名</x:v>
      </x:c>
      <x:c r="AS4" s="12" t="str">
        <x:v>综合校验</x:v>
      </x:c>
      <x:c r="AT4" s="12" t="str">
        <x:v>配置说明</x:v>
      </x:c>
    </x:row>
    <x:row r="5">
      <x:c r="A5" s="23" t="n">
        <x:v>1</x:v>
      </x:c>
      <x:c r="B5" s="23" t="str">
        <x:v>TS-F-ZJ-01-D</x:v>
      </x:c>
      <x:c r="C5" s="23" t="str">
        <x:v>F-ZJ-01</x:v>
      </x:c>
      <x:c r="D5" s="23" t="str">
        <x:f>VLOOKUP(C5,'01_丹方主表'!$B$5:$AF$19,2,FALSE)</x:f>
        <x:v>聚元丹</x:v>
      </x:c>
      <x:c r="E5" s="23" t="str">
        <x:v>默认</x:v>
      </x:c>
      <x:c r="F5" s="23" t="str">
        <x:v>是</x:v>
      </x:c>
      <x:c r="G5" s="23" t="str">
        <x:v>J-ZJ-01</x:v>
      </x:c>
      <x:c r="H5" s="23" t="str">
        <x:v>灵</x:v>
      </x:c>
      <x:c r="I5" s="23" t="n">
        <x:v>2</x:v>
      </x:c>
      <x:c r="J5" s="23" t="str">
        <x:v>M-ZJ-TU-P</x:v>
      </x:c>
      <x:c r="K5" s="23" t="str">
        <x:v>灵</x:v>
      </x:c>
      <x:c r="L5" s="23" t="n">
        <x:v>1</x:v>
      </x:c>
      <x:c r="M5" s="23" t="str">
        <x:v>A-ZJ-P</x:v>
      </x:c>
      <x:c r="N5" s="23" t="str">
        <x:v>灵</x:v>
      </x:c>
      <x:c r="O5" s="23" t="n">
        <x:v>1</x:v>
      </x:c>
      <x:c r="P5" s="23" t="str">
        <x:v>E-ZJ-GAN-P</x:v>
      </x:c>
      <x:c r="Q5" s="23" t="str">
        <x:v>灵</x:v>
      </x:c>
      <x:c r="R5" s="23" t="n">
        <x:v>1</x:v>
      </x:c>
      <x:c r="S5" s="29" t="str">
        <x:f>VLOOKUP(J5,'03_灵植表'!$B$5:$S$52,6,FALSE)</x:f>
        <x:v>土</x:v>
      </x:c>
      <x:c r="T5" s="29" t="str">
        <x:f>IF(S5=VLOOKUP(C5,'01_丹方主表'!$B$5:$AF$19,10,FALSE),"通过","失败")</x:f>
        <x:v>通过</x:v>
      </x:c>
      <x:c r="U5" s="29" t="str">
        <x:f>VLOOKUP(P5,'03_灵植表'!$B$5:$S$52,7,FALSE)</x:f>
        <x:v>甘</x:v>
      </x:c>
      <x:c r="V5" s="29" t="str">
        <x:f>IF(U5=VLOOKUP(C5,'01_丹方主表'!$B$5:$AF$19,11,FALSE),"通过","失败")</x:f>
        <x:v>通过</x:v>
      </x:c>
      <x:c r="W5" s="29" t="n">
        <x:f>VLOOKUP(C5,'01_丹方主表'!$B$5:$AF$19,13,FALSE)</x:f>
        <x:v>0</x:v>
      </x:c>
      <x:c r="X5" s="29" t="n">
        <x:f>VLOOKUP(G5,'03_灵植表'!$B$5:$S$52,9,FALSE)+VLOOKUP(J5,'03_灵植表'!$B$5:$S$52,9,FALSE)+VLOOKUP(M5,'03_灵植表'!$B$5:$S$52,9,FALSE)+VLOOKUP(P5,'03_灵植表'!$B$5:$S$52,9,FALSE)</x:f>
        <x:v>0</x:v>
      </x:c>
      <x:c r="Y5" s="29" t="str">
        <x:f>IF(W5=X5,"通过","失败")</x:f>
        <x:v>通过</x:v>
      </x:c>
      <x:c r="Z5" s="29" t="n">
        <x:f>VLOOKUP(G5,'03_灵植表'!$B$5:$S$52,10,FALSE)*VLOOKUP(H5,'04_参数字典'!$A$5:$D$7,2,FALSE)*I5+VLOOKUP(J5,'03_灵植表'!$B$5:$S$52,10,FALSE)*VLOOKUP(K5,'04_参数字典'!$A$5:$D$7,2,FALSE)*L5+VLOOKUP(M5,'03_灵植表'!$B$5:$S$52,10,FALSE)*VLOOKUP(N5,'04_参数字典'!$A$5:$D$7,2,FALSE)*O5+VLOOKUP(P5,'03_灵植表'!$B$5:$S$52,10,FALSE)*VLOOKUP(Q5,'04_参数字典'!$A$5:$D$7,2,FALSE)*R5</x:f>
        <x:v>33.6</x:v>
      </x:c>
      <x:c r="AA5" s="29" t="n">
        <x:f>VLOOKUP(C5,'01_丹方主表'!$B$5:$AF$19,14,FALSE)</x:f>
        <x:v>24</x:v>
      </x:c>
      <x:c r="AB5" s="29" t="str">
        <x:f>IF(Z5&gt;=AA5,"通过","失败")</x:f>
        <x:v>通过</x:v>
      </x:c>
      <x:c r="AC5" s="29" t="n">
        <x:f>VLOOKUP(G5,'03_灵植表'!$B$5:$S$52,10,FALSE)*VLOOKUP(H5,'04_参数字典'!$A$5:$D$7,2,FALSE)*I5</x:f>
        <x:v>12</x:v>
      </x:c>
      <x:c r="AD5" s="29" t="n">
        <x:f>VLOOKUP(C5,'01_丹方主表'!$B$5:$AF$19,16,FALSE)</x:f>
        <x:v>8</x:v>
      </x:c>
      <x:c r="AE5" s="29" t="str">
        <x:f>IF(AC5&gt;=AD5,"通过","失败")</x:f>
        <x:v>通过</x:v>
      </x:c>
      <x:c r="AF5" s="29" t="n">
        <x:f>I5+L5+O5+R5</x:f>
        <x:v>5</x:v>
      </x:c>
      <x:c r="AG5" s="29" t="n">
        <x:f>VLOOKUP(C5,'01_丹方主表'!$B$5:$AF$19,17,FALSE)</x:f>
        <x:v>8</x:v>
      </x:c>
      <x:c r="AH5" s="29" t="str">
        <x:f>IF(AF5&lt;=AG5,"通过","失败")</x:f>
        <x:v>通过</x:v>
      </x:c>
      <x:c r="AI5" s="32" t="n">
        <x:f>VLOOKUP(G5,'03_灵植表'!$B$5:$S$52,12,FALSE)*VLOOKUP(H5,'04_参数字典'!$A$5:$D$7,3,FALSE)*I5+VLOOKUP(J5,'03_灵植表'!$B$5:$S$52,12,FALSE)*VLOOKUP(K5,'04_参数字典'!$A$5:$D$7,3,FALSE)*L5+VLOOKUP(M5,'03_灵植表'!$B$5:$S$52,12,FALSE)*VLOOKUP(N5,'04_参数字典'!$A$5:$D$7,3,FALSE)*O5+VLOOKUP(P5,'03_灵植表'!$B$5:$S$52,12,FALSE)*VLOOKUP(Q5,'04_参数字典'!$A$5:$D$7,3,FALSE)*R5</x:f>
        <x:v>187</x:v>
      </x:c>
      <x:c r="AJ5" s="32" t="n">
        <x:f>VLOOKUP(C5,'01_丹方主表'!$B$5:$AF$19,21,FALSE)*VLOOKUP(AL5,'04_参数字典'!$A$5:$D$7,4,FALSE)</x:f>
        <x:v>320</x:v>
      </x:c>
      <x:c r="AK5" s="32" t="n">
        <x:f>AJ5-AI5</x:f>
        <x:v>133</x:v>
      </x:c>
      <x:c r="AL5" s="29" t="str">
        <x:v>灵</x:v>
      </x:c>
      <x:c r="AM5" s="29" t="str">
        <x:f>VLOOKUP(C5,'01_丹方主表'!$B$5:$AF$19,23,FALSE)</x:f>
        <x:v>cultivation_gain</x:v>
      </x:c>
      <x:c r="AN5" s="33" t="n">
        <x:f>VLOOKUP(C5,'01_丹方主表'!$B$5:$AF$19,24,FALSE)</x:f>
        <x:v>500</x:v>
      </x:c>
      <x:c r="AO5" s="33" t="str">
        <x:f>VLOOKUP(C5,'01_丹方主表'!$B$5:$AF$19,25,FALSE)</x:f>
      </x:c>
      <x:c r="AP5" s="33" t="n">
        <x:f>VLOOKUP(C5,'01_丹方主表'!$B$5:$AF$19,26,FALSE)</x:f>
        <x:v>0</x:v>
      </x:c>
      <x:c r="AQ5" s="29" t="n">
        <x:f>VLOOKUP(C5,'01_丹方主表'!$B$5:$AF$19,22,FALSE)</x:f>
        <x:v>5</x:v>
      </x:c>
      <x:c r="AR5" s="29" t="str">
        <x:f>C5&amp;"|"&amp;G5&amp;"|"&amp;J5&amp;"|"&amp;M5&amp;"|"&amp;P5</x:f>
        <x:v>F-ZJ-01|J-ZJ-01|M-ZJ-TU-P|A-ZJ-P|E-ZJ-GAN-P</x:v>
      </x:c>
      <x:c r="AS5" s="29" t="str">
        <x:f>IF(AND(T5="通过",V5="通过",Y5="通过",AB5="通过",AE5="通过",AH5="通过",AK5&gt;=0),"通过","失败")</x:f>
        <x:v>通过</x:v>
      </x:c>
      <x:c r="AT5" s="16" t="str">
        <x:v>师承标准方：材料常见、方性直观，获得丹方即自动填入。</x:v>
      </x:c>
    </x:row>
    <x:row r="6">
      <x:c r="A6" s="23" t="n">
        <x:v>2</x:v>
      </x:c>
      <x:c r="B6" s="23" t="str">
        <x:v>TS-F-ZJ-01-C</x:v>
      </x:c>
      <x:c r="C6" s="23" t="str">
        <x:v>F-ZJ-01</x:v>
      </x:c>
      <x:c r="D6" s="23" t="str">
        <x:f>VLOOKUP(C6,'01_丹方主表'!$B$5:$AF$19,2,FALSE)</x:f>
        <x:v>聚元丹</x:v>
      </x:c>
      <x:c r="E6" s="23" t="str">
        <x:v>廉价</x:v>
      </x:c>
      <x:c r="F6" s="23" t="str">
        <x:v>否</x:v>
      </x:c>
      <x:c r="G6" s="23" t="str">
        <x:v>J-ZJ-01</x:v>
      </x:c>
      <x:c r="H6" s="23" t="str">
        <x:v>灵</x:v>
      </x:c>
      <x:c r="I6" s="23" t="n">
        <x:v>2</x:v>
      </x:c>
      <x:c r="J6" s="23" t="str">
        <x:v>M-ZJ-TU-S</x:v>
      </x:c>
      <x:c r="K6" s="23" t="str">
        <x:v>凡</x:v>
      </x:c>
      <x:c r="L6" s="23" t="n">
        <x:v>2</x:v>
      </x:c>
      <x:c r="M6" s="23" t="str">
        <x:v>A-ZJ-H</x:v>
      </x:c>
      <x:c r="N6" s="23" t="str">
        <x:v>凡</x:v>
      </x:c>
      <x:c r="O6" s="23" t="n">
        <x:v>2</x:v>
      </x:c>
      <x:c r="P6" s="23" t="str">
        <x:v>E-ZJ-GAN-C</x:v>
      </x:c>
      <x:c r="Q6" s="23" t="str">
        <x:v>凡</x:v>
      </x:c>
      <x:c r="R6" s="23" t="n">
        <x:v>1</x:v>
      </x:c>
      <x:c r="S6" s="29" t="str">
        <x:f>VLOOKUP(J6,'03_灵植表'!$B$5:$S$52,6,FALSE)</x:f>
        <x:v>土</x:v>
      </x:c>
      <x:c r="T6" s="29" t="str">
        <x:f>IF(S6=VLOOKUP(C6,'01_丹方主表'!$B$5:$AF$19,10,FALSE),"通过","失败")</x:f>
        <x:v>通过</x:v>
      </x:c>
      <x:c r="U6" s="29" t="str">
        <x:f>VLOOKUP(P6,'03_灵植表'!$B$5:$S$52,7,FALSE)</x:f>
        <x:v>甘</x:v>
      </x:c>
      <x:c r="V6" s="29" t="str">
        <x:f>IF(U6=VLOOKUP(C6,'01_丹方主表'!$B$5:$AF$19,11,FALSE),"通过","失败")</x:f>
        <x:v>通过</x:v>
      </x:c>
      <x:c r="W6" s="29" t="n">
        <x:f>VLOOKUP(C6,'01_丹方主表'!$B$5:$AF$19,13,FALSE)</x:f>
        <x:v>0</x:v>
      </x:c>
      <x:c r="X6" s="29" t="n">
        <x:f>VLOOKUP(G6,'03_灵植表'!$B$5:$S$52,9,FALSE)+VLOOKUP(J6,'03_灵植表'!$B$5:$S$52,9,FALSE)+VLOOKUP(M6,'03_灵植表'!$B$5:$S$52,9,FALSE)+VLOOKUP(P6,'03_灵植表'!$B$5:$S$52,9,FALSE)</x:f>
        <x:v>0</x:v>
      </x:c>
      <x:c r="Y6" s="29" t="str">
        <x:f>IF(W6=X6,"通过","失败")</x:f>
        <x:v>通过</x:v>
      </x:c>
      <x:c r="Z6" s="29" t="n">
        <x:f>VLOOKUP(G6,'03_灵植表'!$B$5:$S$52,10,FALSE)*VLOOKUP(H6,'04_参数字典'!$A$5:$D$7,2,FALSE)*I6+VLOOKUP(J6,'03_灵植表'!$B$5:$S$52,10,FALSE)*VLOOKUP(K6,'04_参数字典'!$A$5:$D$7,2,FALSE)*L6+VLOOKUP(M6,'03_灵植表'!$B$5:$S$52,10,FALSE)*VLOOKUP(N6,'04_参数字典'!$A$5:$D$7,2,FALSE)*O6+VLOOKUP(P6,'03_灵植表'!$B$5:$S$52,10,FALSE)*VLOOKUP(Q6,'04_参数字典'!$A$5:$D$7,2,FALSE)*R6</x:f>
        <x:v>26.4</x:v>
      </x:c>
      <x:c r="AA6" s="29" t="n">
        <x:f>VLOOKUP(C6,'01_丹方主表'!$B$5:$AF$19,14,FALSE)</x:f>
        <x:v>24</x:v>
      </x:c>
      <x:c r="AB6" s="29" t="str">
        <x:f>IF(Z6&gt;=AA6,"通过","失败")</x:f>
        <x:v>通过</x:v>
      </x:c>
      <x:c r="AC6" s="29" t="n">
        <x:f>VLOOKUP(G6,'03_灵植表'!$B$5:$S$52,10,FALSE)*VLOOKUP(H6,'04_参数字典'!$A$5:$D$7,2,FALSE)*I6</x:f>
        <x:v>12</x:v>
      </x:c>
      <x:c r="AD6" s="29" t="n">
        <x:f>VLOOKUP(C6,'01_丹方主表'!$B$5:$AF$19,16,FALSE)</x:f>
        <x:v>8</x:v>
      </x:c>
      <x:c r="AE6" s="29" t="str">
        <x:f>IF(AC6&gt;=AD6,"通过","失败")</x:f>
        <x:v>通过</x:v>
      </x:c>
      <x:c r="AF6" s="29" t="n">
        <x:f>I6+L6+O6+R6</x:f>
        <x:v>7</x:v>
      </x:c>
      <x:c r="AG6" s="29" t="n">
        <x:f>VLOOKUP(C6,'01_丹方主表'!$B$5:$AF$19,17,FALSE)</x:f>
        <x:v>8</x:v>
      </x:c>
      <x:c r="AH6" s="29" t="str">
        <x:f>IF(AF6&lt;=AG6,"通过","失败")</x:f>
        <x:v>通过</x:v>
      </x:c>
      <x:c r="AI6" s="32" t="n">
        <x:f>VLOOKUP(G6,'03_灵植表'!$B$5:$S$52,12,FALSE)*VLOOKUP(H6,'04_参数字典'!$A$5:$D$7,3,FALSE)*I6+VLOOKUP(J6,'03_灵植表'!$B$5:$S$52,12,FALSE)*VLOOKUP(K6,'04_参数字典'!$A$5:$D$7,3,FALSE)*L6+VLOOKUP(M6,'03_灵植表'!$B$5:$S$52,12,FALSE)*VLOOKUP(N6,'04_参数字典'!$A$5:$D$7,3,FALSE)*O6+VLOOKUP(P6,'03_灵植表'!$B$5:$S$52,12,FALSE)*VLOOKUP(Q6,'04_参数字典'!$A$5:$D$7,3,FALSE)*R6</x:f>
        <x:v>131</x:v>
      </x:c>
      <x:c r="AJ6" s="32" t="n">
        <x:f>VLOOKUP(C6,'01_丹方主表'!$B$5:$AF$19,21,FALSE)*VLOOKUP(AL6,'04_参数字典'!$A$5:$D$7,4,FALSE)</x:f>
        <x:v>160</x:v>
      </x:c>
      <x:c r="AK6" s="32" t="n">
        <x:f>AJ6-AI6</x:f>
        <x:v>29</x:v>
      </x:c>
      <x:c r="AL6" s="29" t="str">
        <x:v>凡</x:v>
      </x:c>
      <x:c r="AM6" s="29" t="str">
        <x:f>VLOOKUP(C6,'01_丹方主表'!$B$5:$AF$19,23,FALSE)</x:f>
        <x:v>cultivation_gain</x:v>
      </x:c>
      <x:c r="AN6" s="33" t="n">
        <x:f>VLOOKUP(C6,'01_丹方主表'!$B$5:$AF$19,24,FALSE)</x:f>
        <x:v>500</x:v>
      </x:c>
      <x:c r="AO6" s="33" t="str">
        <x:f>VLOOKUP(C6,'01_丹方主表'!$B$5:$AF$19,25,FALSE)</x:f>
      </x:c>
      <x:c r="AP6" s="33" t="n">
        <x:f>VLOOKUP(C6,'01_丹方主表'!$B$5:$AF$19,26,FALSE)</x:f>
        <x:v>0</x:v>
      </x:c>
      <x:c r="AQ6" s="29" t="n">
        <x:f>VLOOKUP(C6,'01_丹方主表'!$B$5:$AF$19,22,FALSE)</x:f>
        <x:v>5</x:v>
      </x:c>
      <x:c r="AR6" s="29" t="str">
        <x:f>C6&amp;"|"&amp;G6&amp;"|"&amp;J6&amp;"|"&amp;M6&amp;"|"&amp;P6</x:f>
        <x:v>F-ZJ-01|J-ZJ-01|M-ZJ-TU-S|A-ZJ-H|E-ZJ-GAN-C</x:v>
      </x:c>
      <x:c r="AS6" s="29" t="str">
        <x:f>IF(AND(T6="通过",V6="通过",Y6="通过",AB6="通过",AE6="通过",AH6="通过",AK6&gt;=0),"通过","失败")</x:f>
        <x:v>通过</x:v>
      </x:c>
      <x:c r="AT6" s="16" t="str">
        <x:v>低成本方：辅材便宜但多占份数，适合卖药与资源紧张时。</x:v>
      </x:c>
    </x:row>
    <x:row r="7">
      <x:c r="A7" s="23" t="n">
        <x:v>3</x:v>
      </x:c>
      <x:c r="B7" s="23" t="str">
        <x:v>TS-F-ZJ-01-R</x:v>
      </x:c>
      <x:c r="C7" s="23" t="str">
        <x:v>F-ZJ-01</x:v>
      </x:c>
      <x:c r="D7" s="23" t="str">
        <x:f>VLOOKUP(C7,'01_丹方主表'!$B$5:$AF$19,2,FALSE)</x:f>
        <x:v>聚元丹</x:v>
      </x:c>
      <x:c r="E7" s="23" t="str">
        <x:v>精炼</x:v>
      </x:c>
      <x:c r="F7" s="23" t="str">
        <x:v>否</x:v>
      </x:c>
      <x:c r="G7" s="23" t="str">
        <x:v>J-ZJ-01</x:v>
      </x:c>
      <x:c r="H7" s="23" t="str">
        <x:v>玄</x:v>
      </x:c>
      <x:c r="I7" s="23" t="n">
        <x:v>2</x:v>
      </x:c>
      <x:c r="J7" s="23" t="str">
        <x:v>M-ZJ-TU-P</x:v>
      </x:c>
      <x:c r="K7" s="23" t="str">
        <x:v>玄</x:v>
      </x:c>
      <x:c r="L7" s="23" t="n">
        <x:v>1</x:v>
      </x:c>
      <x:c r="M7" s="23" t="str">
        <x:v>A-ZJ-W</x:v>
      </x:c>
      <x:c r="N7" s="23" t="str">
        <x:v>玄</x:v>
      </x:c>
      <x:c r="O7" s="23" t="n">
        <x:v>1</x:v>
      </x:c>
      <x:c r="P7" s="23" t="str">
        <x:v>E-ZJ-GAN-S</x:v>
      </x:c>
      <x:c r="Q7" s="23" t="str">
        <x:v>玄</x:v>
      </x:c>
      <x:c r="R7" s="23" t="n">
        <x:v>1</x:v>
      </x:c>
      <x:c r="S7" s="29" t="str">
        <x:f>VLOOKUP(J7,'03_灵植表'!$B$5:$S$52,6,FALSE)</x:f>
        <x:v>土</x:v>
      </x:c>
      <x:c r="T7" s="29" t="str">
        <x:f>IF(S7=VLOOKUP(C7,'01_丹方主表'!$B$5:$AF$19,10,FALSE),"通过","失败")</x:f>
        <x:v>通过</x:v>
      </x:c>
      <x:c r="U7" s="29" t="str">
        <x:f>VLOOKUP(P7,'03_灵植表'!$B$5:$S$52,7,FALSE)</x:f>
        <x:v>甘</x:v>
      </x:c>
      <x:c r="V7" s="29" t="str">
        <x:f>IF(U7=VLOOKUP(C7,'01_丹方主表'!$B$5:$AF$19,11,FALSE),"通过","失败")</x:f>
        <x:v>通过</x:v>
      </x:c>
      <x:c r="W7" s="29" t="n">
        <x:f>VLOOKUP(C7,'01_丹方主表'!$B$5:$AF$19,13,FALSE)</x:f>
        <x:v>0</x:v>
      </x:c>
      <x:c r="X7" s="29" t="n">
        <x:f>VLOOKUP(G7,'03_灵植表'!$B$5:$S$52,9,FALSE)+VLOOKUP(J7,'03_灵植表'!$B$5:$S$52,9,FALSE)+VLOOKUP(M7,'03_灵植表'!$B$5:$S$52,9,FALSE)+VLOOKUP(P7,'03_灵植表'!$B$5:$S$52,9,FALSE)</x:f>
        <x:v>0</x:v>
      </x:c>
      <x:c r="Y7" s="29" t="str">
        <x:f>IF(W7=X7,"通过","失败")</x:f>
        <x:v>通过</x:v>
      </x:c>
      <x:c r="Z7" s="29" t="n">
        <x:f>VLOOKUP(G7,'03_灵植表'!$B$5:$S$52,10,FALSE)*VLOOKUP(H7,'04_参数字典'!$A$5:$D$7,2,FALSE)*I7+VLOOKUP(J7,'03_灵植表'!$B$5:$S$52,10,FALSE)*VLOOKUP(K7,'04_参数字典'!$A$5:$D$7,2,FALSE)*L7+VLOOKUP(M7,'03_灵植表'!$B$5:$S$52,10,FALSE)*VLOOKUP(N7,'04_参数字典'!$A$5:$D$7,2,FALSE)*O7+VLOOKUP(P7,'03_灵植表'!$B$5:$S$52,10,FALSE)*VLOOKUP(Q7,'04_参数字典'!$A$5:$D$7,2,FALSE)*R7</x:f>
        <x:v>46.8</x:v>
      </x:c>
      <x:c r="AA7" s="29" t="n">
        <x:f>VLOOKUP(C7,'01_丹方主表'!$B$5:$AF$19,14,FALSE)</x:f>
        <x:v>24</x:v>
      </x:c>
      <x:c r="AB7" s="29" t="str">
        <x:f>IF(Z7&gt;=AA7,"通过","失败")</x:f>
        <x:v>通过</x:v>
      </x:c>
      <x:c r="AC7" s="29" t="n">
        <x:f>VLOOKUP(G7,'03_灵植表'!$B$5:$S$52,10,FALSE)*VLOOKUP(H7,'04_参数字典'!$A$5:$D$7,2,FALSE)*I7</x:f>
        <x:v>18</x:v>
      </x:c>
      <x:c r="AD7" s="29" t="n">
        <x:f>VLOOKUP(C7,'01_丹方主表'!$B$5:$AF$19,16,FALSE)</x:f>
        <x:v>8</x:v>
      </x:c>
      <x:c r="AE7" s="29" t="str">
        <x:f>IF(AC7&gt;=AD7,"通过","失败")</x:f>
        <x:v>通过</x:v>
      </x:c>
      <x:c r="AF7" s="29" t="n">
        <x:f>I7+L7+O7+R7</x:f>
        <x:v>5</x:v>
      </x:c>
      <x:c r="AG7" s="29" t="n">
        <x:f>VLOOKUP(C7,'01_丹方主表'!$B$5:$AF$19,17,FALSE)</x:f>
        <x:v>8</x:v>
      </x:c>
      <x:c r="AH7" s="29" t="str">
        <x:f>IF(AF7&lt;=AG7,"通过","失败")</x:f>
        <x:v>通过</x:v>
      </x:c>
      <x:c r="AI7" s="32" t="n">
        <x:f>VLOOKUP(G7,'03_灵植表'!$B$5:$S$52,12,FALSE)*VLOOKUP(H7,'04_参数字典'!$A$5:$D$7,3,FALSE)*I7+VLOOKUP(J7,'03_灵植表'!$B$5:$S$52,12,FALSE)*VLOOKUP(K7,'04_参数字典'!$A$5:$D$7,3,FALSE)*L7+VLOOKUP(M7,'03_灵植表'!$B$5:$S$52,12,FALSE)*VLOOKUP(N7,'04_参数字典'!$A$5:$D$7,3,FALSE)*O7+VLOOKUP(P7,'03_灵植表'!$B$5:$S$52,12,FALSE)*VLOOKUP(Q7,'04_参数字典'!$A$5:$D$7,3,FALSE)*R7</x:f>
        <x:v>375</x:v>
      </x:c>
      <x:c r="AJ7" s="32" t="n">
        <x:f>VLOOKUP(C7,'01_丹方主表'!$B$5:$AF$19,21,FALSE)*VLOOKUP(AL7,'04_参数字典'!$A$5:$D$7,4,FALSE)</x:f>
        <x:v>640</x:v>
      </x:c>
      <x:c r="AK7" s="32" t="n">
        <x:f>AJ7-AI7</x:f>
        <x:v>265</x:v>
      </x:c>
      <x:c r="AL7" s="29" t="str">
        <x:v>玄</x:v>
      </x:c>
      <x:c r="AM7" s="29" t="str">
        <x:f>VLOOKUP(C7,'01_丹方主表'!$B$5:$AF$19,23,FALSE)</x:f>
        <x:v>cultivation_gain</x:v>
      </x:c>
      <x:c r="AN7" s="33" t="n">
        <x:f>VLOOKUP(C7,'01_丹方主表'!$B$5:$AF$19,24,FALSE)</x:f>
        <x:v>500</x:v>
      </x:c>
      <x:c r="AO7" s="33" t="str">
        <x:f>VLOOKUP(C7,'01_丹方主表'!$B$5:$AF$19,25,FALSE)</x:f>
      </x:c>
      <x:c r="AP7" s="33" t="n">
        <x:f>VLOOKUP(C7,'01_丹方主表'!$B$5:$AF$19,26,FALSE)</x:f>
        <x:v>0</x:v>
      </x:c>
      <x:c r="AQ7" s="29" t="n">
        <x:f>VLOOKUP(C7,'01_丹方主表'!$B$5:$AF$19,22,FALSE)</x:f>
        <x:v>5</x:v>
      </x:c>
      <x:c r="AR7" s="29" t="str">
        <x:f>C7&amp;"|"&amp;G7&amp;"|"&amp;J7&amp;"|"&amp;M7&amp;"|"&amp;P7</x:f>
        <x:v>F-ZJ-01|J-ZJ-01|M-ZJ-TU-P|A-ZJ-W|E-ZJ-GAN-S</x:v>
      </x:c>
      <x:c r="AS7" s="29" t="str">
        <x:f>IF(AND(T7="通过",V7="通过",Y7="通过",AB7="通过",AE7="通过",AH7="通过",AK7&gt;=0),"通过","失败")</x:f>
        <x:v>通过</x:v>
      </x:c>
      <x:c r="AT7" s="16" t="str">
        <x:v>精炼方：高品质材料与药力余量，适合冲击高品丹。</x:v>
      </x:c>
    </x:row>
    <x:row r="8">
      <x:c r="A8" s="23" t="n">
        <x:v>4</x:v>
      </x:c>
      <x:c r="B8" s="23" t="str">
        <x:v>TS-F-ZJ-02-D</x:v>
      </x:c>
      <x:c r="C8" s="23" t="str">
        <x:v>F-ZJ-02</x:v>
      </x:c>
      <x:c r="D8" s="23" t="str">
        <x:f>VLOOKUP(C8,'01_丹方主表'!$B$5:$AF$19,2,FALSE)</x:f>
        <x:v>迅潮丹</x:v>
      </x:c>
      <x:c r="E8" s="23" t="str">
        <x:v>默认</x:v>
      </x:c>
      <x:c r="F8" s="23" t="str">
        <x:v>是</x:v>
      </x:c>
      <x:c r="G8" s="23" t="str">
        <x:v>J-ZJ-02</x:v>
      </x:c>
      <x:c r="H8" s="23" t="str">
        <x:v>灵</x:v>
      </x:c>
      <x:c r="I8" s="23" t="n">
        <x:v>2</x:v>
      </x:c>
      <x:c r="J8" s="23" t="str">
        <x:v>M-ZJ-SHUI-P</x:v>
      </x:c>
      <x:c r="K8" s="23" t="str">
        <x:v>灵</x:v>
      </x:c>
      <x:c r="L8" s="23" t="n">
        <x:v>1</x:v>
      </x:c>
      <x:c r="M8" s="23" t="str">
        <x:v>A-ZJ-P</x:v>
      </x:c>
      <x:c r="N8" s="23" t="str">
        <x:v>灵</x:v>
      </x:c>
      <x:c r="O8" s="23" t="n">
        <x:v>1</x:v>
      </x:c>
      <x:c r="P8" s="23" t="str">
        <x:v>E-ZJ-XIN-P</x:v>
      </x:c>
      <x:c r="Q8" s="23" t="str">
        <x:v>灵</x:v>
      </x:c>
      <x:c r="R8" s="23" t="n">
        <x:v>1</x:v>
      </x:c>
      <x:c r="S8" s="29" t="str">
        <x:f>VLOOKUP(J8,'03_灵植表'!$B$5:$S$52,6,FALSE)</x:f>
        <x:v>水</x:v>
      </x:c>
      <x:c r="T8" s="29" t="str">
        <x:f>IF(S8=VLOOKUP(C8,'01_丹方主表'!$B$5:$AF$19,10,FALSE),"通过","失败")</x:f>
        <x:v>通过</x:v>
      </x:c>
      <x:c r="U8" s="29" t="str">
        <x:f>VLOOKUP(P8,'03_灵植表'!$B$5:$S$52,7,FALSE)</x:f>
        <x:v>辛</x:v>
      </x:c>
      <x:c r="V8" s="29" t="str">
        <x:f>IF(U8=VLOOKUP(C8,'01_丹方主表'!$B$5:$AF$19,11,FALSE),"通过","失败")</x:f>
        <x:v>通过</x:v>
      </x:c>
      <x:c r="W8" s="29" t="n">
        <x:f>VLOOKUP(C8,'01_丹方主表'!$B$5:$AF$19,13,FALSE)</x:f>
        <x:v>1</x:v>
      </x:c>
      <x:c r="X8" s="29" t="n">
        <x:f>VLOOKUP(G8,'03_灵植表'!$B$5:$S$52,9,FALSE)+VLOOKUP(J8,'03_灵植表'!$B$5:$S$52,9,FALSE)+VLOOKUP(M8,'03_灵植表'!$B$5:$S$52,9,FALSE)+VLOOKUP(P8,'03_灵植表'!$B$5:$S$52,9,FALSE)</x:f>
        <x:v>1</x:v>
      </x:c>
      <x:c r="Y8" s="29" t="str">
        <x:f>IF(W8=X8,"通过","失败")</x:f>
        <x:v>通过</x:v>
      </x:c>
      <x:c r="Z8" s="29" t="n">
        <x:f>VLOOKUP(G8,'03_灵植表'!$B$5:$S$52,10,FALSE)*VLOOKUP(H8,'04_参数字典'!$A$5:$D$7,2,FALSE)*I8+VLOOKUP(J8,'03_灵植表'!$B$5:$S$52,10,FALSE)*VLOOKUP(K8,'04_参数字典'!$A$5:$D$7,2,FALSE)*L8+VLOOKUP(M8,'03_灵植表'!$B$5:$S$52,10,FALSE)*VLOOKUP(N8,'04_参数字典'!$A$5:$D$7,2,FALSE)*O8+VLOOKUP(P8,'03_灵植表'!$B$5:$S$52,10,FALSE)*VLOOKUP(Q8,'04_参数字典'!$A$5:$D$7,2,FALSE)*R8</x:f>
        <x:v>33.6</x:v>
      </x:c>
      <x:c r="AA8" s="29" t="n">
        <x:f>VLOOKUP(C8,'01_丹方主表'!$B$5:$AF$19,14,FALSE)</x:f>
        <x:v>24</x:v>
      </x:c>
      <x:c r="AB8" s="29" t="str">
        <x:f>IF(Z8&gt;=AA8,"通过","失败")</x:f>
        <x:v>通过</x:v>
      </x:c>
      <x:c r="AC8" s="29" t="n">
        <x:f>VLOOKUP(G8,'03_灵植表'!$B$5:$S$52,10,FALSE)*VLOOKUP(H8,'04_参数字典'!$A$5:$D$7,2,FALSE)*I8</x:f>
        <x:v>12</x:v>
      </x:c>
      <x:c r="AD8" s="29" t="n">
        <x:f>VLOOKUP(C8,'01_丹方主表'!$B$5:$AF$19,16,FALSE)</x:f>
        <x:v>8</x:v>
      </x:c>
      <x:c r="AE8" s="29" t="str">
        <x:f>IF(AC8&gt;=AD8,"通过","失败")</x:f>
        <x:v>通过</x:v>
      </x:c>
      <x:c r="AF8" s="29" t="n">
        <x:f>I8+L8+O8+R8</x:f>
        <x:v>5</x:v>
      </x:c>
      <x:c r="AG8" s="29" t="n">
        <x:f>VLOOKUP(C8,'01_丹方主表'!$B$5:$AF$19,17,FALSE)</x:f>
        <x:v>8</x:v>
      </x:c>
      <x:c r="AH8" s="29" t="str">
        <x:f>IF(AF8&lt;=AG8,"通过","失败")</x:f>
        <x:v>通过</x:v>
      </x:c>
      <x:c r="AI8" s="32" t="n">
        <x:f>VLOOKUP(G8,'03_灵植表'!$B$5:$S$52,12,FALSE)*VLOOKUP(H8,'04_参数字典'!$A$5:$D$7,3,FALSE)*I8+VLOOKUP(J8,'03_灵植表'!$B$5:$S$52,12,FALSE)*VLOOKUP(K8,'04_参数字典'!$A$5:$D$7,3,FALSE)*L8+VLOOKUP(M8,'03_灵植表'!$B$5:$S$52,12,FALSE)*VLOOKUP(N8,'04_参数字典'!$A$5:$D$7,3,FALSE)*O8+VLOOKUP(P8,'03_灵植表'!$B$5:$S$52,12,FALSE)*VLOOKUP(Q8,'04_参数字典'!$A$5:$D$7,3,FALSE)*R8</x:f>
        <x:v>178.2</x:v>
      </x:c>
      <x:c r="AJ8" s="32" t="n">
        <x:f>VLOOKUP(C8,'01_丹方主表'!$B$5:$AF$19,21,FALSE)*VLOOKUP(AL8,'04_参数字典'!$A$5:$D$7,4,FALSE)</x:f>
        <x:v>340</x:v>
      </x:c>
      <x:c r="AK8" s="32" t="n">
        <x:f>AJ8-AI8</x:f>
        <x:v>161.8</x:v>
      </x:c>
      <x:c r="AL8" s="29" t="str">
        <x:v>灵</x:v>
      </x:c>
      <x:c r="AM8" s="29" t="str">
        <x:f>VLOOKUP(C8,'01_丹方主表'!$B$5:$AF$19,23,FALSE)</x:f>
        <x:v>mana_restore_instant</x:v>
      </x:c>
      <x:c r="AN8" s="33" t="n">
        <x:f>VLOOKUP(C8,'01_丹方主表'!$B$5:$AF$19,24,FALSE)</x:f>
        <x:v>300</x:v>
      </x:c>
      <x:c r="AO8" s="33" t="str">
        <x:f>VLOOKUP(C8,'01_丹方主表'!$B$5:$AF$19,25,FALSE)</x:f>
      </x:c>
      <x:c r="AP8" s="33" t="n">
        <x:f>VLOOKUP(C8,'01_丹方主表'!$B$5:$AF$19,26,FALSE)</x:f>
        <x:v>0</x:v>
      </x:c>
      <x:c r="AQ8" s="29" t="n">
        <x:f>VLOOKUP(C8,'01_丹方主表'!$B$5:$AF$19,22,FALSE)</x:f>
        <x:v>3</x:v>
      </x:c>
      <x:c r="AR8" s="29" t="str">
        <x:f>C8&amp;"|"&amp;G8&amp;"|"&amp;J8&amp;"|"&amp;M8&amp;"|"&amp;P8</x:f>
        <x:v>F-ZJ-02|J-ZJ-02|M-ZJ-SHUI-P|A-ZJ-P|E-ZJ-XIN-P</x:v>
      </x:c>
      <x:c r="AS8" s="29" t="str">
        <x:f>IF(AND(T8="通过",V8="通过",Y8="通过",AB8="通过",AE8="通过",AH8="通过",AK8&gt;=0),"通过","失败")</x:f>
        <x:v>通过</x:v>
      </x:c>
      <x:c r="AT8" s="16" t="str">
        <x:v>师承标准方：材料常见、方性直观，获得丹方即自动填入。</x:v>
      </x:c>
    </x:row>
    <x:row r="9">
      <x:c r="A9" s="23" t="n">
        <x:v>5</x:v>
      </x:c>
      <x:c r="B9" s="23" t="str">
        <x:v>TS-F-ZJ-02-C</x:v>
      </x:c>
      <x:c r="C9" s="23" t="str">
        <x:v>F-ZJ-02</x:v>
      </x:c>
      <x:c r="D9" s="23" t="str">
        <x:f>VLOOKUP(C9,'01_丹方主表'!$B$5:$AF$19,2,FALSE)</x:f>
        <x:v>迅潮丹</x:v>
      </x:c>
      <x:c r="E9" s="23" t="str">
        <x:v>廉价</x:v>
      </x:c>
      <x:c r="F9" s="23" t="str">
        <x:v>否</x:v>
      </x:c>
      <x:c r="G9" s="23" t="str">
        <x:v>J-ZJ-02</x:v>
      </x:c>
      <x:c r="H9" s="23" t="str">
        <x:v>灵</x:v>
      </x:c>
      <x:c r="I9" s="23" t="n">
        <x:v>2</x:v>
      </x:c>
      <x:c r="J9" s="23" t="str">
        <x:v>M-ZJ-SHUI-S</x:v>
      </x:c>
      <x:c r="K9" s="23" t="str">
        <x:v>凡</x:v>
      </x:c>
      <x:c r="L9" s="23" t="n">
        <x:v>2</x:v>
      </x:c>
      <x:c r="M9" s="23" t="str">
        <x:v>A-ZJ-T</x:v>
      </x:c>
      <x:c r="N9" s="23" t="str">
        <x:v>凡</x:v>
      </x:c>
      <x:c r="O9" s="23" t="n">
        <x:v>2</x:v>
      </x:c>
      <x:c r="P9" s="23" t="str">
        <x:v>E-ZJ-XIN-C</x:v>
      </x:c>
      <x:c r="Q9" s="23" t="str">
        <x:v>凡</x:v>
      </x:c>
      <x:c r="R9" s="23" t="n">
        <x:v>1</x:v>
      </x:c>
      <x:c r="S9" s="29" t="str">
        <x:f>VLOOKUP(J9,'03_灵植表'!$B$5:$S$52,6,FALSE)</x:f>
        <x:v>水</x:v>
      </x:c>
      <x:c r="T9" s="29" t="str">
        <x:f>IF(S9=VLOOKUP(C9,'01_丹方主表'!$B$5:$AF$19,10,FALSE),"通过","失败")</x:f>
        <x:v>通过</x:v>
      </x:c>
      <x:c r="U9" s="29" t="str">
        <x:f>VLOOKUP(P9,'03_灵植表'!$B$5:$S$52,7,FALSE)</x:f>
        <x:v>辛</x:v>
      </x:c>
      <x:c r="V9" s="29" t="str">
        <x:f>IF(U9=VLOOKUP(C9,'01_丹方主表'!$B$5:$AF$19,11,FALSE),"通过","失败")</x:f>
        <x:v>通过</x:v>
      </x:c>
      <x:c r="W9" s="29" t="n">
        <x:f>VLOOKUP(C9,'01_丹方主表'!$B$5:$AF$19,13,FALSE)</x:f>
        <x:v>1</x:v>
      </x:c>
      <x:c r="X9" s="29" t="n">
        <x:f>VLOOKUP(G9,'03_灵植表'!$B$5:$S$52,9,FALSE)+VLOOKUP(J9,'03_灵植表'!$B$5:$S$52,9,FALSE)+VLOOKUP(M9,'03_灵植表'!$B$5:$S$52,9,FALSE)+VLOOKUP(P9,'03_灵植表'!$B$5:$S$52,9,FALSE)</x:f>
        <x:v>1</x:v>
      </x:c>
      <x:c r="Y9" s="29" t="str">
        <x:f>IF(W9=X9,"通过","失败")</x:f>
        <x:v>通过</x:v>
      </x:c>
      <x:c r="Z9" s="29" t="n">
        <x:f>VLOOKUP(G9,'03_灵植表'!$B$5:$S$52,10,FALSE)*VLOOKUP(H9,'04_参数字典'!$A$5:$D$7,2,FALSE)*I9+VLOOKUP(J9,'03_灵植表'!$B$5:$S$52,10,FALSE)*VLOOKUP(K9,'04_参数字典'!$A$5:$D$7,2,FALSE)*L9+VLOOKUP(M9,'03_灵植表'!$B$5:$S$52,10,FALSE)*VLOOKUP(N9,'04_参数字典'!$A$5:$D$7,2,FALSE)*O9+VLOOKUP(P9,'03_灵植表'!$B$5:$S$52,10,FALSE)*VLOOKUP(Q9,'04_参数字典'!$A$5:$D$7,2,FALSE)*R9</x:f>
        <x:v>26.4</x:v>
      </x:c>
      <x:c r="AA9" s="29" t="n">
        <x:f>VLOOKUP(C9,'01_丹方主表'!$B$5:$AF$19,14,FALSE)</x:f>
        <x:v>24</x:v>
      </x:c>
      <x:c r="AB9" s="29" t="str">
        <x:f>IF(Z9&gt;=AA9,"通过","失败")</x:f>
        <x:v>通过</x:v>
      </x:c>
      <x:c r="AC9" s="29" t="n">
        <x:f>VLOOKUP(G9,'03_灵植表'!$B$5:$S$52,10,FALSE)*VLOOKUP(H9,'04_参数字典'!$A$5:$D$7,2,FALSE)*I9</x:f>
        <x:v>12</x:v>
      </x:c>
      <x:c r="AD9" s="29" t="n">
        <x:f>VLOOKUP(C9,'01_丹方主表'!$B$5:$AF$19,16,FALSE)</x:f>
        <x:v>8</x:v>
      </x:c>
      <x:c r="AE9" s="29" t="str">
        <x:f>IF(AC9&gt;=AD9,"通过","失败")</x:f>
        <x:v>通过</x:v>
      </x:c>
      <x:c r="AF9" s="29" t="n">
        <x:f>I9+L9+O9+R9</x:f>
        <x:v>7</x:v>
      </x:c>
      <x:c r="AG9" s="29" t="n">
        <x:f>VLOOKUP(C9,'01_丹方主表'!$B$5:$AF$19,17,FALSE)</x:f>
        <x:v>8</x:v>
      </x:c>
      <x:c r="AH9" s="29" t="str">
        <x:f>IF(AF9&lt;=AG9,"通过","失败")</x:f>
        <x:v>通过</x:v>
      </x:c>
      <x:c r="AI9" s="32" t="n">
        <x:f>VLOOKUP(G9,'03_灵植表'!$B$5:$S$52,12,FALSE)*VLOOKUP(H9,'04_参数字典'!$A$5:$D$7,3,FALSE)*I9+VLOOKUP(J9,'03_灵植表'!$B$5:$S$52,12,FALSE)*VLOOKUP(K9,'04_参数字典'!$A$5:$D$7,3,FALSE)*L9+VLOOKUP(M9,'03_灵植表'!$B$5:$S$52,12,FALSE)*VLOOKUP(N9,'04_参数字典'!$A$5:$D$7,3,FALSE)*O9+VLOOKUP(P9,'03_灵植表'!$B$5:$S$52,12,FALSE)*VLOOKUP(Q9,'04_参数字典'!$A$5:$D$7,3,FALSE)*R9</x:f>
        <x:v>122.2</x:v>
      </x:c>
      <x:c r="AJ9" s="32" t="n">
        <x:f>VLOOKUP(C9,'01_丹方主表'!$B$5:$AF$19,21,FALSE)*VLOOKUP(AL9,'04_参数字典'!$A$5:$D$7,4,FALSE)</x:f>
        <x:v>170</x:v>
      </x:c>
      <x:c r="AK9" s="32" t="n">
        <x:f>AJ9-AI9</x:f>
        <x:v>47.8</x:v>
      </x:c>
      <x:c r="AL9" s="29" t="str">
        <x:v>凡</x:v>
      </x:c>
      <x:c r="AM9" s="29" t="str">
        <x:f>VLOOKUP(C9,'01_丹方主表'!$B$5:$AF$19,23,FALSE)</x:f>
        <x:v>mana_restore_instant</x:v>
      </x:c>
      <x:c r="AN9" s="33" t="n">
        <x:f>VLOOKUP(C9,'01_丹方主表'!$B$5:$AF$19,24,FALSE)</x:f>
        <x:v>300</x:v>
      </x:c>
      <x:c r="AO9" s="33" t="str">
        <x:f>VLOOKUP(C9,'01_丹方主表'!$B$5:$AF$19,25,FALSE)</x:f>
      </x:c>
      <x:c r="AP9" s="33" t="n">
        <x:f>VLOOKUP(C9,'01_丹方主表'!$B$5:$AF$19,26,FALSE)</x:f>
        <x:v>0</x:v>
      </x:c>
      <x:c r="AQ9" s="29" t="n">
        <x:f>VLOOKUP(C9,'01_丹方主表'!$B$5:$AF$19,22,FALSE)</x:f>
        <x:v>3</x:v>
      </x:c>
      <x:c r="AR9" s="29" t="str">
        <x:f>C9&amp;"|"&amp;G9&amp;"|"&amp;J9&amp;"|"&amp;M9&amp;"|"&amp;P9</x:f>
        <x:v>F-ZJ-02|J-ZJ-02|M-ZJ-SHUI-S|A-ZJ-T|E-ZJ-XIN-C</x:v>
      </x:c>
      <x:c r="AS9" s="29" t="str">
        <x:f>IF(AND(T9="通过",V9="通过",Y9="通过",AB9="通过",AE9="通过",AH9="通过",AK9&gt;=0),"通过","失败")</x:f>
        <x:v>通过</x:v>
      </x:c>
      <x:c r="AT9" s="16" t="str">
        <x:v>低成本方：辅材便宜但多占份数，适合卖药与资源紧张时。</x:v>
      </x:c>
    </x:row>
    <x:row r="10">
      <x:c r="A10" s="23" t="n">
        <x:v>6</x:v>
      </x:c>
      <x:c r="B10" s="23" t="str">
        <x:v>TS-F-ZJ-02-R</x:v>
      </x:c>
      <x:c r="C10" s="23" t="str">
        <x:v>F-ZJ-02</x:v>
      </x:c>
      <x:c r="D10" s="23" t="str">
        <x:f>VLOOKUP(C10,'01_丹方主表'!$B$5:$AF$19,2,FALSE)</x:f>
        <x:v>迅潮丹</x:v>
      </x:c>
      <x:c r="E10" s="23" t="str">
        <x:v>精炼</x:v>
      </x:c>
      <x:c r="F10" s="23" t="str">
        <x:v>否</x:v>
      </x:c>
      <x:c r="G10" s="23" t="str">
        <x:v>J-ZJ-02</x:v>
      </x:c>
      <x:c r="H10" s="23" t="str">
        <x:v>玄</x:v>
      </x:c>
      <x:c r="I10" s="23" t="n">
        <x:v>2</x:v>
      </x:c>
      <x:c r="J10" s="23" t="str">
        <x:v>M-ZJ-SHUI-P</x:v>
      </x:c>
      <x:c r="K10" s="23" t="str">
        <x:v>玄</x:v>
      </x:c>
      <x:c r="L10" s="23" t="n">
        <x:v>1</x:v>
      </x:c>
      <x:c r="M10" s="23" t="str">
        <x:v>A-ZJ-C</x:v>
      </x:c>
      <x:c r="N10" s="23" t="str">
        <x:v>玄</x:v>
      </x:c>
      <x:c r="O10" s="23" t="n">
        <x:v>1</x:v>
      </x:c>
      <x:c r="P10" s="23" t="str">
        <x:v>E-ZJ-XIN-S</x:v>
      </x:c>
      <x:c r="Q10" s="23" t="str">
        <x:v>玄</x:v>
      </x:c>
      <x:c r="R10" s="23" t="n">
        <x:v>1</x:v>
      </x:c>
      <x:c r="S10" s="29" t="str">
        <x:f>VLOOKUP(J10,'03_灵植表'!$B$5:$S$52,6,FALSE)</x:f>
        <x:v>水</x:v>
      </x:c>
      <x:c r="T10" s="29" t="str">
        <x:f>IF(S10=VLOOKUP(C10,'01_丹方主表'!$B$5:$AF$19,10,FALSE),"通过","失败")</x:f>
        <x:v>通过</x:v>
      </x:c>
      <x:c r="U10" s="29" t="str">
        <x:f>VLOOKUP(P10,'03_灵植表'!$B$5:$S$52,7,FALSE)</x:f>
        <x:v>辛</x:v>
      </x:c>
      <x:c r="V10" s="29" t="str">
        <x:f>IF(U10=VLOOKUP(C10,'01_丹方主表'!$B$5:$AF$19,11,FALSE),"通过","失败")</x:f>
        <x:v>通过</x:v>
      </x:c>
      <x:c r="W10" s="29" t="n">
        <x:f>VLOOKUP(C10,'01_丹方主表'!$B$5:$AF$19,13,FALSE)</x:f>
        <x:v>1</x:v>
      </x:c>
      <x:c r="X10" s="29" t="n">
        <x:f>VLOOKUP(G10,'03_灵植表'!$B$5:$S$52,9,FALSE)+VLOOKUP(J10,'03_灵植表'!$B$5:$S$52,9,FALSE)+VLOOKUP(M10,'03_灵植表'!$B$5:$S$52,9,FALSE)+VLOOKUP(P10,'03_灵植表'!$B$5:$S$52,9,FALSE)</x:f>
        <x:v>1</x:v>
      </x:c>
      <x:c r="Y10" s="29" t="str">
        <x:f>IF(W10=X10,"通过","失败")</x:f>
        <x:v>通过</x:v>
      </x:c>
      <x:c r="Z10" s="29" t="n">
        <x:f>VLOOKUP(G10,'03_灵植表'!$B$5:$S$52,10,FALSE)*VLOOKUP(H10,'04_参数字典'!$A$5:$D$7,2,FALSE)*I10+VLOOKUP(J10,'03_灵植表'!$B$5:$S$52,10,FALSE)*VLOOKUP(K10,'04_参数字典'!$A$5:$D$7,2,FALSE)*L10+VLOOKUP(M10,'03_灵植表'!$B$5:$S$52,10,FALSE)*VLOOKUP(N10,'04_参数字典'!$A$5:$D$7,2,FALSE)*O10+VLOOKUP(P10,'03_灵植表'!$B$5:$S$52,10,FALSE)*VLOOKUP(Q10,'04_参数字典'!$A$5:$D$7,2,FALSE)*R10</x:f>
        <x:v>46.8</x:v>
      </x:c>
      <x:c r="AA10" s="29" t="n">
        <x:f>VLOOKUP(C10,'01_丹方主表'!$B$5:$AF$19,14,FALSE)</x:f>
        <x:v>24</x:v>
      </x:c>
      <x:c r="AB10" s="29" t="str">
        <x:f>IF(Z10&gt;=AA10,"通过","失败")</x:f>
        <x:v>通过</x:v>
      </x:c>
      <x:c r="AC10" s="29" t="n">
        <x:f>VLOOKUP(G10,'03_灵植表'!$B$5:$S$52,10,FALSE)*VLOOKUP(H10,'04_参数字典'!$A$5:$D$7,2,FALSE)*I10</x:f>
        <x:v>18</x:v>
      </x:c>
      <x:c r="AD10" s="29" t="n">
        <x:f>VLOOKUP(C10,'01_丹方主表'!$B$5:$AF$19,16,FALSE)</x:f>
        <x:v>8</x:v>
      </x:c>
      <x:c r="AE10" s="29" t="str">
        <x:f>IF(AC10&gt;=AD10,"通过","失败")</x:f>
        <x:v>通过</x:v>
      </x:c>
      <x:c r="AF10" s="29" t="n">
        <x:f>I10+L10+O10+R10</x:f>
        <x:v>5</x:v>
      </x:c>
      <x:c r="AG10" s="29" t="n">
        <x:f>VLOOKUP(C10,'01_丹方主表'!$B$5:$AF$19,17,FALSE)</x:f>
        <x:v>8</x:v>
      </x:c>
      <x:c r="AH10" s="29" t="str">
        <x:f>IF(AF10&lt;=AG10,"通过","失败")</x:f>
        <x:v>通过</x:v>
      </x:c>
      <x:c r="AI10" s="32" t="n">
        <x:f>VLOOKUP(G10,'03_灵植表'!$B$5:$S$52,12,FALSE)*VLOOKUP(H10,'04_参数字典'!$A$5:$D$7,3,FALSE)*I10+VLOOKUP(J10,'03_灵植表'!$B$5:$S$52,12,FALSE)*VLOOKUP(K10,'04_参数字典'!$A$5:$D$7,3,FALSE)*L10+VLOOKUP(M10,'03_灵植表'!$B$5:$S$52,12,FALSE)*VLOOKUP(N10,'04_参数字典'!$A$5:$D$7,3,FALSE)*O10+VLOOKUP(P10,'03_灵植表'!$B$5:$S$52,12,FALSE)*VLOOKUP(Q10,'04_参数字典'!$A$5:$D$7,3,FALSE)*R10</x:f>
        <x:v>355</x:v>
      </x:c>
      <x:c r="AJ10" s="32" t="n">
        <x:f>VLOOKUP(C10,'01_丹方主表'!$B$5:$AF$19,21,FALSE)*VLOOKUP(AL10,'04_参数字典'!$A$5:$D$7,4,FALSE)</x:f>
        <x:v>680</x:v>
      </x:c>
      <x:c r="AK10" s="32" t="n">
        <x:f>AJ10-AI10</x:f>
        <x:v>325</x:v>
      </x:c>
      <x:c r="AL10" s="29" t="str">
        <x:v>玄</x:v>
      </x:c>
      <x:c r="AM10" s="29" t="str">
        <x:f>VLOOKUP(C10,'01_丹方主表'!$B$5:$AF$19,23,FALSE)</x:f>
        <x:v>mana_restore_instant</x:v>
      </x:c>
      <x:c r="AN10" s="33" t="n">
        <x:f>VLOOKUP(C10,'01_丹方主表'!$B$5:$AF$19,24,FALSE)</x:f>
        <x:v>300</x:v>
      </x:c>
      <x:c r="AO10" s="33" t="str">
        <x:f>VLOOKUP(C10,'01_丹方主表'!$B$5:$AF$19,25,FALSE)</x:f>
      </x:c>
      <x:c r="AP10" s="33" t="n">
        <x:f>VLOOKUP(C10,'01_丹方主表'!$B$5:$AF$19,26,FALSE)</x:f>
        <x:v>0</x:v>
      </x:c>
      <x:c r="AQ10" s="29" t="n">
        <x:f>VLOOKUP(C10,'01_丹方主表'!$B$5:$AF$19,22,FALSE)</x:f>
        <x:v>3</x:v>
      </x:c>
      <x:c r="AR10" s="29" t="str">
        <x:f>C10&amp;"|"&amp;G10&amp;"|"&amp;J10&amp;"|"&amp;M10&amp;"|"&amp;P10</x:f>
        <x:v>F-ZJ-02|J-ZJ-02|M-ZJ-SHUI-P|A-ZJ-C|E-ZJ-XIN-S</x:v>
      </x:c>
      <x:c r="AS10" s="29" t="str">
        <x:f>IF(AND(T10="通过",V10="通过",Y10="通过",AB10="通过",AE10="通过",AH10="通过",AK10&gt;=0),"通过","失败")</x:f>
        <x:v>通过</x:v>
      </x:c>
      <x:c r="AT10" s="16" t="str">
        <x:v>精炼方：高品质材料与药力余量，适合冲击高品丹。</x:v>
      </x:c>
    </x:row>
    <x:row r="11">
      <x:c r="A11" s="23" t="n">
        <x:v>7</x:v>
      </x:c>
      <x:c r="B11" s="23" t="str">
        <x:v>TS-F-ZJ-03-D</x:v>
      </x:c>
      <x:c r="C11" s="23" t="str">
        <x:v>F-ZJ-03</x:v>
      </x:c>
      <x:c r="D11" s="23" t="str">
        <x:f>VLOOKUP(C11,'01_丹方主表'!$B$5:$AF$19,2,FALSE)</x:f>
        <x:v>绵泉丹</x:v>
      </x:c>
      <x:c r="E11" s="23" t="str">
        <x:v>默认</x:v>
      </x:c>
      <x:c r="F11" s="23" t="str">
        <x:v>是</x:v>
      </x:c>
      <x:c r="G11" s="23" t="str">
        <x:v>J-ZJ-02</x:v>
      </x:c>
      <x:c r="H11" s="23" t="str">
        <x:v>灵</x:v>
      </x:c>
      <x:c r="I11" s="23" t="n">
        <x:v>2</x:v>
      </x:c>
      <x:c r="J11" s="23" t="str">
        <x:v>M-ZJ-SHUI-P</x:v>
      </x:c>
      <x:c r="K11" s="23" t="str">
        <x:v>灵</x:v>
      </x:c>
      <x:c r="L11" s="23" t="n">
        <x:v>1</x:v>
      </x:c>
      <x:c r="M11" s="23" t="str">
        <x:v>A-ZJ-C</x:v>
      </x:c>
      <x:c r="N11" s="23" t="str">
        <x:v>灵</x:v>
      </x:c>
      <x:c r="O11" s="23" t="n">
        <x:v>1</x:v>
      </x:c>
      <x:c r="P11" s="23" t="str">
        <x:v>E-ZJ-XIN-P</x:v>
      </x:c>
      <x:c r="Q11" s="23" t="str">
        <x:v>灵</x:v>
      </x:c>
      <x:c r="R11" s="23" t="n">
        <x:v>1</x:v>
      </x:c>
      <x:c r="S11" s="29" t="str">
        <x:f>VLOOKUP(J11,'03_灵植表'!$B$5:$S$52,6,FALSE)</x:f>
        <x:v>水</x:v>
      </x:c>
      <x:c r="T11" s="29" t="str">
        <x:f>IF(S11=VLOOKUP(C11,'01_丹方主表'!$B$5:$AF$19,10,FALSE),"通过","失败")</x:f>
        <x:v>通过</x:v>
      </x:c>
      <x:c r="U11" s="29" t="str">
        <x:f>VLOOKUP(P11,'03_灵植表'!$B$5:$S$52,7,FALSE)</x:f>
        <x:v>辛</x:v>
      </x:c>
      <x:c r="V11" s="29" t="str">
        <x:f>IF(U11=VLOOKUP(C11,'01_丹方主表'!$B$5:$AF$19,11,FALSE),"通过","失败")</x:f>
        <x:v>通过</x:v>
      </x:c>
      <x:c r="W11" s="29" t="n">
        <x:f>VLOOKUP(C11,'01_丹方主表'!$B$5:$AF$19,13,FALSE)</x:f>
        <x:v>0</x:v>
      </x:c>
      <x:c r="X11" s="29" t="n">
        <x:f>VLOOKUP(G11,'03_灵植表'!$B$5:$S$52,9,FALSE)+VLOOKUP(J11,'03_灵植表'!$B$5:$S$52,9,FALSE)+VLOOKUP(M11,'03_灵植表'!$B$5:$S$52,9,FALSE)+VLOOKUP(P11,'03_灵植表'!$B$5:$S$52,9,FALSE)</x:f>
        <x:v>0</x:v>
      </x:c>
      <x:c r="Y11" s="29" t="str">
        <x:f>IF(W11=X11,"通过","失败")</x:f>
        <x:v>通过</x:v>
      </x:c>
      <x:c r="Z11" s="29" t="n">
        <x:f>VLOOKUP(G11,'03_灵植表'!$B$5:$S$52,10,FALSE)*VLOOKUP(H11,'04_参数字典'!$A$5:$D$7,2,FALSE)*I11+VLOOKUP(J11,'03_灵植表'!$B$5:$S$52,10,FALSE)*VLOOKUP(K11,'04_参数字典'!$A$5:$D$7,2,FALSE)*L11+VLOOKUP(M11,'03_灵植表'!$B$5:$S$52,10,FALSE)*VLOOKUP(N11,'04_参数字典'!$A$5:$D$7,2,FALSE)*O11+VLOOKUP(P11,'03_灵植表'!$B$5:$S$52,10,FALSE)*VLOOKUP(Q11,'04_参数字典'!$A$5:$D$7,2,FALSE)*R11</x:f>
        <x:v>32.4</x:v>
      </x:c>
      <x:c r="AA11" s="29" t="n">
        <x:f>VLOOKUP(C11,'01_丹方主表'!$B$5:$AF$19,14,FALSE)</x:f>
        <x:v>24</x:v>
      </x:c>
      <x:c r="AB11" s="29" t="str">
        <x:f>IF(Z11&gt;=AA11,"通过","失败")</x:f>
        <x:v>通过</x:v>
      </x:c>
      <x:c r="AC11" s="29" t="n">
        <x:f>VLOOKUP(G11,'03_灵植表'!$B$5:$S$52,10,FALSE)*VLOOKUP(H11,'04_参数字典'!$A$5:$D$7,2,FALSE)*I11</x:f>
        <x:v>12</x:v>
      </x:c>
      <x:c r="AD11" s="29" t="n">
        <x:f>VLOOKUP(C11,'01_丹方主表'!$B$5:$AF$19,16,FALSE)</x:f>
        <x:v>8</x:v>
      </x:c>
      <x:c r="AE11" s="29" t="str">
        <x:f>IF(AC11&gt;=AD11,"通过","失败")</x:f>
        <x:v>通过</x:v>
      </x:c>
      <x:c r="AF11" s="29" t="n">
        <x:f>I11+L11+O11+R11</x:f>
        <x:v>5</x:v>
      </x:c>
      <x:c r="AG11" s="29" t="n">
        <x:f>VLOOKUP(C11,'01_丹方主表'!$B$5:$AF$19,17,FALSE)</x:f>
        <x:v>8</x:v>
      </x:c>
      <x:c r="AH11" s="29" t="str">
        <x:f>IF(AF11&lt;=AG11,"通过","失败")</x:f>
        <x:v>通过</x:v>
      </x:c>
      <x:c r="AI11" s="32" t="n">
        <x:f>VLOOKUP(G11,'03_灵植表'!$B$5:$S$52,12,FALSE)*VLOOKUP(H11,'04_参数字典'!$A$5:$D$7,3,FALSE)*I11+VLOOKUP(J11,'03_灵植表'!$B$5:$S$52,12,FALSE)*VLOOKUP(K11,'04_参数字典'!$A$5:$D$7,3,FALSE)*L11+VLOOKUP(M11,'03_灵植表'!$B$5:$S$52,12,FALSE)*VLOOKUP(N11,'04_参数字典'!$A$5:$D$7,3,FALSE)*O11+VLOOKUP(P11,'03_灵植表'!$B$5:$S$52,12,FALSE)*VLOOKUP(Q11,'04_参数字典'!$A$5:$D$7,3,FALSE)*R11</x:f>
        <x:v>167.2</x:v>
      </x:c>
      <x:c r="AJ11" s="32" t="n">
        <x:f>VLOOKUP(C11,'01_丹方主表'!$B$5:$AF$19,21,FALSE)*VLOOKUP(AL11,'04_参数字典'!$A$5:$D$7,4,FALSE)</x:f>
        <x:v>300</x:v>
      </x:c>
      <x:c r="AK11" s="32" t="n">
        <x:f>AJ11-AI11</x:f>
        <x:v>132.8</x:v>
      </x:c>
      <x:c r="AL11" s="29" t="str">
        <x:v>灵</x:v>
      </x:c>
      <x:c r="AM11" s="29" t="str">
        <x:f>VLOOKUP(C11,'01_丹方主表'!$B$5:$AF$19,23,FALSE)</x:f>
        <x:v>mana_restore_tick</x:v>
      </x:c>
      <x:c r="AN11" s="33" t="n">
        <x:f>VLOOKUP(C11,'01_丹方主表'!$B$5:$AF$19,24,FALSE)</x:f>
        <x:v>80</x:v>
      </x:c>
      <x:c r="AO11" s="33" t="str">
        <x:f>VLOOKUP(C11,'01_丹方主表'!$B$5:$AF$19,25,FALSE)</x:f>
        <x:v>duration_round</x:v>
      </x:c>
      <x:c r="AP11" s="33" t="n">
        <x:f>VLOOKUP(C11,'01_丹方主表'!$B$5:$AF$19,26,FALSE)</x:f>
        <x:v>5</x:v>
      </x:c>
      <x:c r="AQ11" s="29" t="n">
        <x:f>VLOOKUP(C11,'01_丹方主表'!$B$5:$AF$19,22,FALSE)</x:f>
        <x:v>2</x:v>
      </x:c>
      <x:c r="AR11" s="29" t="str">
        <x:f>C11&amp;"|"&amp;G11&amp;"|"&amp;J11&amp;"|"&amp;M11&amp;"|"&amp;P11</x:f>
        <x:v>F-ZJ-03|J-ZJ-02|M-ZJ-SHUI-P|A-ZJ-C|E-ZJ-XIN-P</x:v>
      </x:c>
      <x:c r="AS11" s="29" t="str">
        <x:f>IF(AND(T11="通过",V11="通过",Y11="通过",AB11="通过",AE11="通过",AH11="通过",AK11&gt;=0),"通过","失败")</x:f>
        <x:v>通过</x:v>
      </x:c>
      <x:c r="AT11" s="16" t="str">
        <x:v>师承标准方：材料常见、方性直观，获得丹方即自动填入。</x:v>
      </x:c>
    </x:row>
    <x:row r="12">
      <x:c r="A12" s="23" t="n">
        <x:v>8</x:v>
      </x:c>
      <x:c r="B12" s="23" t="str">
        <x:v>TS-F-ZJ-03-C</x:v>
      </x:c>
      <x:c r="C12" s="23" t="str">
        <x:v>F-ZJ-03</x:v>
      </x:c>
      <x:c r="D12" s="23" t="str">
        <x:f>VLOOKUP(C12,'01_丹方主表'!$B$5:$AF$19,2,FALSE)</x:f>
        <x:v>绵泉丹</x:v>
      </x:c>
      <x:c r="E12" s="23" t="str">
        <x:v>廉价</x:v>
      </x:c>
      <x:c r="F12" s="23" t="str">
        <x:v>否</x:v>
      </x:c>
      <x:c r="G12" s="23" t="str">
        <x:v>J-ZJ-02</x:v>
      </x:c>
      <x:c r="H12" s="23" t="str">
        <x:v>灵</x:v>
      </x:c>
      <x:c r="I12" s="23" t="n">
        <x:v>2</x:v>
      </x:c>
      <x:c r="J12" s="23" t="str">
        <x:v>M-ZJ-SHUI-C</x:v>
      </x:c>
      <x:c r="K12" s="23" t="str">
        <x:v>凡</x:v>
      </x:c>
      <x:c r="L12" s="23" t="n">
        <x:v>2</x:v>
      </x:c>
      <x:c r="M12" s="23" t="str">
        <x:v>A-ZJ-T</x:v>
      </x:c>
      <x:c r="N12" s="23" t="str">
        <x:v>凡</x:v>
      </x:c>
      <x:c r="O12" s="23" t="n">
        <x:v>2</x:v>
      </x:c>
      <x:c r="P12" s="23" t="str">
        <x:v>E-ZJ-XIN-C</x:v>
      </x:c>
      <x:c r="Q12" s="23" t="str">
        <x:v>凡</x:v>
      </x:c>
      <x:c r="R12" s="23" t="n">
        <x:v>1</x:v>
      </x:c>
      <x:c r="S12" s="29" t="str">
        <x:f>VLOOKUP(J12,'03_灵植表'!$B$5:$S$52,6,FALSE)</x:f>
        <x:v>水</x:v>
      </x:c>
      <x:c r="T12" s="29" t="str">
        <x:f>IF(S12=VLOOKUP(C12,'01_丹方主表'!$B$5:$AF$19,10,FALSE),"通过","失败")</x:f>
        <x:v>通过</x:v>
      </x:c>
      <x:c r="U12" s="29" t="str">
        <x:f>VLOOKUP(P12,'03_灵植表'!$B$5:$S$52,7,FALSE)</x:f>
        <x:v>辛</x:v>
      </x:c>
      <x:c r="V12" s="29" t="str">
        <x:f>IF(U12=VLOOKUP(C12,'01_丹方主表'!$B$5:$AF$19,11,FALSE),"通过","失败")</x:f>
        <x:v>通过</x:v>
      </x:c>
      <x:c r="W12" s="29" t="n">
        <x:f>VLOOKUP(C12,'01_丹方主表'!$B$5:$AF$19,13,FALSE)</x:f>
        <x:v>0</x:v>
      </x:c>
      <x:c r="X12" s="29" t="n">
        <x:f>VLOOKUP(G12,'03_灵植表'!$B$5:$S$52,9,FALSE)+VLOOKUP(J12,'03_灵植表'!$B$5:$S$52,9,FALSE)+VLOOKUP(M12,'03_灵植表'!$B$5:$S$52,9,FALSE)+VLOOKUP(P12,'03_灵植表'!$B$5:$S$52,9,FALSE)</x:f>
        <x:v>0</x:v>
      </x:c>
      <x:c r="Y12" s="29" t="str">
        <x:f>IF(W12=X12,"通过","失败")</x:f>
        <x:v>通过</x:v>
      </x:c>
      <x:c r="Z12" s="29" t="n">
        <x:f>VLOOKUP(G12,'03_灵植表'!$B$5:$S$52,10,FALSE)*VLOOKUP(H12,'04_参数字典'!$A$5:$D$7,2,FALSE)*I12+VLOOKUP(J12,'03_灵植表'!$B$5:$S$52,10,FALSE)*VLOOKUP(K12,'04_参数字典'!$A$5:$D$7,2,FALSE)*L12+VLOOKUP(M12,'03_灵植表'!$B$5:$S$52,10,FALSE)*VLOOKUP(N12,'04_参数字典'!$A$5:$D$7,2,FALSE)*O12+VLOOKUP(P12,'03_灵植表'!$B$5:$S$52,10,FALSE)*VLOOKUP(Q12,'04_参数字典'!$A$5:$D$7,2,FALSE)*R12</x:f>
        <x:v>25.2</x:v>
      </x:c>
      <x:c r="AA12" s="29" t="n">
        <x:f>VLOOKUP(C12,'01_丹方主表'!$B$5:$AF$19,14,FALSE)</x:f>
        <x:v>24</x:v>
      </x:c>
      <x:c r="AB12" s="29" t="str">
        <x:f>IF(Z12&gt;=AA12,"通过","失败")</x:f>
        <x:v>通过</x:v>
      </x:c>
      <x:c r="AC12" s="29" t="n">
        <x:f>VLOOKUP(G12,'03_灵植表'!$B$5:$S$52,10,FALSE)*VLOOKUP(H12,'04_参数字典'!$A$5:$D$7,2,FALSE)*I12</x:f>
        <x:v>12</x:v>
      </x:c>
      <x:c r="AD12" s="29" t="n">
        <x:f>VLOOKUP(C12,'01_丹方主表'!$B$5:$AF$19,16,FALSE)</x:f>
        <x:v>8</x:v>
      </x:c>
      <x:c r="AE12" s="29" t="str">
        <x:f>IF(AC12&gt;=AD12,"通过","失败")</x:f>
        <x:v>通过</x:v>
      </x:c>
      <x:c r="AF12" s="29" t="n">
        <x:f>I12+L12+O12+R12</x:f>
        <x:v>7</x:v>
      </x:c>
      <x:c r="AG12" s="29" t="n">
        <x:f>VLOOKUP(C12,'01_丹方主表'!$B$5:$AF$19,17,FALSE)</x:f>
        <x:v>8</x:v>
      </x:c>
      <x:c r="AH12" s="29" t="str">
        <x:f>IF(AF12&lt;=AG12,"通过","失败")</x:f>
        <x:v>通过</x:v>
      </x:c>
      <x:c r="AI12" s="32" t="n">
        <x:f>VLOOKUP(G12,'03_灵植表'!$B$5:$S$52,12,FALSE)*VLOOKUP(H12,'04_参数字典'!$A$5:$D$7,3,FALSE)*I12+VLOOKUP(J12,'03_灵植表'!$B$5:$S$52,12,FALSE)*VLOOKUP(K12,'04_参数字典'!$A$5:$D$7,3,FALSE)*L12+VLOOKUP(M12,'03_灵植表'!$B$5:$S$52,12,FALSE)*VLOOKUP(N12,'04_参数字典'!$A$5:$D$7,3,FALSE)*O12+VLOOKUP(P12,'03_灵植表'!$B$5:$S$52,12,FALSE)*VLOOKUP(Q12,'04_参数字典'!$A$5:$D$7,3,FALSE)*R12</x:f>
        <x:v>116.2</x:v>
      </x:c>
      <x:c r="AJ12" s="32" t="n">
        <x:f>VLOOKUP(C12,'01_丹方主表'!$B$5:$AF$19,21,FALSE)*VLOOKUP(AL12,'04_参数字典'!$A$5:$D$7,4,FALSE)</x:f>
        <x:v>150</x:v>
      </x:c>
      <x:c r="AK12" s="32" t="n">
        <x:f>AJ12-AI12</x:f>
        <x:v>33.8</x:v>
      </x:c>
      <x:c r="AL12" s="29" t="str">
        <x:v>凡</x:v>
      </x:c>
      <x:c r="AM12" s="29" t="str">
        <x:f>VLOOKUP(C12,'01_丹方主表'!$B$5:$AF$19,23,FALSE)</x:f>
        <x:v>mana_restore_tick</x:v>
      </x:c>
      <x:c r="AN12" s="33" t="n">
        <x:f>VLOOKUP(C12,'01_丹方主表'!$B$5:$AF$19,24,FALSE)</x:f>
        <x:v>80</x:v>
      </x:c>
      <x:c r="AO12" s="33" t="str">
        <x:f>VLOOKUP(C12,'01_丹方主表'!$B$5:$AF$19,25,FALSE)</x:f>
        <x:v>duration_round</x:v>
      </x:c>
      <x:c r="AP12" s="33" t="n">
        <x:f>VLOOKUP(C12,'01_丹方主表'!$B$5:$AF$19,26,FALSE)</x:f>
        <x:v>5</x:v>
      </x:c>
      <x:c r="AQ12" s="29" t="n">
        <x:f>VLOOKUP(C12,'01_丹方主表'!$B$5:$AF$19,22,FALSE)</x:f>
        <x:v>2</x:v>
      </x:c>
      <x:c r="AR12" s="29" t="str">
        <x:f>C12&amp;"|"&amp;G12&amp;"|"&amp;J12&amp;"|"&amp;M12&amp;"|"&amp;P12</x:f>
        <x:v>F-ZJ-03|J-ZJ-02|M-ZJ-SHUI-C|A-ZJ-T|E-ZJ-XIN-C</x:v>
      </x:c>
      <x:c r="AS12" s="29" t="str">
        <x:f>IF(AND(T12="通过",V12="通过",Y12="通过",AB12="通过",AE12="通过",AH12="通过",AK12&gt;=0),"通过","失败")</x:f>
        <x:v>通过</x:v>
      </x:c>
      <x:c r="AT12" s="16" t="str">
        <x:v>低成本方：辅材便宜但多占份数，适合卖药与资源紧张时。</x:v>
      </x:c>
    </x:row>
    <x:row r="13">
      <x:c r="A13" s="23" t="n">
        <x:v>9</x:v>
      </x:c>
      <x:c r="B13" s="23" t="str">
        <x:v>TS-F-ZJ-03-R</x:v>
      </x:c>
      <x:c r="C13" s="23" t="str">
        <x:v>F-ZJ-03</x:v>
      </x:c>
      <x:c r="D13" s="23" t="str">
        <x:f>VLOOKUP(C13,'01_丹方主表'!$B$5:$AF$19,2,FALSE)</x:f>
        <x:v>绵泉丹</x:v>
      </x:c>
      <x:c r="E13" s="23" t="str">
        <x:v>精炼</x:v>
      </x:c>
      <x:c r="F13" s="23" t="str">
        <x:v>否</x:v>
      </x:c>
      <x:c r="G13" s="23" t="str">
        <x:v>J-ZJ-02</x:v>
      </x:c>
      <x:c r="H13" s="23" t="str">
        <x:v>玄</x:v>
      </x:c>
      <x:c r="I13" s="23" t="n">
        <x:v>2</x:v>
      </x:c>
      <x:c r="J13" s="23" t="str">
        <x:v>M-ZJ-SHUI-S</x:v>
      </x:c>
      <x:c r="K13" s="23" t="str">
        <x:v>玄</x:v>
      </x:c>
      <x:c r="L13" s="23" t="n">
        <x:v>1</x:v>
      </x:c>
      <x:c r="M13" s="23" t="str">
        <x:v>A-ZJ-P</x:v>
      </x:c>
      <x:c r="N13" s="23" t="str">
        <x:v>玄</x:v>
      </x:c>
      <x:c r="O13" s="23" t="n">
        <x:v>1</x:v>
      </x:c>
      <x:c r="P13" s="23" t="str">
        <x:v>E-ZJ-XIN-P</x:v>
      </x:c>
      <x:c r="Q13" s="23" t="str">
        <x:v>玄</x:v>
      </x:c>
      <x:c r="R13" s="23" t="n">
        <x:v>1</x:v>
      </x:c>
      <x:c r="S13" s="29" t="str">
        <x:f>VLOOKUP(J13,'03_灵植表'!$B$5:$S$52,6,FALSE)</x:f>
        <x:v>水</x:v>
      </x:c>
      <x:c r="T13" s="29" t="str">
        <x:f>IF(S13=VLOOKUP(C13,'01_丹方主表'!$B$5:$AF$19,10,FALSE),"通过","失败")</x:f>
        <x:v>通过</x:v>
      </x:c>
      <x:c r="U13" s="29" t="str">
        <x:f>VLOOKUP(P13,'03_灵植表'!$B$5:$S$52,7,FALSE)</x:f>
        <x:v>辛</x:v>
      </x:c>
      <x:c r="V13" s="29" t="str">
        <x:f>IF(U13=VLOOKUP(C13,'01_丹方主表'!$B$5:$AF$19,11,FALSE),"通过","失败")</x:f>
        <x:v>通过</x:v>
      </x:c>
      <x:c r="W13" s="29" t="n">
        <x:f>VLOOKUP(C13,'01_丹方主表'!$B$5:$AF$19,13,FALSE)</x:f>
        <x:v>0</x:v>
      </x:c>
      <x:c r="X13" s="29" t="n">
        <x:f>VLOOKUP(G13,'03_灵植表'!$B$5:$S$52,9,FALSE)+VLOOKUP(J13,'03_灵植表'!$B$5:$S$52,9,FALSE)+VLOOKUP(M13,'03_灵植表'!$B$5:$S$52,9,FALSE)+VLOOKUP(P13,'03_灵植表'!$B$5:$S$52,9,FALSE)</x:f>
        <x:v>0</x:v>
      </x:c>
      <x:c r="Y13" s="29" t="str">
        <x:f>IF(W13=X13,"通过","失败")</x:f>
        <x:v>通过</x:v>
      </x:c>
      <x:c r="Z13" s="29" t="n">
        <x:f>VLOOKUP(G13,'03_灵植表'!$B$5:$S$52,10,FALSE)*VLOOKUP(H13,'04_参数字典'!$A$5:$D$7,2,FALSE)*I13+VLOOKUP(J13,'03_灵植表'!$B$5:$S$52,10,FALSE)*VLOOKUP(K13,'04_参数字典'!$A$5:$D$7,2,FALSE)*L13+VLOOKUP(M13,'03_灵植表'!$B$5:$S$52,10,FALSE)*VLOOKUP(N13,'04_参数字典'!$A$5:$D$7,2,FALSE)*O13+VLOOKUP(P13,'03_灵植表'!$B$5:$S$52,10,FALSE)*VLOOKUP(Q13,'04_参数字典'!$A$5:$D$7,2,FALSE)*R13</x:f>
        <x:v>48.599999999999994</x:v>
      </x:c>
      <x:c r="AA13" s="29" t="n">
        <x:f>VLOOKUP(C13,'01_丹方主表'!$B$5:$AF$19,14,FALSE)</x:f>
        <x:v>24</x:v>
      </x:c>
      <x:c r="AB13" s="29" t="str">
        <x:f>IF(Z13&gt;=AA13,"通过","失败")</x:f>
        <x:v>通过</x:v>
      </x:c>
      <x:c r="AC13" s="29" t="n">
        <x:f>VLOOKUP(G13,'03_灵植表'!$B$5:$S$52,10,FALSE)*VLOOKUP(H13,'04_参数字典'!$A$5:$D$7,2,FALSE)*I13</x:f>
        <x:v>18</x:v>
      </x:c>
      <x:c r="AD13" s="29" t="n">
        <x:f>VLOOKUP(C13,'01_丹方主表'!$B$5:$AF$19,16,FALSE)</x:f>
        <x:v>8</x:v>
      </x:c>
      <x:c r="AE13" s="29" t="str">
        <x:f>IF(AC13&gt;=AD13,"通过","失败")</x:f>
        <x:v>通过</x:v>
      </x:c>
      <x:c r="AF13" s="29" t="n">
        <x:f>I13+L13+O13+R13</x:f>
        <x:v>5</x:v>
      </x:c>
      <x:c r="AG13" s="29" t="n">
        <x:f>VLOOKUP(C13,'01_丹方主表'!$B$5:$AF$19,17,FALSE)</x:f>
        <x:v>8</x:v>
      </x:c>
      <x:c r="AH13" s="29" t="str">
        <x:f>IF(AF13&lt;=AG13,"通过","失败")</x:f>
        <x:v>通过</x:v>
      </x:c>
      <x:c r="AI13" s="32" t="n">
        <x:f>VLOOKUP(G13,'03_灵植表'!$B$5:$S$52,12,FALSE)*VLOOKUP(H13,'04_参数字典'!$A$5:$D$7,3,FALSE)*I13+VLOOKUP(J13,'03_灵植表'!$B$5:$S$52,12,FALSE)*VLOOKUP(K13,'04_参数字典'!$A$5:$D$7,3,FALSE)*L13+VLOOKUP(M13,'03_灵植表'!$B$5:$S$52,12,FALSE)*VLOOKUP(N13,'04_参数字典'!$A$5:$D$7,3,FALSE)*O13+VLOOKUP(P13,'03_灵植表'!$B$5:$S$52,12,FALSE)*VLOOKUP(Q13,'04_参数字典'!$A$5:$D$7,3,FALSE)*R13</x:f>
        <x:v>380</x:v>
      </x:c>
      <x:c r="AJ13" s="32" t="n">
        <x:f>VLOOKUP(C13,'01_丹方主表'!$B$5:$AF$19,21,FALSE)*VLOOKUP(AL13,'04_参数字典'!$A$5:$D$7,4,FALSE)</x:f>
        <x:v>600</x:v>
      </x:c>
      <x:c r="AK13" s="32" t="n">
        <x:f>AJ13-AI13</x:f>
        <x:v>220</x:v>
      </x:c>
      <x:c r="AL13" s="29" t="str">
        <x:v>玄</x:v>
      </x:c>
      <x:c r="AM13" s="29" t="str">
        <x:f>VLOOKUP(C13,'01_丹方主表'!$B$5:$AF$19,23,FALSE)</x:f>
        <x:v>mana_restore_tick</x:v>
      </x:c>
      <x:c r="AN13" s="33" t="n">
        <x:f>VLOOKUP(C13,'01_丹方主表'!$B$5:$AF$19,24,FALSE)</x:f>
        <x:v>80</x:v>
      </x:c>
      <x:c r="AO13" s="33" t="str">
        <x:f>VLOOKUP(C13,'01_丹方主表'!$B$5:$AF$19,25,FALSE)</x:f>
        <x:v>duration_round</x:v>
      </x:c>
      <x:c r="AP13" s="33" t="n">
        <x:f>VLOOKUP(C13,'01_丹方主表'!$B$5:$AF$19,26,FALSE)</x:f>
        <x:v>5</x:v>
      </x:c>
      <x:c r="AQ13" s="29" t="n">
        <x:f>VLOOKUP(C13,'01_丹方主表'!$B$5:$AF$19,22,FALSE)</x:f>
        <x:v>2</x:v>
      </x:c>
      <x:c r="AR13" s="29" t="str">
        <x:f>C13&amp;"|"&amp;G13&amp;"|"&amp;J13&amp;"|"&amp;M13&amp;"|"&amp;P13</x:f>
        <x:v>F-ZJ-03|J-ZJ-02|M-ZJ-SHUI-S|A-ZJ-P|E-ZJ-XIN-P</x:v>
      </x:c>
      <x:c r="AS13" s="29" t="str">
        <x:f>IF(AND(T13="通过",V13="通过",Y13="通过",AB13="通过",AE13="通过",AH13="通过",AK13&gt;=0),"通过","失败")</x:f>
        <x:v>通过</x:v>
      </x:c>
      <x:c r="AT13" s="16" t="str">
        <x:v>精炼方：高品质材料与药力余量，适合冲击高品丹。</x:v>
      </x:c>
    </x:row>
    <x:row r="14">
      <x:c r="A14" s="23" t="n">
        <x:v>10</x:v>
      </x:c>
      <x:c r="B14" s="23" t="str">
        <x:v>TS-F-ZJ-04-D</x:v>
      </x:c>
      <x:c r="C14" s="23" t="str">
        <x:v>F-ZJ-04</x:v>
      </x:c>
      <x:c r="D14" s="23" t="str">
        <x:f>VLOOKUP(C14,'01_丹方主表'!$B$5:$AF$19,2,FALSE)</x:f>
        <x:v>续环丹</x:v>
      </x:c>
      <x:c r="E14" s="23" t="str">
        <x:v>默认</x:v>
      </x:c>
      <x:c r="F14" s="23" t="str">
        <x:v>是</x:v>
      </x:c>
      <x:c r="G14" s="23" t="str">
        <x:v>J-ZJ-04</x:v>
      </x:c>
      <x:c r="H14" s="23" t="str">
        <x:v>灵</x:v>
      </x:c>
      <x:c r="I14" s="23" t="n">
        <x:v>2</x:v>
      </x:c>
      <x:c r="J14" s="23" t="str">
        <x:v>M-ZJ-MU-P</x:v>
      </x:c>
      <x:c r="K14" s="23" t="str">
        <x:v>灵</x:v>
      </x:c>
      <x:c r="L14" s="23" t="n">
        <x:v>1</x:v>
      </x:c>
      <x:c r="M14" s="23" t="str">
        <x:v>A-ZJ-P</x:v>
      </x:c>
      <x:c r="N14" s="23" t="str">
        <x:v>灵</x:v>
      </x:c>
      <x:c r="O14" s="23" t="n">
        <x:v>1</x:v>
      </x:c>
      <x:c r="P14" s="23" t="str">
        <x:v>E-ZJ-GAN-P</x:v>
      </x:c>
      <x:c r="Q14" s="23" t="str">
        <x:v>灵</x:v>
      </x:c>
      <x:c r="R14" s="23" t="n">
        <x:v>1</x:v>
      </x:c>
      <x:c r="S14" s="29" t="str">
        <x:f>VLOOKUP(J14,'03_灵植表'!$B$5:$S$52,6,FALSE)</x:f>
        <x:v>木</x:v>
      </x:c>
      <x:c r="T14" s="29" t="str">
        <x:f>IF(S14=VLOOKUP(C14,'01_丹方主表'!$B$5:$AF$19,10,FALSE),"通过","失败")</x:f>
        <x:v>通过</x:v>
      </x:c>
      <x:c r="U14" s="29" t="str">
        <x:f>VLOOKUP(P14,'03_灵植表'!$B$5:$S$52,7,FALSE)</x:f>
        <x:v>甘</x:v>
      </x:c>
      <x:c r="V14" s="29" t="str">
        <x:f>IF(U14=VLOOKUP(C14,'01_丹方主表'!$B$5:$AF$19,11,FALSE),"通过","失败")</x:f>
        <x:v>通过</x:v>
      </x:c>
      <x:c r="W14" s="29" t="n">
        <x:f>VLOOKUP(C14,'01_丹方主表'!$B$5:$AF$19,13,FALSE)</x:f>
        <x:v>1</x:v>
      </x:c>
      <x:c r="X14" s="29" t="n">
        <x:f>VLOOKUP(G14,'03_灵植表'!$B$5:$S$52,9,FALSE)+VLOOKUP(J14,'03_灵植表'!$B$5:$S$52,9,FALSE)+VLOOKUP(M14,'03_灵植表'!$B$5:$S$52,9,FALSE)+VLOOKUP(P14,'03_灵植表'!$B$5:$S$52,9,FALSE)</x:f>
        <x:v>1</x:v>
      </x:c>
      <x:c r="Y14" s="29" t="str">
        <x:f>IF(W14=X14,"通过","失败")</x:f>
        <x:v>通过</x:v>
      </x:c>
      <x:c r="Z14" s="29" t="n">
        <x:f>VLOOKUP(G14,'03_灵植表'!$B$5:$S$52,10,FALSE)*VLOOKUP(H14,'04_参数字典'!$A$5:$D$7,2,FALSE)*I14+VLOOKUP(J14,'03_灵植表'!$B$5:$S$52,10,FALSE)*VLOOKUP(K14,'04_参数字典'!$A$5:$D$7,2,FALSE)*L14+VLOOKUP(M14,'03_灵植表'!$B$5:$S$52,10,FALSE)*VLOOKUP(N14,'04_参数字典'!$A$5:$D$7,2,FALSE)*O14+VLOOKUP(P14,'03_灵植表'!$B$5:$S$52,10,FALSE)*VLOOKUP(Q14,'04_参数字典'!$A$5:$D$7,2,FALSE)*R14</x:f>
        <x:v>33.6</x:v>
      </x:c>
      <x:c r="AA14" s="29" t="n">
        <x:f>VLOOKUP(C14,'01_丹方主表'!$B$5:$AF$19,14,FALSE)</x:f>
        <x:v>24</x:v>
      </x:c>
      <x:c r="AB14" s="29" t="str">
        <x:f>IF(Z14&gt;=AA14,"通过","失败")</x:f>
        <x:v>通过</x:v>
      </x:c>
      <x:c r="AC14" s="29" t="n">
        <x:f>VLOOKUP(G14,'03_灵植表'!$B$5:$S$52,10,FALSE)*VLOOKUP(H14,'04_参数字典'!$A$5:$D$7,2,FALSE)*I14</x:f>
        <x:v>12</x:v>
      </x:c>
      <x:c r="AD14" s="29" t="n">
        <x:f>VLOOKUP(C14,'01_丹方主表'!$B$5:$AF$19,16,FALSE)</x:f>
        <x:v>8</x:v>
      </x:c>
      <x:c r="AE14" s="29" t="str">
        <x:f>IF(AC14&gt;=AD14,"通过","失败")</x:f>
        <x:v>通过</x:v>
      </x:c>
      <x:c r="AF14" s="29" t="n">
        <x:f>I14+L14+O14+R14</x:f>
        <x:v>5</x:v>
      </x:c>
      <x:c r="AG14" s="29" t="n">
        <x:f>VLOOKUP(C14,'01_丹方主表'!$B$5:$AF$19,17,FALSE)</x:f>
        <x:v>8</x:v>
      </x:c>
      <x:c r="AH14" s="29" t="str">
        <x:f>IF(AF14&lt;=AG14,"通过","失败")</x:f>
        <x:v>通过</x:v>
      </x:c>
      <x:c r="AI14" s="32" t="n">
        <x:f>VLOOKUP(G14,'03_灵植表'!$B$5:$S$52,12,FALSE)*VLOOKUP(H14,'04_参数字典'!$A$5:$D$7,3,FALSE)*I14+VLOOKUP(J14,'03_灵植表'!$B$5:$S$52,12,FALSE)*VLOOKUP(K14,'04_参数字典'!$A$5:$D$7,3,FALSE)*L14+VLOOKUP(M14,'03_灵植表'!$B$5:$S$52,12,FALSE)*VLOOKUP(N14,'04_参数字典'!$A$5:$D$7,3,FALSE)*O14+VLOOKUP(P14,'03_灵植表'!$B$5:$S$52,12,FALSE)*VLOOKUP(Q14,'04_参数字典'!$A$5:$D$7,3,FALSE)*R14</x:f>
        <x:v>253</x:v>
      </x:c>
      <x:c r="AJ14" s="32" t="n">
        <x:f>VLOOKUP(C14,'01_丹方主表'!$B$5:$AF$19,21,FALSE)*VLOOKUP(AL14,'04_参数字典'!$A$5:$D$7,4,FALSE)</x:f>
        <x:v>700</x:v>
      </x:c>
      <x:c r="AK14" s="32" t="n">
        <x:f>AJ14-AI14</x:f>
        <x:v>447</x:v>
      </x:c>
      <x:c r="AL14" s="29" t="str">
        <x:v>灵</x:v>
      </x:c>
      <x:c r="AM14" s="29" t="str">
        <x:f>VLOOKUP(C14,'01_丹方主表'!$B$5:$AF$19,23,FALSE)</x:f>
        <x:v>minor_break_bonus</x:v>
      </x:c>
      <x:c r="AN14" s="33" t="n">
        <x:f>VLOOKUP(C14,'01_丹方主表'!$B$5:$AF$19,24,FALSE)</x:f>
        <x:v>0.15</x:v>
      </x:c>
      <x:c r="AO14" s="33" t="str">
        <x:f>VLOOKUP(C14,'01_丹方主表'!$B$5:$AF$19,25,FALSE)</x:f>
      </x:c>
      <x:c r="AP14" s="33" t="n">
        <x:f>VLOOKUP(C14,'01_丹方主表'!$B$5:$AF$19,26,FALSE)</x:f>
        <x:v>0</x:v>
      </x:c>
      <x:c r="AQ14" s="29" t="n">
        <x:f>VLOOKUP(C14,'01_丹方主表'!$B$5:$AF$19,22,FALSE)</x:f>
        <x:v>8</x:v>
      </x:c>
      <x:c r="AR14" s="29" t="str">
        <x:f>C14&amp;"|"&amp;G14&amp;"|"&amp;J14&amp;"|"&amp;M14&amp;"|"&amp;P14</x:f>
        <x:v>F-ZJ-04|J-ZJ-04|M-ZJ-MU-P|A-ZJ-P|E-ZJ-GAN-P</x:v>
      </x:c>
      <x:c r="AS14" s="29" t="str">
        <x:f>IF(AND(T14="通过",V14="通过",Y14="通过",AB14="通过",AE14="通过",AH14="通过",AK14&gt;=0),"通过","失败")</x:f>
        <x:v>通过</x:v>
      </x:c>
      <x:c r="AT14" s="16" t="str">
        <x:v>师承标准方：材料常见、方性直观，获得丹方即自动填入。</x:v>
      </x:c>
    </x:row>
    <x:row r="15">
      <x:c r="A15" s="23" t="n">
        <x:v>11</x:v>
      </x:c>
      <x:c r="B15" s="23" t="str">
        <x:v>TS-F-ZJ-04-C</x:v>
      </x:c>
      <x:c r="C15" s="23" t="str">
        <x:v>F-ZJ-04</x:v>
      </x:c>
      <x:c r="D15" s="23" t="str">
        <x:f>VLOOKUP(C15,'01_丹方主表'!$B$5:$AF$19,2,FALSE)</x:f>
        <x:v>续环丹</x:v>
      </x:c>
      <x:c r="E15" s="23" t="str">
        <x:v>廉价</x:v>
      </x:c>
      <x:c r="F15" s="23" t="str">
        <x:v>否</x:v>
      </x:c>
      <x:c r="G15" s="23" t="str">
        <x:v>J-ZJ-04</x:v>
      </x:c>
      <x:c r="H15" s="23" t="str">
        <x:v>灵</x:v>
      </x:c>
      <x:c r="I15" s="23" t="n">
        <x:v>2</x:v>
      </x:c>
      <x:c r="J15" s="23" t="str">
        <x:v>M-ZJ-MU-S</x:v>
      </x:c>
      <x:c r="K15" s="23" t="str">
        <x:v>凡</x:v>
      </x:c>
      <x:c r="L15" s="23" t="n">
        <x:v>2</x:v>
      </x:c>
      <x:c r="M15" s="23" t="str">
        <x:v>A-ZJ-H</x:v>
      </x:c>
      <x:c r="N15" s="23" t="str">
        <x:v>凡</x:v>
      </x:c>
      <x:c r="O15" s="23" t="n">
        <x:v>2</x:v>
      </x:c>
      <x:c r="P15" s="23" t="str">
        <x:v>E-ZJ-GAN-C</x:v>
      </x:c>
      <x:c r="Q15" s="23" t="str">
        <x:v>凡</x:v>
      </x:c>
      <x:c r="R15" s="23" t="n">
        <x:v>1</x:v>
      </x:c>
      <x:c r="S15" s="29" t="str">
        <x:f>VLOOKUP(J15,'03_灵植表'!$B$5:$S$52,6,FALSE)</x:f>
        <x:v>木</x:v>
      </x:c>
      <x:c r="T15" s="29" t="str">
        <x:f>IF(S15=VLOOKUP(C15,'01_丹方主表'!$B$5:$AF$19,10,FALSE),"通过","失败")</x:f>
        <x:v>通过</x:v>
      </x:c>
      <x:c r="U15" s="29" t="str">
        <x:f>VLOOKUP(P15,'03_灵植表'!$B$5:$S$52,7,FALSE)</x:f>
        <x:v>甘</x:v>
      </x:c>
      <x:c r="V15" s="29" t="str">
        <x:f>IF(U15=VLOOKUP(C15,'01_丹方主表'!$B$5:$AF$19,11,FALSE),"通过","失败")</x:f>
        <x:v>通过</x:v>
      </x:c>
      <x:c r="W15" s="29" t="n">
        <x:f>VLOOKUP(C15,'01_丹方主表'!$B$5:$AF$19,13,FALSE)</x:f>
        <x:v>1</x:v>
      </x:c>
      <x:c r="X15" s="29" t="n">
        <x:f>VLOOKUP(G15,'03_灵植表'!$B$5:$S$52,9,FALSE)+VLOOKUP(J15,'03_灵植表'!$B$5:$S$52,9,FALSE)+VLOOKUP(M15,'03_灵植表'!$B$5:$S$52,9,FALSE)+VLOOKUP(P15,'03_灵植表'!$B$5:$S$52,9,FALSE)</x:f>
        <x:v>1</x:v>
      </x:c>
      <x:c r="Y15" s="29" t="str">
        <x:f>IF(W15=X15,"通过","失败")</x:f>
        <x:v>通过</x:v>
      </x:c>
      <x:c r="Z15" s="29" t="n">
        <x:f>VLOOKUP(G15,'03_灵植表'!$B$5:$S$52,10,FALSE)*VLOOKUP(H15,'04_参数字典'!$A$5:$D$7,2,FALSE)*I15+VLOOKUP(J15,'03_灵植表'!$B$5:$S$52,10,FALSE)*VLOOKUP(K15,'04_参数字典'!$A$5:$D$7,2,FALSE)*L15+VLOOKUP(M15,'03_灵植表'!$B$5:$S$52,10,FALSE)*VLOOKUP(N15,'04_参数字典'!$A$5:$D$7,2,FALSE)*O15+VLOOKUP(P15,'03_灵植表'!$B$5:$S$52,10,FALSE)*VLOOKUP(Q15,'04_参数字典'!$A$5:$D$7,2,FALSE)*R15</x:f>
        <x:v>26.4</x:v>
      </x:c>
      <x:c r="AA15" s="29" t="n">
        <x:f>VLOOKUP(C15,'01_丹方主表'!$B$5:$AF$19,14,FALSE)</x:f>
        <x:v>24</x:v>
      </x:c>
      <x:c r="AB15" s="29" t="str">
        <x:f>IF(Z15&gt;=AA15,"通过","失败")</x:f>
        <x:v>通过</x:v>
      </x:c>
      <x:c r="AC15" s="29" t="n">
        <x:f>VLOOKUP(G15,'03_灵植表'!$B$5:$S$52,10,FALSE)*VLOOKUP(H15,'04_参数字典'!$A$5:$D$7,2,FALSE)*I15</x:f>
        <x:v>12</x:v>
      </x:c>
      <x:c r="AD15" s="29" t="n">
        <x:f>VLOOKUP(C15,'01_丹方主表'!$B$5:$AF$19,16,FALSE)</x:f>
        <x:v>8</x:v>
      </x:c>
      <x:c r="AE15" s="29" t="str">
        <x:f>IF(AC15&gt;=AD15,"通过","失败")</x:f>
        <x:v>通过</x:v>
      </x:c>
      <x:c r="AF15" s="29" t="n">
        <x:f>I15+L15+O15+R15</x:f>
        <x:v>7</x:v>
      </x:c>
      <x:c r="AG15" s="29" t="n">
        <x:f>VLOOKUP(C15,'01_丹方主表'!$B$5:$AF$19,17,FALSE)</x:f>
        <x:v>8</x:v>
      </x:c>
      <x:c r="AH15" s="29" t="str">
        <x:f>IF(AF15&lt;=AG15,"通过","失败")</x:f>
        <x:v>通过</x:v>
      </x:c>
      <x:c r="AI15" s="32" t="n">
        <x:f>VLOOKUP(G15,'03_灵植表'!$B$5:$S$52,12,FALSE)*VLOOKUP(H15,'04_参数字典'!$A$5:$D$7,3,FALSE)*I15+VLOOKUP(J15,'03_灵植表'!$B$5:$S$52,12,FALSE)*VLOOKUP(K15,'04_参数字典'!$A$5:$D$7,3,FALSE)*L15+VLOOKUP(M15,'03_灵植表'!$B$5:$S$52,12,FALSE)*VLOOKUP(N15,'04_参数字典'!$A$5:$D$7,3,FALSE)*O15+VLOOKUP(P15,'03_灵植表'!$B$5:$S$52,12,FALSE)*VLOOKUP(Q15,'04_参数字典'!$A$5:$D$7,3,FALSE)*R15</x:f>
        <x:v>197</x:v>
      </x:c>
      <x:c r="AJ15" s="32" t="n">
        <x:f>VLOOKUP(C15,'01_丹方主表'!$B$5:$AF$19,21,FALSE)*VLOOKUP(AL15,'04_参数字典'!$A$5:$D$7,4,FALSE)</x:f>
        <x:v>350</x:v>
      </x:c>
      <x:c r="AK15" s="32" t="n">
        <x:f>AJ15-AI15</x:f>
        <x:v>153</x:v>
      </x:c>
      <x:c r="AL15" s="29" t="str">
        <x:v>凡</x:v>
      </x:c>
      <x:c r="AM15" s="29" t="str">
        <x:f>VLOOKUP(C15,'01_丹方主表'!$B$5:$AF$19,23,FALSE)</x:f>
        <x:v>minor_break_bonus</x:v>
      </x:c>
      <x:c r="AN15" s="33" t="n">
        <x:f>VLOOKUP(C15,'01_丹方主表'!$B$5:$AF$19,24,FALSE)</x:f>
        <x:v>0.15</x:v>
      </x:c>
      <x:c r="AO15" s="33" t="str">
        <x:f>VLOOKUP(C15,'01_丹方主表'!$B$5:$AF$19,25,FALSE)</x:f>
      </x:c>
      <x:c r="AP15" s="33" t="n">
        <x:f>VLOOKUP(C15,'01_丹方主表'!$B$5:$AF$19,26,FALSE)</x:f>
        <x:v>0</x:v>
      </x:c>
      <x:c r="AQ15" s="29" t="n">
        <x:f>VLOOKUP(C15,'01_丹方主表'!$B$5:$AF$19,22,FALSE)</x:f>
        <x:v>8</x:v>
      </x:c>
      <x:c r="AR15" s="29" t="str">
        <x:f>C15&amp;"|"&amp;G15&amp;"|"&amp;J15&amp;"|"&amp;M15&amp;"|"&amp;P15</x:f>
        <x:v>F-ZJ-04|J-ZJ-04|M-ZJ-MU-S|A-ZJ-H|E-ZJ-GAN-C</x:v>
      </x:c>
      <x:c r="AS15" s="29" t="str">
        <x:f>IF(AND(T15="通过",V15="通过",Y15="通过",AB15="通过",AE15="通过",AH15="通过",AK15&gt;=0),"通过","失败")</x:f>
        <x:v>通过</x:v>
      </x:c>
      <x:c r="AT15" s="16" t="str">
        <x:v>低成本方：辅材便宜但多占份数，适合卖药与资源紧张时。</x:v>
      </x:c>
    </x:row>
    <x:row r="16">
      <x:c r="A16" s="23" t="n">
        <x:v>12</x:v>
      </x:c>
      <x:c r="B16" s="23" t="str">
        <x:v>TS-F-ZJ-04-R</x:v>
      </x:c>
      <x:c r="C16" s="23" t="str">
        <x:v>F-ZJ-04</x:v>
      </x:c>
      <x:c r="D16" s="23" t="str">
        <x:f>VLOOKUP(C16,'01_丹方主表'!$B$5:$AF$19,2,FALSE)</x:f>
        <x:v>续环丹</x:v>
      </x:c>
      <x:c r="E16" s="23" t="str">
        <x:v>精炼</x:v>
      </x:c>
      <x:c r="F16" s="23" t="str">
        <x:v>否</x:v>
      </x:c>
      <x:c r="G16" s="23" t="str">
        <x:v>J-ZJ-04</x:v>
      </x:c>
      <x:c r="H16" s="23" t="str">
        <x:v>玄</x:v>
      </x:c>
      <x:c r="I16" s="23" t="n">
        <x:v>2</x:v>
      </x:c>
      <x:c r="J16" s="23" t="str">
        <x:v>M-ZJ-MU-P</x:v>
      </x:c>
      <x:c r="K16" s="23" t="str">
        <x:v>玄</x:v>
      </x:c>
      <x:c r="L16" s="23" t="n">
        <x:v>1</x:v>
      </x:c>
      <x:c r="M16" s="23" t="str">
        <x:v>A-ZJ-W</x:v>
      </x:c>
      <x:c r="N16" s="23" t="str">
        <x:v>玄</x:v>
      </x:c>
      <x:c r="O16" s="23" t="n">
        <x:v>1</x:v>
      </x:c>
      <x:c r="P16" s="23" t="str">
        <x:v>E-ZJ-GAN-S</x:v>
      </x:c>
      <x:c r="Q16" s="23" t="str">
        <x:v>玄</x:v>
      </x:c>
      <x:c r="R16" s="23" t="n">
        <x:v>1</x:v>
      </x:c>
      <x:c r="S16" s="29" t="str">
        <x:f>VLOOKUP(J16,'03_灵植表'!$B$5:$S$52,6,FALSE)</x:f>
        <x:v>木</x:v>
      </x:c>
      <x:c r="T16" s="29" t="str">
        <x:f>IF(S16=VLOOKUP(C16,'01_丹方主表'!$B$5:$AF$19,10,FALSE),"通过","失败")</x:f>
        <x:v>通过</x:v>
      </x:c>
      <x:c r="U16" s="29" t="str">
        <x:f>VLOOKUP(P16,'03_灵植表'!$B$5:$S$52,7,FALSE)</x:f>
        <x:v>甘</x:v>
      </x:c>
      <x:c r="V16" s="29" t="str">
        <x:f>IF(U16=VLOOKUP(C16,'01_丹方主表'!$B$5:$AF$19,11,FALSE),"通过","失败")</x:f>
        <x:v>通过</x:v>
      </x:c>
      <x:c r="W16" s="29" t="n">
        <x:f>VLOOKUP(C16,'01_丹方主表'!$B$5:$AF$19,13,FALSE)</x:f>
        <x:v>1</x:v>
      </x:c>
      <x:c r="X16" s="29" t="n">
        <x:f>VLOOKUP(G16,'03_灵植表'!$B$5:$S$52,9,FALSE)+VLOOKUP(J16,'03_灵植表'!$B$5:$S$52,9,FALSE)+VLOOKUP(M16,'03_灵植表'!$B$5:$S$52,9,FALSE)+VLOOKUP(P16,'03_灵植表'!$B$5:$S$52,9,FALSE)</x:f>
        <x:v>1</x:v>
      </x:c>
      <x:c r="Y16" s="29" t="str">
        <x:f>IF(W16=X16,"通过","失败")</x:f>
        <x:v>通过</x:v>
      </x:c>
      <x:c r="Z16" s="29" t="n">
        <x:f>VLOOKUP(G16,'03_灵植表'!$B$5:$S$52,10,FALSE)*VLOOKUP(H16,'04_参数字典'!$A$5:$D$7,2,FALSE)*I16+VLOOKUP(J16,'03_灵植表'!$B$5:$S$52,10,FALSE)*VLOOKUP(K16,'04_参数字典'!$A$5:$D$7,2,FALSE)*L16+VLOOKUP(M16,'03_灵植表'!$B$5:$S$52,10,FALSE)*VLOOKUP(N16,'04_参数字典'!$A$5:$D$7,2,FALSE)*O16+VLOOKUP(P16,'03_灵植表'!$B$5:$S$52,10,FALSE)*VLOOKUP(Q16,'04_参数字典'!$A$5:$D$7,2,FALSE)*R16</x:f>
        <x:v>46.8</x:v>
      </x:c>
      <x:c r="AA16" s="29" t="n">
        <x:f>VLOOKUP(C16,'01_丹方主表'!$B$5:$AF$19,14,FALSE)</x:f>
        <x:v>24</x:v>
      </x:c>
      <x:c r="AB16" s="29" t="str">
        <x:f>IF(Z16&gt;=AA16,"通过","失败")</x:f>
        <x:v>通过</x:v>
      </x:c>
      <x:c r="AC16" s="29" t="n">
        <x:f>VLOOKUP(G16,'03_灵植表'!$B$5:$S$52,10,FALSE)*VLOOKUP(H16,'04_参数字典'!$A$5:$D$7,2,FALSE)*I16</x:f>
        <x:v>18</x:v>
      </x:c>
      <x:c r="AD16" s="29" t="n">
        <x:f>VLOOKUP(C16,'01_丹方主表'!$B$5:$AF$19,16,FALSE)</x:f>
        <x:v>8</x:v>
      </x:c>
      <x:c r="AE16" s="29" t="str">
        <x:f>IF(AC16&gt;=AD16,"通过","失败")</x:f>
        <x:v>通过</x:v>
      </x:c>
      <x:c r="AF16" s="29" t="n">
        <x:f>I16+L16+O16+R16</x:f>
        <x:v>5</x:v>
      </x:c>
      <x:c r="AG16" s="29" t="n">
        <x:f>VLOOKUP(C16,'01_丹方主表'!$B$5:$AF$19,17,FALSE)</x:f>
        <x:v>8</x:v>
      </x:c>
      <x:c r="AH16" s="29" t="str">
        <x:f>IF(AF16&lt;=AG16,"通过","失败")</x:f>
        <x:v>通过</x:v>
      </x:c>
      <x:c r="AI16" s="32" t="n">
        <x:f>VLOOKUP(G16,'03_灵植表'!$B$5:$S$52,12,FALSE)*VLOOKUP(H16,'04_参数字典'!$A$5:$D$7,3,FALSE)*I16+VLOOKUP(J16,'03_灵植表'!$B$5:$S$52,12,FALSE)*VLOOKUP(K16,'04_参数字典'!$A$5:$D$7,3,FALSE)*L16+VLOOKUP(M16,'03_灵植表'!$B$5:$S$52,12,FALSE)*VLOOKUP(N16,'04_参数字典'!$A$5:$D$7,3,FALSE)*O16+VLOOKUP(P16,'03_灵植表'!$B$5:$S$52,12,FALSE)*VLOOKUP(Q16,'04_参数字典'!$A$5:$D$7,3,FALSE)*R16</x:f>
        <x:v>525</x:v>
      </x:c>
      <x:c r="AJ16" s="32" t="n">
        <x:f>VLOOKUP(C16,'01_丹方主表'!$B$5:$AF$19,21,FALSE)*VLOOKUP(AL16,'04_参数字典'!$A$5:$D$7,4,FALSE)</x:f>
        <x:v>1400</x:v>
      </x:c>
      <x:c r="AK16" s="32" t="n">
        <x:f>AJ16-AI16</x:f>
        <x:v>875</x:v>
      </x:c>
      <x:c r="AL16" s="29" t="str">
        <x:v>玄</x:v>
      </x:c>
      <x:c r="AM16" s="29" t="str">
        <x:f>VLOOKUP(C16,'01_丹方主表'!$B$5:$AF$19,23,FALSE)</x:f>
        <x:v>minor_break_bonus</x:v>
      </x:c>
      <x:c r="AN16" s="33" t="n">
        <x:f>VLOOKUP(C16,'01_丹方主表'!$B$5:$AF$19,24,FALSE)</x:f>
        <x:v>0.15</x:v>
      </x:c>
      <x:c r="AO16" s="33" t="str">
        <x:f>VLOOKUP(C16,'01_丹方主表'!$B$5:$AF$19,25,FALSE)</x:f>
      </x:c>
      <x:c r="AP16" s="33" t="n">
        <x:f>VLOOKUP(C16,'01_丹方主表'!$B$5:$AF$19,26,FALSE)</x:f>
        <x:v>0</x:v>
      </x:c>
      <x:c r="AQ16" s="29" t="n">
        <x:f>VLOOKUP(C16,'01_丹方主表'!$B$5:$AF$19,22,FALSE)</x:f>
        <x:v>8</x:v>
      </x:c>
      <x:c r="AR16" s="29" t="str">
        <x:f>C16&amp;"|"&amp;G16&amp;"|"&amp;J16&amp;"|"&amp;M16&amp;"|"&amp;P16</x:f>
        <x:v>F-ZJ-04|J-ZJ-04|M-ZJ-MU-P|A-ZJ-W|E-ZJ-GAN-S</x:v>
      </x:c>
      <x:c r="AS16" s="29" t="str">
        <x:f>IF(AND(T16="通过",V16="通过",Y16="通过",AB16="通过",AE16="通过",AH16="通过",AK16&gt;=0),"通过","失败")</x:f>
        <x:v>通过</x:v>
      </x:c>
      <x:c r="AT16" s="16" t="str">
        <x:v>精炼方：高品质材料与药力余量，适合冲击高品丹。</x:v>
      </x:c>
    </x:row>
    <x:row r="17">
      <x:c r="A17" s="23" t="n">
        <x:v>13</x:v>
      </x:c>
      <x:c r="B17" s="23" t="str">
        <x:v>TS-F-ZJ-05-D</x:v>
      </x:c>
      <x:c r="C17" s="23" t="str">
        <x:v>F-ZJ-05</x:v>
      </x:c>
      <x:c r="D17" s="23" t="str">
        <x:f>VLOOKUP(C17,'01_丹方主表'!$B$5:$AF$19,2,FALSE)</x:f>
        <x:v>开关丹</x:v>
      </x:c>
      <x:c r="E17" s="23" t="str">
        <x:v>默认</x:v>
      </x:c>
      <x:c r="F17" s="23" t="str">
        <x:v>是</x:v>
      </x:c>
      <x:c r="G17" s="23" t="str">
        <x:v>J-ZJ-05</x:v>
      </x:c>
      <x:c r="H17" s="23" t="str">
        <x:v>灵</x:v>
      </x:c>
      <x:c r="I17" s="23" t="n">
        <x:v>2</x:v>
      </x:c>
      <x:c r="J17" s="23" t="str">
        <x:v>M-ZJ-MU-P</x:v>
      </x:c>
      <x:c r="K17" s="23" t="str">
        <x:v>灵</x:v>
      </x:c>
      <x:c r="L17" s="23" t="n">
        <x:v>1</x:v>
      </x:c>
      <x:c r="M17" s="23" t="str">
        <x:v>A-ZJ-P</x:v>
      </x:c>
      <x:c r="N17" s="23" t="str">
        <x:v>灵</x:v>
      </x:c>
      <x:c r="O17" s="23" t="n">
        <x:v>1</x:v>
      </x:c>
      <x:c r="P17" s="23" t="str">
        <x:v>E-ZJ-GAN-P</x:v>
      </x:c>
      <x:c r="Q17" s="23" t="str">
        <x:v>灵</x:v>
      </x:c>
      <x:c r="R17" s="23" t="n">
        <x:v>1</x:v>
      </x:c>
      <x:c r="S17" s="29" t="str">
        <x:f>VLOOKUP(J17,'03_灵植表'!$B$5:$S$52,6,FALSE)</x:f>
        <x:v>木</x:v>
      </x:c>
      <x:c r="T17" s="29" t="str">
        <x:f>IF(S17=VLOOKUP(C17,'01_丹方主表'!$B$5:$AF$19,10,FALSE),"通过","失败")</x:f>
        <x:v>通过</x:v>
      </x:c>
      <x:c r="U17" s="29" t="str">
        <x:f>VLOOKUP(P17,'03_灵植表'!$B$5:$S$52,7,FALSE)</x:f>
        <x:v>甘</x:v>
      </x:c>
      <x:c r="V17" s="29" t="str">
        <x:f>IF(U17=VLOOKUP(C17,'01_丹方主表'!$B$5:$AF$19,11,FALSE),"通过","失败")</x:f>
        <x:v>通过</x:v>
      </x:c>
      <x:c r="W17" s="29" t="n">
        <x:f>VLOOKUP(C17,'01_丹方主表'!$B$5:$AF$19,13,FALSE)</x:f>
        <x:v>2</x:v>
      </x:c>
      <x:c r="X17" s="29" t="n">
        <x:f>VLOOKUP(G17,'03_灵植表'!$B$5:$S$52,9,FALSE)+VLOOKUP(J17,'03_灵植表'!$B$5:$S$52,9,FALSE)+VLOOKUP(M17,'03_灵植表'!$B$5:$S$52,9,FALSE)+VLOOKUP(P17,'03_灵植表'!$B$5:$S$52,9,FALSE)</x:f>
        <x:v>2</x:v>
      </x:c>
      <x:c r="Y17" s="29" t="str">
        <x:f>IF(W17=X17,"通过","失败")</x:f>
        <x:v>通过</x:v>
      </x:c>
      <x:c r="Z17" s="29" t="n">
        <x:f>VLOOKUP(G17,'03_灵植表'!$B$5:$S$52,10,FALSE)*VLOOKUP(H17,'04_参数字典'!$A$5:$D$7,2,FALSE)*I17+VLOOKUP(J17,'03_灵植表'!$B$5:$S$52,10,FALSE)*VLOOKUP(K17,'04_参数字典'!$A$5:$D$7,2,FALSE)*L17+VLOOKUP(M17,'03_灵植表'!$B$5:$S$52,10,FALSE)*VLOOKUP(N17,'04_参数字典'!$A$5:$D$7,2,FALSE)*O17+VLOOKUP(P17,'03_灵植表'!$B$5:$S$52,10,FALSE)*VLOOKUP(Q17,'04_参数字典'!$A$5:$D$7,2,FALSE)*R17</x:f>
        <x:v>33.6</x:v>
      </x:c>
      <x:c r="AA17" s="29" t="n">
        <x:f>VLOOKUP(C17,'01_丹方主表'!$B$5:$AF$19,14,FALSE)</x:f>
        <x:v>24</x:v>
      </x:c>
      <x:c r="AB17" s="29" t="str">
        <x:f>IF(Z17&gt;=AA17,"通过","失败")</x:f>
        <x:v>通过</x:v>
      </x:c>
      <x:c r="AC17" s="29" t="n">
        <x:f>VLOOKUP(G17,'03_灵植表'!$B$5:$S$52,10,FALSE)*VLOOKUP(H17,'04_参数字典'!$A$5:$D$7,2,FALSE)*I17</x:f>
        <x:v>12</x:v>
      </x:c>
      <x:c r="AD17" s="29" t="n">
        <x:f>VLOOKUP(C17,'01_丹方主表'!$B$5:$AF$19,16,FALSE)</x:f>
        <x:v>8</x:v>
      </x:c>
      <x:c r="AE17" s="29" t="str">
        <x:f>IF(AC17&gt;=AD17,"通过","失败")</x:f>
        <x:v>通过</x:v>
      </x:c>
      <x:c r="AF17" s="29" t="n">
        <x:f>I17+L17+O17+R17</x:f>
        <x:v>5</x:v>
      </x:c>
      <x:c r="AG17" s="29" t="n">
        <x:f>VLOOKUP(C17,'01_丹方主表'!$B$5:$AF$19,17,FALSE)</x:f>
        <x:v>8</x:v>
      </x:c>
      <x:c r="AH17" s="29" t="str">
        <x:f>IF(AF17&lt;=AG17,"通过","失败")</x:f>
        <x:v>通过</x:v>
      </x:c>
      <x:c r="AI17" s="32" t="n">
        <x:f>VLOOKUP(G17,'03_灵植表'!$B$5:$S$52,12,FALSE)*VLOOKUP(H17,'04_参数字典'!$A$5:$D$7,3,FALSE)*I17+VLOOKUP(J17,'03_灵植表'!$B$5:$S$52,12,FALSE)*VLOOKUP(K17,'04_参数字典'!$A$5:$D$7,3,FALSE)*L17+VLOOKUP(M17,'03_灵植表'!$B$5:$S$52,12,FALSE)*VLOOKUP(N17,'04_参数字典'!$A$5:$D$7,3,FALSE)*O17+VLOOKUP(P17,'03_灵植表'!$B$5:$S$52,12,FALSE)*VLOOKUP(Q17,'04_参数字典'!$A$5:$D$7,3,FALSE)*R17</x:f>
        <x:v>363</x:v>
      </x:c>
      <x:c r="AJ17" s="32" t="n">
        <x:f>VLOOKUP(C17,'01_丹方主表'!$B$5:$AF$19,21,FALSE)*VLOOKUP(AL17,'04_参数字典'!$A$5:$D$7,4,FALSE)</x:f>
        <x:v>1300</x:v>
      </x:c>
      <x:c r="AK17" s="32" t="n">
        <x:f>AJ17-AI17</x:f>
        <x:v>937</x:v>
      </x:c>
      <x:c r="AL17" s="29" t="str">
        <x:v>灵</x:v>
      </x:c>
      <x:c r="AM17" s="29" t="str">
        <x:f>VLOOKUP(C17,'01_丹方主表'!$B$5:$AF$19,23,FALSE)</x:f>
        <x:v>major_break_bonus</x:v>
      </x:c>
      <x:c r="AN17" s="33" t="n">
        <x:f>VLOOKUP(C17,'01_丹方主表'!$B$5:$AF$19,24,FALSE)</x:f>
        <x:v>0.08</x:v>
      </x:c>
      <x:c r="AO17" s="33" t="str">
        <x:f>VLOOKUP(C17,'01_丹方主表'!$B$5:$AF$19,25,FALSE)</x:f>
        <x:v>failure_protect</x:v>
      </x:c>
      <x:c r="AP17" s="33" t="n">
        <x:f>VLOOKUP(C17,'01_丹方主表'!$B$5:$AF$19,26,FALSE)</x:f>
        <x:v>0.1</x:v>
      </x:c>
      <x:c r="AQ17" s="29" t="n">
        <x:f>VLOOKUP(C17,'01_丹方主表'!$B$5:$AF$19,22,FALSE)</x:f>
        <x:v>15</x:v>
      </x:c>
      <x:c r="AR17" s="29" t="str">
        <x:f>C17&amp;"|"&amp;G17&amp;"|"&amp;J17&amp;"|"&amp;M17&amp;"|"&amp;P17</x:f>
        <x:v>F-ZJ-05|J-ZJ-05|M-ZJ-MU-P|A-ZJ-P|E-ZJ-GAN-P</x:v>
      </x:c>
      <x:c r="AS17" s="29" t="str">
        <x:f>IF(AND(T17="通过",V17="通过",Y17="通过",AB17="通过",AE17="通过",AH17="通过",AK17&gt;=0),"通过","失败")</x:f>
        <x:v>通过</x:v>
      </x:c>
      <x:c r="AT17" s="16" t="str">
        <x:v>师承标准方：材料常见、方性直观，获得丹方即自动填入。</x:v>
      </x:c>
    </x:row>
    <x:row r="18">
      <x:c r="A18" s="23" t="n">
        <x:v>14</x:v>
      </x:c>
      <x:c r="B18" s="23" t="str">
        <x:v>TS-F-ZJ-05-C</x:v>
      </x:c>
      <x:c r="C18" s="23" t="str">
        <x:v>F-ZJ-05</x:v>
      </x:c>
      <x:c r="D18" s="23" t="str">
        <x:f>VLOOKUP(C18,'01_丹方主表'!$B$5:$AF$19,2,FALSE)</x:f>
        <x:v>开关丹</x:v>
      </x:c>
      <x:c r="E18" s="23" t="str">
        <x:v>廉价</x:v>
      </x:c>
      <x:c r="F18" s="23" t="str">
        <x:v>否</x:v>
      </x:c>
      <x:c r="G18" s="23" t="str">
        <x:v>J-ZJ-05</x:v>
      </x:c>
      <x:c r="H18" s="23" t="str">
        <x:v>灵</x:v>
      </x:c>
      <x:c r="I18" s="23" t="n">
        <x:v>2</x:v>
      </x:c>
      <x:c r="J18" s="23" t="str">
        <x:v>M-ZJ-MU-S</x:v>
      </x:c>
      <x:c r="K18" s="23" t="str">
        <x:v>凡</x:v>
      </x:c>
      <x:c r="L18" s="23" t="n">
        <x:v>2</x:v>
      </x:c>
      <x:c r="M18" s="23" t="str">
        <x:v>A-ZJ-H</x:v>
      </x:c>
      <x:c r="N18" s="23" t="str">
        <x:v>凡</x:v>
      </x:c>
      <x:c r="O18" s="23" t="n">
        <x:v>2</x:v>
      </x:c>
      <x:c r="P18" s="23" t="str">
        <x:v>E-ZJ-GAN-C</x:v>
      </x:c>
      <x:c r="Q18" s="23" t="str">
        <x:v>凡</x:v>
      </x:c>
      <x:c r="R18" s="23" t="n">
        <x:v>1</x:v>
      </x:c>
      <x:c r="S18" s="29" t="str">
        <x:f>VLOOKUP(J18,'03_灵植表'!$B$5:$S$52,6,FALSE)</x:f>
        <x:v>木</x:v>
      </x:c>
      <x:c r="T18" s="29" t="str">
        <x:f>IF(S18=VLOOKUP(C18,'01_丹方主表'!$B$5:$AF$19,10,FALSE),"通过","失败")</x:f>
        <x:v>通过</x:v>
      </x:c>
      <x:c r="U18" s="29" t="str">
        <x:f>VLOOKUP(P18,'03_灵植表'!$B$5:$S$52,7,FALSE)</x:f>
        <x:v>甘</x:v>
      </x:c>
      <x:c r="V18" s="29" t="str">
        <x:f>IF(U18=VLOOKUP(C18,'01_丹方主表'!$B$5:$AF$19,11,FALSE),"通过","失败")</x:f>
        <x:v>通过</x:v>
      </x:c>
      <x:c r="W18" s="29" t="n">
        <x:f>VLOOKUP(C18,'01_丹方主表'!$B$5:$AF$19,13,FALSE)</x:f>
        <x:v>2</x:v>
      </x:c>
      <x:c r="X18" s="29" t="n">
        <x:f>VLOOKUP(G18,'03_灵植表'!$B$5:$S$52,9,FALSE)+VLOOKUP(J18,'03_灵植表'!$B$5:$S$52,9,FALSE)+VLOOKUP(M18,'03_灵植表'!$B$5:$S$52,9,FALSE)+VLOOKUP(P18,'03_灵植表'!$B$5:$S$52,9,FALSE)</x:f>
        <x:v>2</x:v>
      </x:c>
      <x:c r="Y18" s="29" t="str">
        <x:f>IF(W18=X18,"通过","失败")</x:f>
        <x:v>通过</x:v>
      </x:c>
      <x:c r="Z18" s="29" t="n">
        <x:f>VLOOKUP(G18,'03_灵植表'!$B$5:$S$52,10,FALSE)*VLOOKUP(H18,'04_参数字典'!$A$5:$D$7,2,FALSE)*I18+VLOOKUP(J18,'03_灵植表'!$B$5:$S$52,10,FALSE)*VLOOKUP(K18,'04_参数字典'!$A$5:$D$7,2,FALSE)*L18+VLOOKUP(M18,'03_灵植表'!$B$5:$S$52,10,FALSE)*VLOOKUP(N18,'04_参数字典'!$A$5:$D$7,2,FALSE)*O18+VLOOKUP(P18,'03_灵植表'!$B$5:$S$52,10,FALSE)*VLOOKUP(Q18,'04_参数字典'!$A$5:$D$7,2,FALSE)*R18</x:f>
        <x:v>26.4</x:v>
      </x:c>
      <x:c r="AA18" s="29" t="n">
        <x:f>VLOOKUP(C18,'01_丹方主表'!$B$5:$AF$19,14,FALSE)</x:f>
        <x:v>24</x:v>
      </x:c>
      <x:c r="AB18" s="29" t="str">
        <x:f>IF(Z18&gt;=AA18,"通过","失败")</x:f>
        <x:v>通过</x:v>
      </x:c>
      <x:c r="AC18" s="29" t="n">
        <x:f>VLOOKUP(G18,'03_灵植表'!$B$5:$S$52,10,FALSE)*VLOOKUP(H18,'04_参数字典'!$A$5:$D$7,2,FALSE)*I18</x:f>
        <x:v>12</x:v>
      </x:c>
      <x:c r="AD18" s="29" t="n">
        <x:f>VLOOKUP(C18,'01_丹方主表'!$B$5:$AF$19,16,FALSE)</x:f>
        <x:v>8</x:v>
      </x:c>
      <x:c r="AE18" s="29" t="str">
        <x:f>IF(AC18&gt;=AD18,"通过","失败")</x:f>
        <x:v>通过</x:v>
      </x:c>
      <x:c r="AF18" s="29" t="n">
        <x:f>I18+L18+O18+R18</x:f>
        <x:v>7</x:v>
      </x:c>
      <x:c r="AG18" s="29" t="n">
        <x:f>VLOOKUP(C18,'01_丹方主表'!$B$5:$AF$19,17,FALSE)</x:f>
        <x:v>8</x:v>
      </x:c>
      <x:c r="AH18" s="29" t="str">
        <x:f>IF(AF18&lt;=AG18,"通过","失败")</x:f>
        <x:v>通过</x:v>
      </x:c>
      <x:c r="AI18" s="32" t="n">
        <x:f>VLOOKUP(G18,'03_灵植表'!$B$5:$S$52,12,FALSE)*VLOOKUP(H18,'04_参数字典'!$A$5:$D$7,3,FALSE)*I18+VLOOKUP(J18,'03_灵植表'!$B$5:$S$52,12,FALSE)*VLOOKUP(K18,'04_参数字典'!$A$5:$D$7,3,FALSE)*L18+VLOOKUP(M18,'03_灵植表'!$B$5:$S$52,12,FALSE)*VLOOKUP(N18,'04_参数字典'!$A$5:$D$7,3,FALSE)*O18+VLOOKUP(P18,'03_灵植表'!$B$5:$S$52,12,FALSE)*VLOOKUP(Q18,'04_参数字典'!$A$5:$D$7,3,FALSE)*R18</x:f>
        <x:v>307</x:v>
      </x:c>
      <x:c r="AJ18" s="32" t="n">
        <x:f>VLOOKUP(C18,'01_丹方主表'!$B$5:$AF$19,21,FALSE)*VLOOKUP(AL18,'04_参数字典'!$A$5:$D$7,4,FALSE)</x:f>
        <x:v>650</x:v>
      </x:c>
      <x:c r="AK18" s="32" t="n">
        <x:f>AJ18-AI18</x:f>
        <x:v>343</x:v>
      </x:c>
      <x:c r="AL18" s="29" t="str">
        <x:v>凡</x:v>
      </x:c>
      <x:c r="AM18" s="29" t="str">
        <x:f>VLOOKUP(C18,'01_丹方主表'!$B$5:$AF$19,23,FALSE)</x:f>
        <x:v>major_break_bonus</x:v>
      </x:c>
      <x:c r="AN18" s="33" t="n">
        <x:f>VLOOKUP(C18,'01_丹方主表'!$B$5:$AF$19,24,FALSE)</x:f>
        <x:v>0.08</x:v>
      </x:c>
      <x:c r="AO18" s="33" t="str">
        <x:f>VLOOKUP(C18,'01_丹方主表'!$B$5:$AF$19,25,FALSE)</x:f>
        <x:v>failure_protect</x:v>
      </x:c>
      <x:c r="AP18" s="33" t="n">
        <x:f>VLOOKUP(C18,'01_丹方主表'!$B$5:$AF$19,26,FALSE)</x:f>
        <x:v>0.1</x:v>
      </x:c>
      <x:c r="AQ18" s="29" t="n">
        <x:f>VLOOKUP(C18,'01_丹方主表'!$B$5:$AF$19,22,FALSE)</x:f>
        <x:v>15</x:v>
      </x:c>
      <x:c r="AR18" s="29" t="str">
        <x:f>C18&amp;"|"&amp;G18&amp;"|"&amp;J18&amp;"|"&amp;M18&amp;"|"&amp;P18</x:f>
        <x:v>F-ZJ-05|J-ZJ-05|M-ZJ-MU-S|A-ZJ-H|E-ZJ-GAN-C</x:v>
      </x:c>
      <x:c r="AS18" s="29" t="str">
        <x:f>IF(AND(T18="通过",V18="通过",Y18="通过",AB18="通过",AE18="通过",AH18="通过",AK18&gt;=0),"通过","失败")</x:f>
        <x:v>通过</x:v>
      </x:c>
      <x:c r="AT18" s="16" t="str">
        <x:v>低成本方：辅材便宜但多占份数，适合卖药与资源紧张时。</x:v>
      </x:c>
    </x:row>
    <x:row r="19">
      <x:c r="A19" s="23" t="n">
        <x:v>15</x:v>
      </x:c>
      <x:c r="B19" s="23" t="str">
        <x:v>TS-F-ZJ-05-R</x:v>
      </x:c>
      <x:c r="C19" s="23" t="str">
        <x:v>F-ZJ-05</x:v>
      </x:c>
      <x:c r="D19" s="23" t="str">
        <x:f>VLOOKUP(C19,'01_丹方主表'!$B$5:$AF$19,2,FALSE)</x:f>
        <x:v>开关丹</x:v>
      </x:c>
      <x:c r="E19" s="23" t="str">
        <x:v>精炼</x:v>
      </x:c>
      <x:c r="F19" s="23" t="str">
        <x:v>否</x:v>
      </x:c>
      <x:c r="G19" s="23" t="str">
        <x:v>J-ZJ-05</x:v>
      </x:c>
      <x:c r="H19" s="23" t="str">
        <x:v>玄</x:v>
      </x:c>
      <x:c r="I19" s="23" t="n">
        <x:v>2</x:v>
      </x:c>
      <x:c r="J19" s="23" t="str">
        <x:v>M-ZJ-MU-P</x:v>
      </x:c>
      <x:c r="K19" s="23" t="str">
        <x:v>玄</x:v>
      </x:c>
      <x:c r="L19" s="23" t="n">
        <x:v>1</x:v>
      </x:c>
      <x:c r="M19" s="23" t="str">
        <x:v>A-ZJ-W</x:v>
      </x:c>
      <x:c r="N19" s="23" t="str">
        <x:v>玄</x:v>
      </x:c>
      <x:c r="O19" s="23" t="n">
        <x:v>1</x:v>
      </x:c>
      <x:c r="P19" s="23" t="str">
        <x:v>E-ZJ-GAN-S</x:v>
      </x:c>
      <x:c r="Q19" s="23" t="str">
        <x:v>玄</x:v>
      </x:c>
      <x:c r="R19" s="23" t="n">
        <x:v>1</x:v>
      </x:c>
      <x:c r="S19" s="29" t="str">
        <x:f>VLOOKUP(J19,'03_灵植表'!$B$5:$S$52,6,FALSE)</x:f>
        <x:v>木</x:v>
      </x:c>
      <x:c r="T19" s="29" t="str">
        <x:f>IF(S19=VLOOKUP(C19,'01_丹方主表'!$B$5:$AF$19,10,FALSE),"通过","失败")</x:f>
        <x:v>通过</x:v>
      </x:c>
      <x:c r="U19" s="29" t="str">
        <x:f>VLOOKUP(P19,'03_灵植表'!$B$5:$S$52,7,FALSE)</x:f>
        <x:v>甘</x:v>
      </x:c>
      <x:c r="V19" s="29" t="str">
        <x:f>IF(U19=VLOOKUP(C19,'01_丹方主表'!$B$5:$AF$19,11,FALSE),"通过","失败")</x:f>
        <x:v>通过</x:v>
      </x:c>
      <x:c r="W19" s="29" t="n">
        <x:f>VLOOKUP(C19,'01_丹方主表'!$B$5:$AF$19,13,FALSE)</x:f>
        <x:v>2</x:v>
      </x:c>
      <x:c r="X19" s="29" t="n">
        <x:f>VLOOKUP(G19,'03_灵植表'!$B$5:$S$52,9,FALSE)+VLOOKUP(J19,'03_灵植表'!$B$5:$S$52,9,FALSE)+VLOOKUP(M19,'03_灵植表'!$B$5:$S$52,9,FALSE)+VLOOKUP(P19,'03_灵植表'!$B$5:$S$52,9,FALSE)</x:f>
        <x:v>2</x:v>
      </x:c>
      <x:c r="Y19" s="29" t="str">
        <x:f>IF(W19=X19,"通过","失败")</x:f>
        <x:v>通过</x:v>
      </x:c>
      <x:c r="Z19" s="29" t="n">
        <x:f>VLOOKUP(G19,'03_灵植表'!$B$5:$S$52,10,FALSE)*VLOOKUP(H19,'04_参数字典'!$A$5:$D$7,2,FALSE)*I19+VLOOKUP(J19,'03_灵植表'!$B$5:$S$52,10,FALSE)*VLOOKUP(K19,'04_参数字典'!$A$5:$D$7,2,FALSE)*L19+VLOOKUP(M19,'03_灵植表'!$B$5:$S$52,10,FALSE)*VLOOKUP(N19,'04_参数字典'!$A$5:$D$7,2,FALSE)*O19+VLOOKUP(P19,'03_灵植表'!$B$5:$S$52,10,FALSE)*VLOOKUP(Q19,'04_参数字典'!$A$5:$D$7,2,FALSE)*R19</x:f>
        <x:v>46.8</x:v>
      </x:c>
      <x:c r="AA19" s="29" t="n">
        <x:f>VLOOKUP(C19,'01_丹方主表'!$B$5:$AF$19,14,FALSE)</x:f>
        <x:v>24</x:v>
      </x:c>
      <x:c r="AB19" s="29" t="str">
        <x:f>IF(Z19&gt;=AA19,"通过","失败")</x:f>
        <x:v>通过</x:v>
      </x:c>
      <x:c r="AC19" s="29" t="n">
        <x:f>VLOOKUP(G19,'03_灵植表'!$B$5:$S$52,10,FALSE)*VLOOKUP(H19,'04_参数字典'!$A$5:$D$7,2,FALSE)*I19</x:f>
        <x:v>18</x:v>
      </x:c>
      <x:c r="AD19" s="29" t="n">
        <x:f>VLOOKUP(C19,'01_丹方主表'!$B$5:$AF$19,16,FALSE)</x:f>
        <x:v>8</x:v>
      </x:c>
      <x:c r="AE19" s="29" t="str">
        <x:f>IF(AC19&gt;=AD19,"通过","失败")</x:f>
        <x:v>通过</x:v>
      </x:c>
      <x:c r="AF19" s="29" t="n">
        <x:f>I19+L19+O19+R19</x:f>
        <x:v>5</x:v>
      </x:c>
      <x:c r="AG19" s="29" t="n">
        <x:f>VLOOKUP(C19,'01_丹方主表'!$B$5:$AF$19,17,FALSE)</x:f>
        <x:v>8</x:v>
      </x:c>
      <x:c r="AH19" s="29" t="str">
        <x:f>IF(AF19&lt;=AG19,"通过","失败")</x:f>
        <x:v>通过</x:v>
      </x:c>
      <x:c r="AI19" s="32" t="n">
        <x:f>VLOOKUP(G19,'03_灵植表'!$B$5:$S$52,12,FALSE)*VLOOKUP(H19,'04_参数字典'!$A$5:$D$7,3,FALSE)*I19+VLOOKUP(J19,'03_灵植表'!$B$5:$S$52,12,FALSE)*VLOOKUP(K19,'04_参数字典'!$A$5:$D$7,3,FALSE)*L19+VLOOKUP(M19,'03_灵植表'!$B$5:$S$52,12,FALSE)*VLOOKUP(N19,'04_参数字典'!$A$5:$D$7,3,FALSE)*O19+VLOOKUP(P19,'03_灵植表'!$B$5:$S$52,12,FALSE)*VLOOKUP(Q19,'04_参数字典'!$A$5:$D$7,3,FALSE)*R19</x:f>
        <x:v>775</x:v>
      </x:c>
      <x:c r="AJ19" s="32" t="n">
        <x:f>VLOOKUP(C19,'01_丹方主表'!$B$5:$AF$19,21,FALSE)*VLOOKUP(AL19,'04_参数字典'!$A$5:$D$7,4,FALSE)</x:f>
        <x:v>2600</x:v>
      </x:c>
      <x:c r="AK19" s="32" t="n">
        <x:f>AJ19-AI19</x:f>
        <x:v>1825</x:v>
      </x:c>
      <x:c r="AL19" s="29" t="str">
        <x:v>玄</x:v>
      </x:c>
      <x:c r="AM19" s="29" t="str">
        <x:f>VLOOKUP(C19,'01_丹方主表'!$B$5:$AF$19,23,FALSE)</x:f>
        <x:v>major_break_bonus</x:v>
      </x:c>
      <x:c r="AN19" s="33" t="n">
        <x:f>VLOOKUP(C19,'01_丹方主表'!$B$5:$AF$19,24,FALSE)</x:f>
        <x:v>0.08</x:v>
      </x:c>
      <x:c r="AO19" s="33" t="str">
        <x:f>VLOOKUP(C19,'01_丹方主表'!$B$5:$AF$19,25,FALSE)</x:f>
        <x:v>failure_protect</x:v>
      </x:c>
      <x:c r="AP19" s="33" t="n">
        <x:f>VLOOKUP(C19,'01_丹方主表'!$B$5:$AF$19,26,FALSE)</x:f>
        <x:v>0.1</x:v>
      </x:c>
      <x:c r="AQ19" s="29" t="n">
        <x:f>VLOOKUP(C19,'01_丹方主表'!$B$5:$AF$19,22,FALSE)</x:f>
        <x:v>15</x:v>
      </x:c>
      <x:c r="AR19" s="29" t="str">
        <x:f>C19&amp;"|"&amp;G19&amp;"|"&amp;J19&amp;"|"&amp;M19&amp;"|"&amp;P19</x:f>
        <x:v>F-ZJ-05|J-ZJ-05|M-ZJ-MU-P|A-ZJ-W|E-ZJ-GAN-S</x:v>
      </x:c>
      <x:c r="AS19" s="29" t="str">
        <x:f>IF(AND(T19="通过",V19="通过",Y19="通过",AB19="通过",AE19="通过",AH19="通过",AK19&gt;=0),"通过","失败")</x:f>
        <x:v>通过</x:v>
      </x:c>
      <x:c r="AT19" s="16" t="str">
        <x:v>精炼方：高品质材料与药力余量，适合冲击高品丹。</x:v>
      </x:c>
    </x:row>
    <x:row r="20">
      <x:c r="A20" s="23" t="n">
        <x:v>16</x:v>
      </x:c>
      <x:c r="B20" s="23" t="str">
        <x:v>TS-F-ZJ-06-D</x:v>
      </x:c>
      <x:c r="C20" s="23" t="str">
        <x:v>F-ZJ-06</x:v>
      </x:c>
      <x:c r="D20" s="23" t="str">
        <x:f>VLOOKUP(C20,'01_丹方主表'!$B$5:$AF$19,2,FALSE)</x:f>
        <x:v>急生丹</x:v>
      </x:c>
      <x:c r="E20" s="23" t="str">
        <x:v>默认</x:v>
      </x:c>
      <x:c r="F20" s="23" t="str">
        <x:v>是</x:v>
      </x:c>
      <x:c r="G20" s="23" t="str">
        <x:v>J-ZJ-06</x:v>
      </x:c>
      <x:c r="H20" s="23" t="str">
        <x:v>灵</x:v>
      </x:c>
      <x:c r="I20" s="23" t="n">
        <x:v>2</x:v>
      </x:c>
      <x:c r="J20" s="23" t="str">
        <x:v>M-ZJ-MU-P</x:v>
      </x:c>
      <x:c r="K20" s="23" t="str">
        <x:v>灵</x:v>
      </x:c>
      <x:c r="L20" s="23" t="n">
        <x:v>1</x:v>
      </x:c>
      <x:c r="M20" s="23" t="str">
        <x:v>A-ZJ-W</x:v>
      </x:c>
      <x:c r="N20" s="23" t="str">
        <x:v>灵</x:v>
      </x:c>
      <x:c r="O20" s="23" t="n">
        <x:v>1</x:v>
      </x:c>
      <x:c r="P20" s="23" t="str">
        <x:v>E-ZJ-SUAN-P</x:v>
      </x:c>
      <x:c r="Q20" s="23" t="str">
        <x:v>灵</x:v>
      </x:c>
      <x:c r="R20" s="23" t="n">
        <x:v>1</x:v>
      </x:c>
      <x:c r="S20" s="29" t="str">
        <x:f>VLOOKUP(J20,'03_灵植表'!$B$5:$S$52,6,FALSE)</x:f>
        <x:v>木</x:v>
      </x:c>
      <x:c r="T20" s="29" t="str">
        <x:f>IF(S20=VLOOKUP(C20,'01_丹方主表'!$B$5:$AF$19,10,FALSE),"通过","失败")</x:f>
        <x:v>通过</x:v>
      </x:c>
      <x:c r="U20" s="29" t="str">
        <x:f>VLOOKUP(P20,'03_灵植表'!$B$5:$S$52,7,FALSE)</x:f>
        <x:v>酸</x:v>
      </x:c>
      <x:c r="V20" s="29" t="str">
        <x:f>IF(U20=VLOOKUP(C20,'01_丹方主表'!$B$5:$AF$19,11,FALSE),"通过","失败")</x:f>
        <x:v>通过</x:v>
      </x:c>
      <x:c r="W20" s="29" t="n">
        <x:f>VLOOKUP(C20,'01_丹方主表'!$B$5:$AF$19,13,FALSE)</x:f>
        <x:v>1</x:v>
      </x:c>
      <x:c r="X20" s="29" t="n">
        <x:f>VLOOKUP(G20,'03_灵植表'!$B$5:$S$52,9,FALSE)+VLOOKUP(J20,'03_灵植表'!$B$5:$S$52,9,FALSE)+VLOOKUP(M20,'03_灵植表'!$B$5:$S$52,9,FALSE)+VLOOKUP(P20,'03_灵植表'!$B$5:$S$52,9,FALSE)</x:f>
        <x:v>1</x:v>
      </x:c>
      <x:c r="Y20" s="29" t="str">
        <x:f>IF(W20=X20,"通过","失败")</x:f>
        <x:v>通过</x:v>
      </x:c>
      <x:c r="Z20" s="29" t="n">
        <x:f>VLOOKUP(G20,'03_灵植表'!$B$5:$S$52,10,FALSE)*VLOOKUP(H20,'04_参数字典'!$A$5:$D$7,2,FALSE)*I20+VLOOKUP(J20,'03_灵植表'!$B$5:$S$52,10,FALSE)*VLOOKUP(K20,'04_参数字典'!$A$5:$D$7,2,FALSE)*L20+VLOOKUP(M20,'03_灵植表'!$B$5:$S$52,10,FALSE)*VLOOKUP(N20,'04_参数字典'!$A$5:$D$7,2,FALSE)*O20+VLOOKUP(P20,'03_灵植表'!$B$5:$S$52,10,FALSE)*VLOOKUP(Q20,'04_参数字典'!$A$5:$D$7,2,FALSE)*R20</x:f>
        <x:v>32.4</x:v>
      </x:c>
      <x:c r="AA20" s="29" t="n">
        <x:f>VLOOKUP(C20,'01_丹方主表'!$B$5:$AF$19,14,FALSE)</x:f>
        <x:v>24</x:v>
      </x:c>
      <x:c r="AB20" s="29" t="str">
        <x:f>IF(Z20&gt;=AA20,"通过","失败")</x:f>
        <x:v>通过</x:v>
      </x:c>
      <x:c r="AC20" s="29" t="n">
        <x:f>VLOOKUP(G20,'03_灵植表'!$B$5:$S$52,10,FALSE)*VLOOKUP(H20,'04_参数字典'!$A$5:$D$7,2,FALSE)*I20</x:f>
        <x:v>12</x:v>
      </x:c>
      <x:c r="AD20" s="29" t="n">
        <x:f>VLOOKUP(C20,'01_丹方主表'!$B$5:$AF$19,16,FALSE)</x:f>
        <x:v>8</x:v>
      </x:c>
      <x:c r="AE20" s="29" t="str">
        <x:f>IF(AC20&gt;=AD20,"通过","失败")</x:f>
        <x:v>通过</x:v>
      </x:c>
      <x:c r="AF20" s="29" t="n">
        <x:f>I20+L20+O20+R20</x:f>
        <x:v>5</x:v>
      </x:c>
      <x:c r="AG20" s="29" t="n">
        <x:f>VLOOKUP(C20,'01_丹方主表'!$B$5:$AF$19,17,FALSE)</x:f>
        <x:v>8</x:v>
      </x:c>
      <x:c r="AH20" s="29" t="str">
        <x:f>IF(AF20&lt;=AG20,"通过","失败")</x:f>
        <x:v>通过</x:v>
      </x:c>
      <x:c r="AI20" s="32" t="n">
        <x:f>VLOOKUP(G20,'03_灵植表'!$B$5:$S$52,12,FALSE)*VLOOKUP(H20,'04_参数字典'!$A$5:$D$7,3,FALSE)*I20+VLOOKUP(J20,'03_灵植表'!$B$5:$S$52,12,FALSE)*VLOOKUP(K20,'04_参数字典'!$A$5:$D$7,3,FALSE)*L20+VLOOKUP(M20,'03_灵植表'!$B$5:$S$52,12,FALSE)*VLOOKUP(N20,'04_参数字典'!$A$5:$D$7,3,FALSE)*O20+VLOOKUP(P20,'03_灵植表'!$B$5:$S$52,12,FALSE)*VLOOKUP(Q20,'04_参数字典'!$A$5:$D$7,3,FALSE)*R20</x:f>
        <x:v>176</x:v>
      </x:c>
      <x:c r="AJ20" s="32" t="n">
        <x:f>VLOOKUP(C20,'01_丹方主表'!$B$5:$AF$19,21,FALSE)*VLOOKUP(AL20,'04_参数字典'!$A$5:$D$7,4,FALSE)</x:f>
        <x:v>360</x:v>
      </x:c>
      <x:c r="AK20" s="32" t="n">
        <x:f>AJ20-AI20</x:f>
        <x:v>184</x:v>
      </x:c>
      <x:c r="AL20" s="29" t="str">
        <x:v>灵</x:v>
      </x:c>
      <x:c r="AM20" s="29" t="str">
        <x:f>VLOOKUP(C20,'01_丹方主表'!$B$5:$AF$19,23,FALSE)</x:f>
        <x:v>health_restore_instant</x:v>
      </x:c>
      <x:c r="AN20" s="33" t="n">
        <x:f>VLOOKUP(C20,'01_丹方主表'!$B$5:$AF$19,24,FALSE)</x:f>
        <x:v>350</x:v>
      </x:c>
      <x:c r="AO20" s="33" t="str">
        <x:f>VLOOKUP(C20,'01_丹方主表'!$B$5:$AF$19,25,FALSE)</x:f>
      </x:c>
      <x:c r="AP20" s="33" t="n">
        <x:f>VLOOKUP(C20,'01_丹方主表'!$B$5:$AF$19,26,FALSE)</x:f>
        <x:v>0</x:v>
      </x:c>
      <x:c r="AQ20" s="29" t="n">
        <x:f>VLOOKUP(C20,'01_丹方主表'!$B$5:$AF$19,22,FALSE)</x:f>
        <x:v>3</x:v>
      </x:c>
      <x:c r="AR20" s="29" t="str">
        <x:f>C20&amp;"|"&amp;G20&amp;"|"&amp;J20&amp;"|"&amp;M20&amp;"|"&amp;P20</x:f>
        <x:v>F-ZJ-06|J-ZJ-06|M-ZJ-MU-P|A-ZJ-W|E-ZJ-SUAN-P</x:v>
      </x:c>
      <x:c r="AS20" s="29" t="str">
        <x:f>IF(AND(T20="通过",V20="通过",Y20="通过",AB20="通过",AE20="通过",AH20="通过",AK20&gt;=0),"通过","失败")</x:f>
        <x:v>通过</x:v>
      </x:c>
      <x:c r="AT20" s="16" t="str">
        <x:v>师承标准方：材料常见、方性直观，获得丹方即自动填入。</x:v>
      </x:c>
    </x:row>
    <x:row r="21">
      <x:c r="A21" s="23" t="n">
        <x:v>17</x:v>
      </x:c>
      <x:c r="B21" s="23" t="str">
        <x:v>TS-F-ZJ-06-C</x:v>
      </x:c>
      <x:c r="C21" s="23" t="str">
        <x:v>F-ZJ-06</x:v>
      </x:c>
      <x:c r="D21" s="23" t="str">
        <x:f>VLOOKUP(C21,'01_丹方主表'!$B$5:$AF$19,2,FALSE)</x:f>
        <x:v>急生丹</x:v>
      </x:c>
      <x:c r="E21" s="23" t="str">
        <x:v>廉价</x:v>
      </x:c>
      <x:c r="F21" s="23" t="str">
        <x:v>否</x:v>
      </x:c>
      <x:c r="G21" s="23" t="str">
        <x:v>J-ZJ-06</x:v>
      </x:c>
      <x:c r="H21" s="23" t="str">
        <x:v>灵</x:v>
      </x:c>
      <x:c r="I21" s="23" t="n">
        <x:v>2</x:v>
      </x:c>
      <x:c r="J21" s="23" t="str">
        <x:v>M-ZJ-MU-C</x:v>
      </x:c>
      <x:c r="K21" s="23" t="str">
        <x:v>凡</x:v>
      </x:c>
      <x:c r="L21" s="23" t="n">
        <x:v>2</x:v>
      </x:c>
      <x:c r="M21" s="23" t="str">
        <x:v>A-ZJ-H</x:v>
      </x:c>
      <x:c r="N21" s="23" t="str">
        <x:v>凡</x:v>
      </x:c>
      <x:c r="O21" s="23" t="n">
        <x:v>2</x:v>
      </x:c>
      <x:c r="P21" s="23" t="str">
        <x:v>E-ZJ-SUAN-S</x:v>
      </x:c>
      <x:c r="Q21" s="23" t="str">
        <x:v>凡</x:v>
      </x:c>
      <x:c r="R21" s="23" t="n">
        <x:v>1</x:v>
      </x:c>
      <x:c r="S21" s="29" t="str">
        <x:f>VLOOKUP(J21,'03_灵植表'!$B$5:$S$52,6,FALSE)</x:f>
        <x:v>木</x:v>
      </x:c>
      <x:c r="T21" s="29" t="str">
        <x:f>IF(S21=VLOOKUP(C21,'01_丹方主表'!$B$5:$AF$19,10,FALSE),"通过","失败")</x:f>
        <x:v>通过</x:v>
      </x:c>
      <x:c r="U21" s="29" t="str">
        <x:f>VLOOKUP(P21,'03_灵植表'!$B$5:$S$52,7,FALSE)</x:f>
        <x:v>酸</x:v>
      </x:c>
      <x:c r="V21" s="29" t="str">
        <x:f>IF(U21=VLOOKUP(C21,'01_丹方主表'!$B$5:$AF$19,11,FALSE),"通过","失败")</x:f>
        <x:v>通过</x:v>
      </x:c>
      <x:c r="W21" s="29" t="n">
        <x:f>VLOOKUP(C21,'01_丹方主表'!$B$5:$AF$19,13,FALSE)</x:f>
        <x:v>1</x:v>
      </x:c>
      <x:c r="X21" s="29" t="n">
        <x:f>VLOOKUP(G21,'03_灵植表'!$B$5:$S$52,9,FALSE)+VLOOKUP(J21,'03_灵植表'!$B$5:$S$52,9,FALSE)+VLOOKUP(M21,'03_灵植表'!$B$5:$S$52,9,FALSE)+VLOOKUP(P21,'03_灵植表'!$B$5:$S$52,9,FALSE)</x:f>
        <x:v>1</x:v>
      </x:c>
      <x:c r="Y21" s="29" t="str">
        <x:f>IF(W21=X21,"通过","失败")</x:f>
        <x:v>通过</x:v>
      </x:c>
      <x:c r="Z21" s="29" t="n">
        <x:f>VLOOKUP(G21,'03_灵植表'!$B$5:$S$52,10,FALSE)*VLOOKUP(H21,'04_参数字典'!$A$5:$D$7,2,FALSE)*I21+VLOOKUP(J21,'03_灵植表'!$B$5:$S$52,10,FALSE)*VLOOKUP(K21,'04_参数字典'!$A$5:$D$7,2,FALSE)*L21+VLOOKUP(M21,'03_灵植表'!$B$5:$S$52,10,FALSE)*VLOOKUP(N21,'04_参数字典'!$A$5:$D$7,2,FALSE)*O21+VLOOKUP(P21,'03_灵植表'!$B$5:$S$52,10,FALSE)*VLOOKUP(Q21,'04_参数字典'!$A$5:$D$7,2,FALSE)*R21</x:f>
        <x:v>25.8</x:v>
      </x:c>
      <x:c r="AA21" s="29" t="n">
        <x:f>VLOOKUP(C21,'01_丹方主表'!$B$5:$AF$19,14,FALSE)</x:f>
        <x:v>24</x:v>
      </x:c>
      <x:c r="AB21" s="29" t="str">
        <x:f>IF(Z21&gt;=AA21,"通过","失败")</x:f>
        <x:v>通过</x:v>
      </x:c>
      <x:c r="AC21" s="29" t="n">
        <x:f>VLOOKUP(G21,'03_灵植表'!$B$5:$S$52,10,FALSE)*VLOOKUP(H21,'04_参数字典'!$A$5:$D$7,2,FALSE)*I21</x:f>
        <x:v>12</x:v>
      </x:c>
      <x:c r="AD21" s="29" t="n">
        <x:f>VLOOKUP(C21,'01_丹方主表'!$B$5:$AF$19,16,FALSE)</x:f>
        <x:v>8</x:v>
      </x:c>
      <x:c r="AE21" s="29" t="str">
        <x:f>IF(AC21&gt;=AD21,"通过","失败")</x:f>
        <x:v>通过</x:v>
      </x:c>
      <x:c r="AF21" s="29" t="n">
        <x:f>I21+L21+O21+R21</x:f>
        <x:v>7</x:v>
      </x:c>
      <x:c r="AG21" s="29" t="n">
        <x:f>VLOOKUP(C21,'01_丹方主表'!$B$5:$AF$19,17,FALSE)</x:f>
        <x:v>8</x:v>
      </x:c>
      <x:c r="AH21" s="29" t="str">
        <x:f>IF(AF21&lt;=AG21,"通过","失败")</x:f>
        <x:v>通过</x:v>
      </x:c>
      <x:c r="AI21" s="32" t="n">
        <x:f>VLOOKUP(G21,'03_灵植表'!$B$5:$S$52,12,FALSE)*VLOOKUP(H21,'04_参数字典'!$A$5:$D$7,3,FALSE)*I21+VLOOKUP(J21,'03_灵植表'!$B$5:$S$52,12,FALSE)*VLOOKUP(K21,'04_参数字典'!$A$5:$D$7,3,FALSE)*L21+VLOOKUP(M21,'03_灵植表'!$B$5:$S$52,12,FALSE)*VLOOKUP(N21,'04_参数字典'!$A$5:$D$7,3,FALSE)*O21+VLOOKUP(P21,'03_灵植表'!$B$5:$S$52,12,FALSE)*VLOOKUP(Q21,'04_参数字典'!$A$5:$D$7,3,FALSE)*R21</x:f>
        <x:v>128</x:v>
      </x:c>
      <x:c r="AJ21" s="32" t="n">
        <x:f>VLOOKUP(C21,'01_丹方主表'!$B$5:$AF$19,21,FALSE)*VLOOKUP(AL21,'04_参数字典'!$A$5:$D$7,4,FALSE)</x:f>
        <x:v>180</x:v>
      </x:c>
      <x:c r="AK21" s="32" t="n">
        <x:f>AJ21-AI21</x:f>
        <x:v>52</x:v>
      </x:c>
      <x:c r="AL21" s="29" t="str">
        <x:v>凡</x:v>
      </x:c>
      <x:c r="AM21" s="29" t="str">
        <x:f>VLOOKUP(C21,'01_丹方主表'!$B$5:$AF$19,23,FALSE)</x:f>
        <x:v>health_restore_instant</x:v>
      </x:c>
      <x:c r="AN21" s="33" t="n">
        <x:f>VLOOKUP(C21,'01_丹方主表'!$B$5:$AF$19,24,FALSE)</x:f>
        <x:v>350</x:v>
      </x:c>
      <x:c r="AO21" s="33" t="str">
        <x:f>VLOOKUP(C21,'01_丹方主表'!$B$5:$AF$19,25,FALSE)</x:f>
      </x:c>
      <x:c r="AP21" s="33" t="n">
        <x:f>VLOOKUP(C21,'01_丹方主表'!$B$5:$AF$19,26,FALSE)</x:f>
        <x:v>0</x:v>
      </x:c>
      <x:c r="AQ21" s="29" t="n">
        <x:f>VLOOKUP(C21,'01_丹方主表'!$B$5:$AF$19,22,FALSE)</x:f>
        <x:v>3</x:v>
      </x:c>
      <x:c r="AR21" s="29" t="str">
        <x:f>C21&amp;"|"&amp;G21&amp;"|"&amp;J21&amp;"|"&amp;M21&amp;"|"&amp;P21</x:f>
        <x:v>F-ZJ-06|J-ZJ-06|M-ZJ-MU-C|A-ZJ-H|E-ZJ-SUAN-S</x:v>
      </x:c>
      <x:c r="AS21" s="29" t="str">
        <x:f>IF(AND(T21="通过",V21="通过",Y21="通过",AB21="通过",AE21="通过",AH21="通过",AK21&gt;=0),"通过","失败")</x:f>
        <x:v>通过</x:v>
      </x:c>
      <x:c r="AT21" s="16" t="str">
        <x:v>低成本方：辅材便宜但多占份数，适合卖药与资源紧张时。</x:v>
      </x:c>
    </x:row>
    <x:row r="22">
      <x:c r="A22" s="23" t="n">
        <x:v>18</x:v>
      </x:c>
      <x:c r="B22" s="23" t="str">
        <x:v>TS-F-ZJ-06-R</x:v>
      </x:c>
      <x:c r="C22" s="23" t="str">
        <x:v>F-ZJ-06</x:v>
      </x:c>
      <x:c r="D22" s="23" t="str">
        <x:f>VLOOKUP(C22,'01_丹方主表'!$B$5:$AF$19,2,FALSE)</x:f>
        <x:v>急生丹</x:v>
      </x:c>
      <x:c r="E22" s="23" t="str">
        <x:v>精炼</x:v>
      </x:c>
      <x:c r="F22" s="23" t="str">
        <x:v>否</x:v>
      </x:c>
      <x:c r="G22" s="23" t="str">
        <x:v>J-ZJ-06</x:v>
      </x:c>
      <x:c r="H22" s="23" t="str">
        <x:v>玄</x:v>
      </x:c>
      <x:c r="I22" s="23" t="n">
        <x:v>2</x:v>
      </x:c>
      <x:c r="J22" s="23" t="str">
        <x:v>M-ZJ-MU-P</x:v>
      </x:c>
      <x:c r="K22" s="23" t="str">
        <x:v>玄</x:v>
      </x:c>
      <x:c r="L22" s="23" t="n">
        <x:v>1</x:v>
      </x:c>
      <x:c r="M22" s="23" t="str">
        <x:v>A-ZJ-P</x:v>
      </x:c>
      <x:c r="N22" s="23" t="str">
        <x:v>玄</x:v>
      </x:c>
      <x:c r="O22" s="23" t="n">
        <x:v>1</x:v>
      </x:c>
      <x:c r="P22" s="23" t="str">
        <x:v>E-ZJ-SUAN-S</x:v>
      </x:c>
      <x:c r="Q22" s="23" t="str">
        <x:v>玄</x:v>
      </x:c>
      <x:c r="R22" s="23" t="n">
        <x:v>1</x:v>
      </x:c>
      <x:c r="S22" s="29" t="str">
        <x:f>VLOOKUP(J22,'03_灵植表'!$B$5:$S$52,6,FALSE)</x:f>
        <x:v>木</x:v>
      </x:c>
      <x:c r="T22" s="29" t="str">
        <x:f>IF(S22=VLOOKUP(C22,'01_丹方主表'!$B$5:$AF$19,10,FALSE),"通过","失败")</x:f>
        <x:v>通过</x:v>
      </x:c>
      <x:c r="U22" s="29" t="str">
        <x:f>VLOOKUP(P22,'03_灵植表'!$B$5:$S$52,7,FALSE)</x:f>
        <x:v>酸</x:v>
      </x:c>
      <x:c r="V22" s="29" t="str">
        <x:f>IF(U22=VLOOKUP(C22,'01_丹方主表'!$B$5:$AF$19,11,FALSE),"通过","失败")</x:f>
        <x:v>通过</x:v>
      </x:c>
      <x:c r="W22" s="29" t="n">
        <x:f>VLOOKUP(C22,'01_丹方主表'!$B$5:$AF$19,13,FALSE)</x:f>
        <x:v>1</x:v>
      </x:c>
      <x:c r="X22" s="29" t="n">
        <x:f>VLOOKUP(G22,'03_灵植表'!$B$5:$S$52,9,FALSE)+VLOOKUP(J22,'03_灵植表'!$B$5:$S$52,9,FALSE)+VLOOKUP(M22,'03_灵植表'!$B$5:$S$52,9,FALSE)+VLOOKUP(P22,'03_灵植表'!$B$5:$S$52,9,FALSE)</x:f>
        <x:v>1</x:v>
      </x:c>
      <x:c r="Y22" s="29" t="str">
        <x:f>IF(W22=X22,"通过","失败")</x:f>
        <x:v>通过</x:v>
      </x:c>
      <x:c r="Z22" s="29" t="n">
        <x:f>VLOOKUP(G22,'03_灵植表'!$B$5:$S$52,10,FALSE)*VLOOKUP(H22,'04_参数字典'!$A$5:$D$7,2,FALSE)*I22+VLOOKUP(J22,'03_灵植表'!$B$5:$S$52,10,FALSE)*VLOOKUP(K22,'04_参数字典'!$A$5:$D$7,2,FALSE)*L22+VLOOKUP(M22,'03_灵植表'!$B$5:$S$52,10,FALSE)*VLOOKUP(N22,'04_参数字典'!$A$5:$D$7,2,FALSE)*O22+VLOOKUP(P22,'03_灵植表'!$B$5:$S$52,10,FALSE)*VLOOKUP(Q22,'04_参数字典'!$A$5:$D$7,2,FALSE)*R22</x:f>
        <x:v>48.6</x:v>
      </x:c>
      <x:c r="AA22" s="29" t="n">
        <x:f>VLOOKUP(C22,'01_丹方主表'!$B$5:$AF$19,14,FALSE)</x:f>
        <x:v>24</x:v>
      </x:c>
      <x:c r="AB22" s="29" t="str">
        <x:f>IF(Z22&gt;=AA22,"通过","失败")</x:f>
        <x:v>通过</x:v>
      </x:c>
      <x:c r="AC22" s="29" t="n">
        <x:f>VLOOKUP(G22,'03_灵植表'!$B$5:$S$52,10,FALSE)*VLOOKUP(H22,'04_参数字典'!$A$5:$D$7,2,FALSE)*I22</x:f>
        <x:v>18</x:v>
      </x:c>
      <x:c r="AD22" s="29" t="n">
        <x:f>VLOOKUP(C22,'01_丹方主表'!$B$5:$AF$19,16,FALSE)</x:f>
        <x:v>8</x:v>
      </x:c>
      <x:c r="AE22" s="29" t="str">
        <x:f>IF(AC22&gt;=AD22,"通过","失败")</x:f>
        <x:v>通过</x:v>
      </x:c>
      <x:c r="AF22" s="29" t="n">
        <x:f>I22+L22+O22+R22</x:f>
        <x:v>5</x:v>
      </x:c>
      <x:c r="AG22" s="29" t="n">
        <x:f>VLOOKUP(C22,'01_丹方主表'!$B$5:$AF$19,17,FALSE)</x:f>
        <x:v>8</x:v>
      </x:c>
      <x:c r="AH22" s="29" t="str">
        <x:f>IF(AF22&lt;=AG22,"通过","失败")</x:f>
        <x:v>通过</x:v>
      </x:c>
      <x:c r="AI22" s="32" t="n">
        <x:f>VLOOKUP(G22,'03_灵植表'!$B$5:$S$52,12,FALSE)*VLOOKUP(H22,'04_参数字典'!$A$5:$D$7,3,FALSE)*I22+VLOOKUP(J22,'03_灵植表'!$B$5:$S$52,12,FALSE)*VLOOKUP(K22,'04_参数字典'!$A$5:$D$7,3,FALSE)*L22+VLOOKUP(M22,'03_灵植表'!$B$5:$S$52,12,FALSE)*VLOOKUP(N22,'04_参数字典'!$A$5:$D$7,3,FALSE)*O22+VLOOKUP(P22,'03_灵植表'!$B$5:$S$52,12,FALSE)*VLOOKUP(Q22,'04_参数字典'!$A$5:$D$7,3,FALSE)*R22</x:f>
        <x:v>400</x:v>
      </x:c>
      <x:c r="AJ22" s="32" t="n">
        <x:f>VLOOKUP(C22,'01_丹方主表'!$B$5:$AF$19,21,FALSE)*VLOOKUP(AL22,'04_参数字典'!$A$5:$D$7,4,FALSE)</x:f>
        <x:v>720</x:v>
      </x:c>
      <x:c r="AK22" s="32" t="n">
        <x:f>AJ22-AI22</x:f>
        <x:v>320</x:v>
      </x:c>
      <x:c r="AL22" s="29" t="str">
        <x:v>玄</x:v>
      </x:c>
      <x:c r="AM22" s="29" t="str">
        <x:f>VLOOKUP(C22,'01_丹方主表'!$B$5:$AF$19,23,FALSE)</x:f>
        <x:v>health_restore_instant</x:v>
      </x:c>
      <x:c r="AN22" s="33" t="n">
        <x:f>VLOOKUP(C22,'01_丹方主表'!$B$5:$AF$19,24,FALSE)</x:f>
        <x:v>350</x:v>
      </x:c>
      <x:c r="AO22" s="33" t="str">
        <x:f>VLOOKUP(C22,'01_丹方主表'!$B$5:$AF$19,25,FALSE)</x:f>
      </x:c>
      <x:c r="AP22" s="33" t="n">
        <x:f>VLOOKUP(C22,'01_丹方主表'!$B$5:$AF$19,26,FALSE)</x:f>
        <x:v>0</x:v>
      </x:c>
      <x:c r="AQ22" s="29" t="n">
        <x:f>VLOOKUP(C22,'01_丹方主表'!$B$5:$AF$19,22,FALSE)</x:f>
        <x:v>3</x:v>
      </x:c>
      <x:c r="AR22" s="29" t="str">
        <x:f>C22&amp;"|"&amp;G22&amp;"|"&amp;J22&amp;"|"&amp;M22&amp;"|"&amp;P22</x:f>
        <x:v>F-ZJ-06|J-ZJ-06|M-ZJ-MU-P|A-ZJ-P|E-ZJ-SUAN-S</x:v>
      </x:c>
      <x:c r="AS22" s="29" t="str">
        <x:f>IF(AND(T22="通过",V22="通过",Y22="通过",AB22="通过",AE22="通过",AH22="通过",AK22&gt;=0),"通过","失败")</x:f>
        <x:v>通过</x:v>
      </x:c>
      <x:c r="AT22" s="16" t="str">
        <x:v>精炼方：高品质材料与药力余量，适合冲击高品丹。</x:v>
      </x:c>
    </x:row>
    <x:row r="23">
      <x:c r="A23" s="23" t="n">
        <x:v>19</x:v>
      </x:c>
      <x:c r="B23" s="23" t="str">
        <x:v>TS-F-ZJ-07-D</x:v>
      </x:c>
      <x:c r="C23" s="23" t="str">
        <x:v>F-ZJ-07</x:v>
      </x:c>
      <x:c r="D23" s="23" t="str">
        <x:f>VLOOKUP(C23,'01_丹方主表'!$B$5:$AF$19,2,FALSE)</x:f>
        <x:v>绵愈丹</x:v>
      </x:c>
      <x:c r="E23" s="23" t="str">
        <x:v>默认</x:v>
      </x:c>
      <x:c r="F23" s="23" t="str">
        <x:v>是</x:v>
      </x:c>
      <x:c r="G23" s="23" t="str">
        <x:v>J-ZJ-06</x:v>
      </x:c>
      <x:c r="H23" s="23" t="str">
        <x:v>灵</x:v>
      </x:c>
      <x:c r="I23" s="23" t="n">
        <x:v>2</x:v>
      </x:c>
      <x:c r="J23" s="23" t="str">
        <x:v>M-ZJ-MU-P</x:v>
      </x:c>
      <x:c r="K23" s="23" t="str">
        <x:v>灵</x:v>
      </x:c>
      <x:c r="L23" s="23" t="n">
        <x:v>1</x:v>
      </x:c>
      <x:c r="M23" s="23" t="str">
        <x:v>A-ZJ-P</x:v>
      </x:c>
      <x:c r="N23" s="23" t="str">
        <x:v>灵</x:v>
      </x:c>
      <x:c r="O23" s="23" t="n">
        <x:v>1</x:v>
      </x:c>
      <x:c r="P23" s="23" t="str">
        <x:v>E-ZJ-SUAN-P</x:v>
      </x:c>
      <x:c r="Q23" s="23" t="str">
        <x:v>灵</x:v>
      </x:c>
      <x:c r="R23" s="23" t="n">
        <x:v>1</x:v>
      </x:c>
      <x:c r="S23" s="29" t="str">
        <x:f>VLOOKUP(J23,'03_灵植表'!$B$5:$S$52,6,FALSE)</x:f>
        <x:v>木</x:v>
      </x:c>
      <x:c r="T23" s="29" t="str">
        <x:f>IF(S23=VLOOKUP(C23,'01_丹方主表'!$B$5:$AF$19,10,FALSE),"通过","失败")</x:f>
        <x:v>通过</x:v>
      </x:c>
      <x:c r="U23" s="29" t="str">
        <x:f>VLOOKUP(P23,'03_灵植表'!$B$5:$S$52,7,FALSE)</x:f>
        <x:v>酸</x:v>
      </x:c>
      <x:c r="V23" s="29" t="str">
        <x:f>IF(U23=VLOOKUP(C23,'01_丹方主表'!$B$5:$AF$19,11,FALSE),"通过","失败")</x:f>
        <x:v>通过</x:v>
      </x:c>
      <x:c r="W23" s="29" t="n">
        <x:f>VLOOKUP(C23,'01_丹方主表'!$B$5:$AF$19,13,FALSE)</x:f>
        <x:v>0</x:v>
      </x:c>
      <x:c r="X23" s="29" t="n">
        <x:f>VLOOKUP(G23,'03_灵植表'!$B$5:$S$52,9,FALSE)+VLOOKUP(J23,'03_灵植表'!$B$5:$S$52,9,FALSE)+VLOOKUP(M23,'03_灵植表'!$B$5:$S$52,9,FALSE)+VLOOKUP(P23,'03_灵植表'!$B$5:$S$52,9,FALSE)</x:f>
        <x:v>0</x:v>
      </x:c>
      <x:c r="Y23" s="29" t="str">
        <x:f>IF(W23=X23,"通过","失败")</x:f>
        <x:v>通过</x:v>
      </x:c>
      <x:c r="Z23" s="29" t="n">
        <x:f>VLOOKUP(G23,'03_灵植表'!$B$5:$S$52,10,FALSE)*VLOOKUP(H23,'04_参数字典'!$A$5:$D$7,2,FALSE)*I23+VLOOKUP(J23,'03_灵植表'!$B$5:$S$52,10,FALSE)*VLOOKUP(K23,'04_参数字典'!$A$5:$D$7,2,FALSE)*L23+VLOOKUP(M23,'03_灵植表'!$B$5:$S$52,10,FALSE)*VLOOKUP(N23,'04_参数字典'!$A$5:$D$7,2,FALSE)*O23+VLOOKUP(P23,'03_灵植表'!$B$5:$S$52,10,FALSE)*VLOOKUP(Q23,'04_参数字典'!$A$5:$D$7,2,FALSE)*R23</x:f>
        <x:v>33.6</x:v>
      </x:c>
      <x:c r="AA23" s="29" t="n">
        <x:f>VLOOKUP(C23,'01_丹方主表'!$B$5:$AF$19,14,FALSE)</x:f>
        <x:v>24</x:v>
      </x:c>
      <x:c r="AB23" s="29" t="str">
        <x:f>IF(Z23&gt;=AA23,"通过","失败")</x:f>
        <x:v>通过</x:v>
      </x:c>
      <x:c r="AC23" s="29" t="n">
        <x:f>VLOOKUP(G23,'03_灵植表'!$B$5:$S$52,10,FALSE)*VLOOKUP(H23,'04_参数字典'!$A$5:$D$7,2,FALSE)*I23</x:f>
        <x:v>12</x:v>
      </x:c>
      <x:c r="AD23" s="29" t="n">
        <x:f>VLOOKUP(C23,'01_丹方主表'!$B$5:$AF$19,16,FALSE)</x:f>
        <x:v>8</x:v>
      </x:c>
      <x:c r="AE23" s="29" t="str">
        <x:f>IF(AC23&gt;=AD23,"通过","失败")</x:f>
        <x:v>通过</x:v>
      </x:c>
      <x:c r="AF23" s="29" t="n">
        <x:f>I23+L23+O23+R23</x:f>
        <x:v>5</x:v>
      </x:c>
      <x:c r="AG23" s="29" t="n">
        <x:f>VLOOKUP(C23,'01_丹方主表'!$B$5:$AF$19,17,FALSE)</x:f>
        <x:v>8</x:v>
      </x:c>
      <x:c r="AH23" s="29" t="str">
        <x:f>IF(AF23&lt;=AG23,"通过","失败")</x:f>
        <x:v>通过</x:v>
      </x:c>
      <x:c r="AI23" s="32" t="n">
        <x:f>VLOOKUP(G23,'03_灵植表'!$B$5:$S$52,12,FALSE)*VLOOKUP(H23,'04_参数字典'!$A$5:$D$7,3,FALSE)*I23+VLOOKUP(J23,'03_灵植表'!$B$5:$S$52,12,FALSE)*VLOOKUP(K23,'04_参数字典'!$A$5:$D$7,3,FALSE)*L23+VLOOKUP(M23,'03_灵植表'!$B$5:$S$52,12,FALSE)*VLOOKUP(N23,'04_参数字典'!$A$5:$D$7,3,FALSE)*O23+VLOOKUP(P23,'03_灵植表'!$B$5:$S$52,12,FALSE)*VLOOKUP(Q23,'04_参数字典'!$A$5:$D$7,3,FALSE)*R23</x:f>
        <x:v>187</x:v>
      </x:c>
      <x:c r="AJ23" s="32" t="n">
        <x:f>VLOOKUP(C23,'01_丹方主表'!$B$5:$AF$19,21,FALSE)*VLOOKUP(AL23,'04_参数字典'!$A$5:$D$7,4,FALSE)</x:f>
        <x:v>320</x:v>
      </x:c>
      <x:c r="AK23" s="32" t="n">
        <x:f>AJ23-AI23</x:f>
        <x:v>133</x:v>
      </x:c>
      <x:c r="AL23" s="29" t="str">
        <x:v>灵</x:v>
      </x:c>
      <x:c r="AM23" s="29" t="str">
        <x:f>VLOOKUP(C23,'01_丹方主表'!$B$5:$AF$19,23,FALSE)</x:f>
        <x:v>health_restore_tick</x:v>
      </x:c>
      <x:c r="AN23" s="33" t="n">
        <x:f>VLOOKUP(C23,'01_丹方主表'!$B$5:$AF$19,24,FALSE)</x:f>
        <x:v>70</x:v>
      </x:c>
      <x:c r="AO23" s="33" t="str">
        <x:f>VLOOKUP(C23,'01_丹方主表'!$B$5:$AF$19,25,FALSE)</x:f>
        <x:v>duration_round</x:v>
      </x:c>
      <x:c r="AP23" s="33" t="n">
        <x:f>VLOOKUP(C23,'01_丹方主表'!$B$5:$AF$19,26,FALSE)</x:f>
        <x:v>5</x:v>
      </x:c>
      <x:c r="AQ23" s="29" t="n">
        <x:f>VLOOKUP(C23,'01_丹方主表'!$B$5:$AF$19,22,FALSE)</x:f>
        <x:v>2</x:v>
      </x:c>
      <x:c r="AR23" s="29" t="str">
        <x:f>C23&amp;"|"&amp;G23&amp;"|"&amp;J23&amp;"|"&amp;M23&amp;"|"&amp;P23</x:f>
        <x:v>F-ZJ-07|J-ZJ-06|M-ZJ-MU-P|A-ZJ-P|E-ZJ-SUAN-P</x:v>
      </x:c>
      <x:c r="AS23" s="29" t="str">
        <x:f>IF(AND(T23="通过",V23="通过",Y23="通过",AB23="通过",AE23="通过",AH23="通过",AK23&gt;=0),"通过","失败")</x:f>
        <x:v>通过</x:v>
      </x:c>
      <x:c r="AT23" s="16" t="str">
        <x:v>师承标准方：材料常见、方性直观，获得丹方即自动填入。</x:v>
      </x:c>
    </x:row>
    <x:row r="24">
      <x:c r="A24" s="23" t="n">
        <x:v>20</x:v>
      </x:c>
      <x:c r="B24" s="23" t="str">
        <x:v>TS-F-ZJ-07-C</x:v>
      </x:c>
      <x:c r="C24" s="23" t="str">
        <x:v>F-ZJ-07</x:v>
      </x:c>
      <x:c r="D24" s="23" t="str">
        <x:f>VLOOKUP(C24,'01_丹方主表'!$B$5:$AF$19,2,FALSE)</x:f>
        <x:v>绵愈丹</x:v>
      </x:c>
      <x:c r="E24" s="23" t="str">
        <x:v>廉价</x:v>
      </x:c>
      <x:c r="F24" s="23" t="str">
        <x:v>否</x:v>
      </x:c>
      <x:c r="G24" s="23" t="str">
        <x:v>J-ZJ-06</x:v>
      </x:c>
      <x:c r="H24" s="23" t="str">
        <x:v>灵</x:v>
      </x:c>
      <x:c r="I24" s="23" t="n">
        <x:v>2</x:v>
      </x:c>
      <x:c r="J24" s="23" t="str">
        <x:v>M-ZJ-MU-C</x:v>
      </x:c>
      <x:c r="K24" s="23" t="str">
        <x:v>凡</x:v>
      </x:c>
      <x:c r="L24" s="23" t="n">
        <x:v>2</x:v>
      </x:c>
      <x:c r="M24" s="23" t="str">
        <x:v>A-ZJ-C</x:v>
      </x:c>
      <x:c r="N24" s="23" t="str">
        <x:v>凡</x:v>
      </x:c>
      <x:c r="O24" s="23" t="n">
        <x:v>2</x:v>
      </x:c>
      <x:c r="P24" s="23" t="str">
        <x:v>E-ZJ-SUAN-C</x:v>
      </x:c>
      <x:c r="Q24" s="23" t="str">
        <x:v>凡</x:v>
      </x:c>
      <x:c r="R24" s="23" t="n">
        <x:v>1</x:v>
      </x:c>
      <x:c r="S24" s="29" t="str">
        <x:f>VLOOKUP(J24,'03_灵植表'!$B$5:$S$52,6,FALSE)</x:f>
        <x:v>木</x:v>
      </x:c>
      <x:c r="T24" s="29" t="str">
        <x:f>IF(S24=VLOOKUP(C24,'01_丹方主表'!$B$5:$AF$19,10,FALSE),"通过","失败")</x:f>
        <x:v>通过</x:v>
      </x:c>
      <x:c r="U24" s="29" t="str">
        <x:f>VLOOKUP(P24,'03_灵植表'!$B$5:$S$52,7,FALSE)</x:f>
        <x:v>酸</x:v>
      </x:c>
      <x:c r="V24" s="29" t="str">
        <x:f>IF(U24=VLOOKUP(C24,'01_丹方主表'!$B$5:$AF$19,11,FALSE),"通过","失败")</x:f>
        <x:v>通过</x:v>
      </x:c>
      <x:c r="W24" s="29" t="n">
        <x:f>VLOOKUP(C24,'01_丹方主表'!$B$5:$AF$19,13,FALSE)</x:f>
        <x:v>0</x:v>
      </x:c>
      <x:c r="X24" s="29" t="n">
        <x:f>VLOOKUP(G24,'03_灵植表'!$B$5:$S$52,9,FALSE)+VLOOKUP(J24,'03_灵植表'!$B$5:$S$52,9,FALSE)+VLOOKUP(M24,'03_灵植表'!$B$5:$S$52,9,FALSE)+VLOOKUP(P24,'03_灵植表'!$B$5:$S$52,9,FALSE)</x:f>
        <x:v>0</x:v>
      </x:c>
      <x:c r="Y24" s="29" t="str">
        <x:f>IF(W24=X24,"通过","失败")</x:f>
        <x:v>通过</x:v>
      </x:c>
      <x:c r="Z24" s="29" t="n">
        <x:f>VLOOKUP(G24,'03_灵植表'!$B$5:$S$52,10,FALSE)*VLOOKUP(H24,'04_参数字典'!$A$5:$D$7,2,FALSE)*I24+VLOOKUP(J24,'03_灵植表'!$B$5:$S$52,10,FALSE)*VLOOKUP(K24,'04_参数字典'!$A$5:$D$7,2,FALSE)*L24+VLOOKUP(M24,'03_灵植表'!$B$5:$S$52,10,FALSE)*VLOOKUP(N24,'04_参数字典'!$A$5:$D$7,2,FALSE)*O24+VLOOKUP(P24,'03_灵植表'!$B$5:$S$52,10,FALSE)*VLOOKUP(Q24,'04_参数字典'!$A$5:$D$7,2,FALSE)*R24</x:f>
        <x:v>25.2</x:v>
      </x:c>
      <x:c r="AA24" s="29" t="n">
        <x:f>VLOOKUP(C24,'01_丹方主表'!$B$5:$AF$19,14,FALSE)</x:f>
        <x:v>24</x:v>
      </x:c>
      <x:c r="AB24" s="29" t="str">
        <x:f>IF(Z24&gt;=AA24,"通过","失败")</x:f>
        <x:v>通过</x:v>
      </x:c>
      <x:c r="AC24" s="29" t="n">
        <x:f>VLOOKUP(G24,'03_灵植表'!$B$5:$S$52,10,FALSE)*VLOOKUP(H24,'04_参数字典'!$A$5:$D$7,2,FALSE)*I24</x:f>
        <x:v>12</x:v>
      </x:c>
      <x:c r="AD24" s="29" t="n">
        <x:f>VLOOKUP(C24,'01_丹方主表'!$B$5:$AF$19,16,FALSE)</x:f>
        <x:v>8</x:v>
      </x:c>
      <x:c r="AE24" s="29" t="str">
        <x:f>IF(AC24&gt;=AD24,"通过","失败")</x:f>
        <x:v>通过</x:v>
      </x:c>
      <x:c r="AF24" s="29" t="n">
        <x:f>I24+L24+O24+R24</x:f>
        <x:v>7</x:v>
      </x:c>
      <x:c r="AG24" s="29" t="n">
        <x:f>VLOOKUP(C24,'01_丹方主表'!$B$5:$AF$19,17,FALSE)</x:f>
        <x:v>8</x:v>
      </x:c>
      <x:c r="AH24" s="29" t="str">
        <x:f>IF(AF24&lt;=AG24,"通过","失败")</x:f>
        <x:v>通过</x:v>
      </x:c>
      <x:c r="AI24" s="32" t="n">
        <x:f>VLOOKUP(G24,'03_灵植表'!$B$5:$S$52,12,FALSE)*VLOOKUP(H24,'04_参数字典'!$A$5:$D$7,3,FALSE)*I24+VLOOKUP(J24,'03_灵植表'!$B$5:$S$52,12,FALSE)*VLOOKUP(K24,'04_参数字典'!$A$5:$D$7,3,FALSE)*L24+VLOOKUP(M24,'03_灵植表'!$B$5:$S$52,12,FALSE)*VLOOKUP(N24,'04_参数字典'!$A$5:$D$7,3,FALSE)*O24+VLOOKUP(P24,'03_灵植表'!$B$5:$S$52,12,FALSE)*VLOOKUP(Q24,'04_参数字典'!$A$5:$D$7,3,FALSE)*R24</x:f>
        <x:v>129</x:v>
      </x:c>
      <x:c r="AJ24" s="32" t="n">
        <x:f>VLOOKUP(C24,'01_丹方主表'!$B$5:$AF$19,21,FALSE)*VLOOKUP(AL24,'04_参数字典'!$A$5:$D$7,4,FALSE)</x:f>
        <x:v>160</x:v>
      </x:c>
      <x:c r="AK24" s="32" t="n">
        <x:f>AJ24-AI24</x:f>
        <x:v>31</x:v>
      </x:c>
      <x:c r="AL24" s="29" t="str">
        <x:v>凡</x:v>
      </x:c>
      <x:c r="AM24" s="29" t="str">
        <x:f>VLOOKUP(C24,'01_丹方主表'!$B$5:$AF$19,23,FALSE)</x:f>
        <x:v>health_restore_tick</x:v>
      </x:c>
      <x:c r="AN24" s="33" t="n">
        <x:f>VLOOKUP(C24,'01_丹方主表'!$B$5:$AF$19,24,FALSE)</x:f>
        <x:v>70</x:v>
      </x:c>
      <x:c r="AO24" s="33" t="str">
        <x:f>VLOOKUP(C24,'01_丹方主表'!$B$5:$AF$19,25,FALSE)</x:f>
        <x:v>duration_round</x:v>
      </x:c>
      <x:c r="AP24" s="33" t="n">
        <x:f>VLOOKUP(C24,'01_丹方主表'!$B$5:$AF$19,26,FALSE)</x:f>
        <x:v>5</x:v>
      </x:c>
      <x:c r="AQ24" s="29" t="n">
        <x:f>VLOOKUP(C24,'01_丹方主表'!$B$5:$AF$19,22,FALSE)</x:f>
        <x:v>2</x:v>
      </x:c>
      <x:c r="AR24" s="29" t="str">
        <x:f>C24&amp;"|"&amp;G24&amp;"|"&amp;J24&amp;"|"&amp;M24&amp;"|"&amp;P24</x:f>
        <x:v>F-ZJ-07|J-ZJ-06|M-ZJ-MU-C|A-ZJ-C|E-ZJ-SUAN-C</x:v>
      </x:c>
      <x:c r="AS24" s="29" t="str">
        <x:f>IF(AND(T24="通过",V24="通过",Y24="通过",AB24="通过",AE24="通过",AH24="通过",AK24&gt;=0),"通过","失败")</x:f>
        <x:v>通过</x:v>
      </x:c>
      <x:c r="AT24" s="16" t="str">
        <x:v>低成本方：辅材便宜但多占份数，适合卖药与资源紧张时。</x:v>
      </x:c>
    </x:row>
    <x:row r="25">
      <x:c r="A25" s="23" t="n">
        <x:v>21</x:v>
      </x:c>
      <x:c r="B25" s="23" t="str">
        <x:v>TS-F-ZJ-07-R</x:v>
      </x:c>
      <x:c r="C25" s="23" t="str">
        <x:v>F-ZJ-07</x:v>
      </x:c>
      <x:c r="D25" s="23" t="str">
        <x:f>VLOOKUP(C25,'01_丹方主表'!$B$5:$AF$19,2,FALSE)</x:f>
        <x:v>绵愈丹</x:v>
      </x:c>
      <x:c r="E25" s="23" t="str">
        <x:v>精炼</x:v>
      </x:c>
      <x:c r="F25" s="23" t="str">
        <x:v>否</x:v>
      </x:c>
      <x:c r="G25" s="23" t="str">
        <x:v>J-ZJ-06</x:v>
      </x:c>
      <x:c r="H25" s="23" t="str">
        <x:v>玄</x:v>
      </x:c>
      <x:c r="I25" s="23" t="n">
        <x:v>2</x:v>
      </x:c>
      <x:c r="J25" s="23" t="str">
        <x:v>M-ZJ-MU-P</x:v>
      </x:c>
      <x:c r="K25" s="23" t="str">
        <x:v>玄</x:v>
      </x:c>
      <x:c r="L25" s="23" t="n">
        <x:v>1</x:v>
      </x:c>
      <x:c r="M25" s="23" t="str">
        <x:v>A-ZJ-C</x:v>
      </x:c>
      <x:c r="N25" s="23" t="str">
        <x:v>玄</x:v>
      </x:c>
      <x:c r="O25" s="23" t="n">
        <x:v>1</x:v>
      </x:c>
      <x:c r="P25" s="23" t="str">
        <x:v>E-ZJ-SUAN-S</x:v>
      </x:c>
      <x:c r="Q25" s="23" t="str">
        <x:v>玄</x:v>
      </x:c>
      <x:c r="R25" s="23" t="n">
        <x:v>1</x:v>
      </x:c>
      <x:c r="S25" s="29" t="str">
        <x:f>VLOOKUP(J25,'03_灵植表'!$B$5:$S$52,6,FALSE)</x:f>
        <x:v>木</x:v>
      </x:c>
      <x:c r="T25" s="29" t="str">
        <x:f>IF(S25=VLOOKUP(C25,'01_丹方主表'!$B$5:$AF$19,10,FALSE),"通过","失败")</x:f>
        <x:v>通过</x:v>
      </x:c>
      <x:c r="U25" s="29" t="str">
        <x:f>VLOOKUP(P25,'03_灵植表'!$B$5:$S$52,7,FALSE)</x:f>
        <x:v>酸</x:v>
      </x:c>
      <x:c r="V25" s="29" t="str">
        <x:f>IF(U25=VLOOKUP(C25,'01_丹方主表'!$B$5:$AF$19,11,FALSE),"通过","失败")</x:f>
        <x:v>通过</x:v>
      </x:c>
      <x:c r="W25" s="29" t="n">
        <x:f>VLOOKUP(C25,'01_丹方主表'!$B$5:$AF$19,13,FALSE)</x:f>
        <x:v>0</x:v>
      </x:c>
      <x:c r="X25" s="29" t="n">
        <x:f>VLOOKUP(G25,'03_灵植表'!$B$5:$S$52,9,FALSE)+VLOOKUP(J25,'03_灵植表'!$B$5:$S$52,9,FALSE)+VLOOKUP(M25,'03_灵植表'!$B$5:$S$52,9,FALSE)+VLOOKUP(P25,'03_灵植表'!$B$5:$S$52,9,FALSE)</x:f>
        <x:v>0</x:v>
      </x:c>
      <x:c r="Y25" s="29" t="str">
        <x:f>IF(W25=X25,"通过","失败")</x:f>
        <x:v>通过</x:v>
      </x:c>
      <x:c r="Z25" s="29" t="n">
        <x:f>VLOOKUP(G25,'03_灵植表'!$B$5:$S$52,10,FALSE)*VLOOKUP(H25,'04_参数字典'!$A$5:$D$7,2,FALSE)*I25+VLOOKUP(J25,'03_灵植表'!$B$5:$S$52,10,FALSE)*VLOOKUP(K25,'04_参数字典'!$A$5:$D$7,2,FALSE)*L25+VLOOKUP(M25,'03_灵植表'!$B$5:$S$52,10,FALSE)*VLOOKUP(N25,'04_参数字典'!$A$5:$D$7,2,FALSE)*O25+VLOOKUP(P25,'03_灵植表'!$B$5:$S$52,10,FALSE)*VLOOKUP(Q25,'04_参数字典'!$A$5:$D$7,2,FALSE)*R25</x:f>
        <x:v>46.8</x:v>
      </x:c>
      <x:c r="AA25" s="29" t="n">
        <x:f>VLOOKUP(C25,'01_丹方主表'!$B$5:$AF$19,14,FALSE)</x:f>
        <x:v>24</x:v>
      </x:c>
      <x:c r="AB25" s="29" t="str">
        <x:f>IF(Z25&gt;=AA25,"通过","失败")</x:f>
        <x:v>通过</x:v>
      </x:c>
      <x:c r="AC25" s="29" t="n">
        <x:f>VLOOKUP(G25,'03_灵植表'!$B$5:$S$52,10,FALSE)*VLOOKUP(H25,'04_参数字典'!$A$5:$D$7,2,FALSE)*I25</x:f>
        <x:v>18</x:v>
      </x:c>
      <x:c r="AD25" s="29" t="n">
        <x:f>VLOOKUP(C25,'01_丹方主表'!$B$5:$AF$19,16,FALSE)</x:f>
        <x:v>8</x:v>
      </x:c>
      <x:c r="AE25" s="29" t="str">
        <x:f>IF(AC25&gt;=AD25,"通过","失败")</x:f>
        <x:v>通过</x:v>
      </x:c>
      <x:c r="AF25" s="29" t="n">
        <x:f>I25+L25+O25+R25</x:f>
        <x:v>5</x:v>
      </x:c>
      <x:c r="AG25" s="29" t="n">
        <x:f>VLOOKUP(C25,'01_丹方主表'!$B$5:$AF$19,17,FALSE)</x:f>
        <x:v>8</x:v>
      </x:c>
      <x:c r="AH25" s="29" t="str">
        <x:f>IF(AF25&lt;=AG25,"通过","失败")</x:f>
        <x:v>通过</x:v>
      </x:c>
      <x:c r="AI25" s="32" t="n">
        <x:f>VLOOKUP(G25,'03_灵植表'!$B$5:$S$52,12,FALSE)*VLOOKUP(H25,'04_参数字典'!$A$5:$D$7,3,FALSE)*I25+VLOOKUP(J25,'03_灵植表'!$B$5:$S$52,12,FALSE)*VLOOKUP(K25,'04_参数字典'!$A$5:$D$7,3,FALSE)*L25+VLOOKUP(M25,'03_灵植表'!$B$5:$S$52,12,FALSE)*VLOOKUP(N25,'04_参数字典'!$A$5:$D$7,3,FALSE)*O25+VLOOKUP(P25,'03_灵植表'!$B$5:$S$52,12,FALSE)*VLOOKUP(Q25,'04_参数字典'!$A$5:$D$7,3,FALSE)*R25</x:f>
        <x:v>375</x:v>
      </x:c>
      <x:c r="AJ25" s="32" t="n">
        <x:f>VLOOKUP(C25,'01_丹方主表'!$B$5:$AF$19,21,FALSE)*VLOOKUP(AL25,'04_参数字典'!$A$5:$D$7,4,FALSE)</x:f>
        <x:v>640</x:v>
      </x:c>
      <x:c r="AK25" s="32" t="n">
        <x:f>AJ25-AI25</x:f>
        <x:v>265</x:v>
      </x:c>
      <x:c r="AL25" s="29" t="str">
        <x:v>玄</x:v>
      </x:c>
      <x:c r="AM25" s="29" t="str">
        <x:f>VLOOKUP(C25,'01_丹方主表'!$B$5:$AF$19,23,FALSE)</x:f>
        <x:v>health_restore_tick</x:v>
      </x:c>
      <x:c r="AN25" s="33" t="n">
        <x:f>VLOOKUP(C25,'01_丹方主表'!$B$5:$AF$19,24,FALSE)</x:f>
        <x:v>70</x:v>
      </x:c>
      <x:c r="AO25" s="33" t="str">
        <x:f>VLOOKUP(C25,'01_丹方主表'!$B$5:$AF$19,25,FALSE)</x:f>
        <x:v>duration_round</x:v>
      </x:c>
      <x:c r="AP25" s="33" t="n">
        <x:f>VLOOKUP(C25,'01_丹方主表'!$B$5:$AF$19,26,FALSE)</x:f>
        <x:v>5</x:v>
      </x:c>
      <x:c r="AQ25" s="29" t="n">
        <x:f>VLOOKUP(C25,'01_丹方主表'!$B$5:$AF$19,22,FALSE)</x:f>
        <x:v>2</x:v>
      </x:c>
      <x:c r="AR25" s="29" t="str">
        <x:f>C25&amp;"|"&amp;G25&amp;"|"&amp;J25&amp;"|"&amp;M25&amp;"|"&amp;P25</x:f>
        <x:v>F-ZJ-07|J-ZJ-06|M-ZJ-MU-P|A-ZJ-C|E-ZJ-SUAN-S</x:v>
      </x:c>
      <x:c r="AS25" s="29" t="str">
        <x:f>IF(AND(T25="通过",V25="通过",Y25="通过",AB25="通过",AE25="通过",AH25="通过",AK25&gt;=0),"通过","失败")</x:f>
        <x:v>通过</x:v>
      </x:c>
      <x:c r="AT25" s="16" t="str">
        <x:v>精炼方：高品质材料与药力余量，适合冲击高品丹。</x:v>
      </x:c>
    </x:row>
    <x:row r="26">
      <x:c r="A26" s="23" t="n">
        <x:v>22</x:v>
      </x:c>
      <x:c r="B26" s="23" t="str">
        <x:v>TS-F-ZJ-08-D</x:v>
      </x:c>
      <x:c r="C26" s="23" t="str">
        <x:v>F-ZJ-08</x:v>
      </x:c>
      <x:c r="D26" s="23" t="str">
        <x:f>VLOOKUP(C26,'01_丹方主表'!$B$5:$AF$19,2,FALSE)</x:f>
        <x:v>涤元丹</x:v>
      </x:c>
      <x:c r="E26" s="23" t="str">
        <x:v>默认</x:v>
      </x:c>
      <x:c r="F26" s="23" t="str">
        <x:v>是</x:v>
      </x:c>
      <x:c r="G26" s="23" t="str">
        <x:v>J-ZJ-08</x:v>
      </x:c>
      <x:c r="H26" s="23" t="str">
        <x:v>灵</x:v>
      </x:c>
      <x:c r="I26" s="23" t="n">
        <x:v>2</x:v>
      </x:c>
      <x:c r="J26" s="23" t="str">
        <x:v>M-ZJ-JIN-P</x:v>
      </x:c>
      <x:c r="K26" s="23" t="str">
        <x:v>灵</x:v>
      </x:c>
      <x:c r="L26" s="23" t="n">
        <x:v>1</x:v>
      </x:c>
      <x:c r="M26" s="23" t="str">
        <x:v>A-ZJ-P</x:v>
      </x:c>
      <x:c r="N26" s="23" t="str">
        <x:v>灵</x:v>
      </x:c>
      <x:c r="O26" s="23" t="n">
        <x:v>1</x:v>
      </x:c>
      <x:c r="P26" s="23" t="str">
        <x:v>E-ZJ-GAN-P</x:v>
      </x:c>
      <x:c r="Q26" s="23" t="str">
        <x:v>灵</x:v>
      </x:c>
      <x:c r="R26" s="23" t="n">
        <x:v>1</x:v>
      </x:c>
      <x:c r="S26" s="29" t="str">
        <x:f>VLOOKUP(J26,'03_灵植表'!$B$5:$S$52,6,FALSE)</x:f>
        <x:v>金</x:v>
      </x:c>
      <x:c r="T26" s="29" t="str">
        <x:f>IF(S26=VLOOKUP(C26,'01_丹方主表'!$B$5:$AF$19,10,FALSE),"通过","失败")</x:f>
        <x:v>通过</x:v>
      </x:c>
      <x:c r="U26" s="29" t="str">
        <x:f>VLOOKUP(P26,'03_灵植表'!$B$5:$S$52,7,FALSE)</x:f>
        <x:v>甘</x:v>
      </x:c>
      <x:c r="V26" s="29" t="str">
        <x:f>IF(U26=VLOOKUP(C26,'01_丹方主表'!$B$5:$AF$19,11,FALSE),"通过","失败")</x:f>
        <x:v>通过</x:v>
      </x:c>
      <x:c r="W26" s="29" t="n">
        <x:f>VLOOKUP(C26,'01_丹方主表'!$B$5:$AF$19,13,FALSE)</x:f>
        <x:v>-1</x:v>
      </x:c>
      <x:c r="X26" s="29" t="n">
        <x:f>VLOOKUP(G26,'03_灵植表'!$B$5:$S$52,9,FALSE)+VLOOKUP(J26,'03_灵植表'!$B$5:$S$52,9,FALSE)+VLOOKUP(M26,'03_灵植表'!$B$5:$S$52,9,FALSE)+VLOOKUP(P26,'03_灵植表'!$B$5:$S$52,9,FALSE)</x:f>
        <x:v>-1</x:v>
      </x:c>
      <x:c r="Y26" s="29" t="str">
        <x:f>IF(W26=X26,"通过","失败")</x:f>
        <x:v>通过</x:v>
      </x:c>
      <x:c r="Z26" s="29" t="n">
        <x:f>VLOOKUP(G26,'03_灵植表'!$B$5:$S$52,10,FALSE)*VLOOKUP(H26,'04_参数字典'!$A$5:$D$7,2,FALSE)*I26+VLOOKUP(J26,'03_灵植表'!$B$5:$S$52,10,FALSE)*VLOOKUP(K26,'04_参数字典'!$A$5:$D$7,2,FALSE)*L26+VLOOKUP(M26,'03_灵植表'!$B$5:$S$52,10,FALSE)*VLOOKUP(N26,'04_参数字典'!$A$5:$D$7,2,FALSE)*O26+VLOOKUP(P26,'03_灵植表'!$B$5:$S$52,10,FALSE)*VLOOKUP(Q26,'04_参数字典'!$A$5:$D$7,2,FALSE)*R26</x:f>
        <x:v>33.6</x:v>
      </x:c>
      <x:c r="AA26" s="29" t="n">
        <x:f>VLOOKUP(C26,'01_丹方主表'!$B$5:$AF$19,14,FALSE)</x:f>
        <x:v>24</x:v>
      </x:c>
      <x:c r="AB26" s="29" t="str">
        <x:f>IF(Z26&gt;=AA26,"通过","失败")</x:f>
        <x:v>通过</x:v>
      </x:c>
      <x:c r="AC26" s="29" t="n">
        <x:f>VLOOKUP(G26,'03_灵植表'!$B$5:$S$52,10,FALSE)*VLOOKUP(H26,'04_参数字典'!$A$5:$D$7,2,FALSE)*I26</x:f>
        <x:v>12</x:v>
      </x:c>
      <x:c r="AD26" s="29" t="n">
        <x:f>VLOOKUP(C26,'01_丹方主表'!$B$5:$AF$19,16,FALSE)</x:f>
        <x:v>8</x:v>
      </x:c>
      <x:c r="AE26" s="29" t="str">
        <x:f>IF(AC26&gt;=AD26,"通过","失败")</x:f>
        <x:v>通过</x:v>
      </x:c>
      <x:c r="AF26" s="29" t="n">
        <x:f>I26+L26+O26+R26</x:f>
        <x:v>5</x:v>
      </x:c>
      <x:c r="AG26" s="29" t="n">
        <x:f>VLOOKUP(C26,'01_丹方主表'!$B$5:$AF$19,17,FALSE)</x:f>
        <x:v>8</x:v>
      </x:c>
      <x:c r="AH26" s="29" t="str">
        <x:f>IF(AF26&lt;=AG26,"通过","失败")</x:f>
        <x:v>通过</x:v>
      </x:c>
      <x:c r="AI26" s="32" t="n">
        <x:f>VLOOKUP(G26,'03_灵植表'!$B$5:$S$52,12,FALSE)*VLOOKUP(H26,'04_参数字典'!$A$5:$D$7,3,FALSE)*I26+VLOOKUP(J26,'03_灵植表'!$B$5:$S$52,12,FALSE)*VLOOKUP(K26,'04_参数字典'!$A$5:$D$7,3,FALSE)*L26+VLOOKUP(M26,'03_灵植表'!$B$5:$S$52,12,FALSE)*VLOOKUP(N26,'04_参数字典'!$A$5:$D$7,3,FALSE)*O26+VLOOKUP(P26,'03_灵植表'!$B$5:$S$52,12,FALSE)*VLOOKUP(Q26,'04_参数字典'!$A$5:$D$7,3,FALSE)*R26</x:f>
        <x:v>275</x:v>
      </x:c>
      <x:c r="AJ26" s="32" t="n">
        <x:f>VLOOKUP(C26,'01_丹方主表'!$B$5:$AF$19,21,FALSE)*VLOOKUP(AL26,'04_参数字典'!$A$5:$D$7,4,FALSE)</x:f>
        <x:v>1000</x:v>
      </x:c>
      <x:c r="AK26" s="32" t="n">
        <x:f>AJ26-AI26</x:f>
        <x:v>725</x:v>
      </x:c>
      <x:c r="AL26" s="29" t="str">
        <x:v>灵</x:v>
      </x:c>
      <x:c r="AM26" s="29" t="str">
        <x:f>VLOOKUP(C26,'01_丹方主表'!$B$5:$AF$19,23,FALSE)</x:f>
        <x:v>cultivation_toxin_remove</x:v>
      </x:c>
      <x:c r="AN26" s="33" t="n">
        <x:f>VLOOKUP(C26,'01_丹方主表'!$B$5:$AF$19,24,FALSE)</x:f>
        <x:v>20</x:v>
      </x:c>
      <x:c r="AO26" s="33" t="str">
        <x:f>VLOOKUP(C26,'01_丹方主表'!$B$5:$AF$19,25,FALSE)</x:f>
      </x:c>
      <x:c r="AP26" s="33" t="n">
        <x:f>VLOOKUP(C26,'01_丹方主表'!$B$5:$AF$19,26,FALSE)</x:f>
        <x:v>0</x:v>
      </x:c>
      <x:c r="AQ26" s="29" t="n">
        <x:f>VLOOKUP(C26,'01_丹方主表'!$B$5:$AF$19,22,FALSE)</x:f>
        <x:v>0</x:v>
      </x:c>
      <x:c r="AR26" s="29" t="str">
        <x:f>C26&amp;"|"&amp;G26&amp;"|"&amp;J26&amp;"|"&amp;M26&amp;"|"&amp;P26</x:f>
        <x:v>F-ZJ-08|J-ZJ-08|M-ZJ-JIN-P|A-ZJ-P|E-ZJ-GAN-P</x:v>
      </x:c>
      <x:c r="AS26" s="29" t="str">
        <x:f>IF(AND(T26="通过",V26="通过",Y26="通过",AB26="通过",AE26="通过",AH26="通过",AK26&gt;=0),"通过","失败")</x:f>
        <x:v>通过</x:v>
      </x:c>
      <x:c r="AT26" s="16" t="str">
        <x:v>师承标准方：材料常见、方性直观，获得丹方即自动填入。</x:v>
      </x:c>
    </x:row>
    <x:row r="27">
      <x:c r="A27" s="23" t="n">
        <x:v>23</x:v>
      </x:c>
      <x:c r="B27" s="23" t="str">
        <x:v>TS-F-ZJ-08-C</x:v>
      </x:c>
      <x:c r="C27" s="23" t="str">
        <x:v>F-ZJ-08</x:v>
      </x:c>
      <x:c r="D27" s="23" t="str">
        <x:f>VLOOKUP(C27,'01_丹方主表'!$B$5:$AF$19,2,FALSE)</x:f>
        <x:v>涤元丹</x:v>
      </x:c>
      <x:c r="E27" s="23" t="str">
        <x:v>廉价</x:v>
      </x:c>
      <x:c r="F27" s="23" t="str">
        <x:v>否</x:v>
      </x:c>
      <x:c r="G27" s="23" t="str">
        <x:v>J-ZJ-08</x:v>
      </x:c>
      <x:c r="H27" s="23" t="str">
        <x:v>灵</x:v>
      </x:c>
      <x:c r="I27" s="23" t="n">
        <x:v>2</x:v>
      </x:c>
      <x:c r="J27" s="23" t="str">
        <x:v>M-ZJ-JIN-C</x:v>
      </x:c>
      <x:c r="K27" s="23" t="str">
        <x:v>凡</x:v>
      </x:c>
      <x:c r="L27" s="23" t="n">
        <x:v>2</x:v>
      </x:c>
      <x:c r="M27" s="23" t="str">
        <x:v>A-ZJ-W</x:v>
      </x:c>
      <x:c r="N27" s="23" t="str">
        <x:v>凡</x:v>
      </x:c>
      <x:c r="O27" s="23" t="n">
        <x:v>2</x:v>
      </x:c>
      <x:c r="P27" s="23" t="str">
        <x:v>E-ZJ-GAN-C</x:v>
      </x:c>
      <x:c r="Q27" s="23" t="str">
        <x:v>凡</x:v>
      </x:c>
      <x:c r="R27" s="23" t="n">
        <x:v>1</x:v>
      </x:c>
      <x:c r="S27" s="29" t="str">
        <x:f>VLOOKUP(J27,'03_灵植表'!$B$5:$S$52,6,FALSE)</x:f>
        <x:v>金</x:v>
      </x:c>
      <x:c r="T27" s="29" t="str">
        <x:f>IF(S27=VLOOKUP(C27,'01_丹方主表'!$B$5:$AF$19,10,FALSE),"通过","失败")</x:f>
        <x:v>通过</x:v>
      </x:c>
      <x:c r="U27" s="29" t="str">
        <x:f>VLOOKUP(P27,'03_灵植表'!$B$5:$S$52,7,FALSE)</x:f>
        <x:v>甘</x:v>
      </x:c>
      <x:c r="V27" s="29" t="str">
        <x:f>IF(U27=VLOOKUP(C27,'01_丹方主表'!$B$5:$AF$19,11,FALSE),"通过","失败")</x:f>
        <x:v>通过</x:v>
      </x:c>
      <x:c r="W27" s="29" t="n">
        <x:f>VLOOKUP(C27,'01_丹方主表'!$B$5:$AF$19,13,FALSE)</x:f>
        <x:v>-1</x:v>
      </x:c>
      <x:c r="X27" s="29" t="n">
        <x:f>VLOOKUP(G27,'03_灵植表'!$B$5:$S$52,9,FALSE)+VLOOKUP(J27,'03_灵植表'!$B$5:$S$52,9,FALSE)+VLOOKUP(M27,'03_灵植表'!$B$5:$S$52,9,FALSE)+VLOOKUP(P27,'03_灵植表'!$B$5:$S$52,9,FALSE)</x:f>
        <x:v>-1</x:v>
      </x:c>
      <x:c r="Y27" s="29" t="str">
        <x:f>IF(W27=X27,"通过","失败")</x:f>
        <x:v>通过</x:v>
      </x:c>
      <x:c r="Z27" s="29" t="n">
        <x:f>VLOOKUP(G27,'03_灵植表'!$B$5:$S$52,10,FALSE)*VLOOKUP(H27,'04_参数字典'!$A$5:$D$7,2,FALSE)*I27+VLOOKUP(J27,'03_灵植表'!$B$5:$S$52,10,FALSE)*VLOOKUP(K27,'04_参数字典'!$A$5:$D$7,2,FALSE)*L27+VLOOKUP(M27,'03_灵植表'!$B$5:$S$52,10,FALSE)*VLOOKUP(N27,'04_参数字典'!$A$5:$D$7,2,FALSE)*O27+VLOOKUP(P27,'03_灵植表'!$B$5:$S$52,10,FALSE)*VLOOKUP(Q27,'04_参数字典'!$A$5:$D$7,2,FALSE)*R27</x:f>
        <x:v>25.2</x:v>
      </x:c>
      <x:c r="AA27" s="29" t="n">
        <x:f>VLOOKUP(C27,'01_丹方主表'!$B$5:$AF$19,14,FALSE)</x:f>
        <x:v>24</x:v>
      </x:c>
      <x:c r="AB27" s="29" t="str">
        <x:f>IF(Z27&gt;=AA27,"通过","失败")</x:f>
        <x:v>通过</x:v>
      </x:c>
      <x:c r="AC27" s="29" t="n">
        <x:f>VLOOKUP(G27,'03_灵植表'!$B$5:$S$52,10,FALSE)*VLOOKUP(H27,'04_参数字典'!$A$5:$D$7,2,FALSE)*I27</x:f>
        <x:v>12</x:v>
      </x:c>
      <x:c r="AD27" s="29" t="n">
        <x:f>VLOOKUP(C27,'01_丹方主表'!$B$5:$AF$19,16,FALSE)</x:f>
        <x:v>8</x:v>
      </x:c>
      <x:c r="AE27" s="29" t="str">
        <x:f>IF(AC27&gt;=AD27,"通过","失败")</x:f>
        <x:v>通过</x:v>
      </x:c>
      <x:c r="AF27" s="29" t="n">
        <x:f>I27+L27+O27+R27</x:f>
        <x:v>7</x:v>
      </x:c>
      <x:c r="AG27" s="29" t="n">
        <x:f>VLOOKUP(C27,'01_丹方主表'!$B$5:$AF$19,17,FALSE)</x:f>
        <x:v>8</x:v>
      </x:c>
      <x:c r="AH27" s="29" t="str">
        <x:f>IF(AF27&lt;=AG27,"通过","失败")</x:f>
        <x:v>通过</x:v>
      </x:c>
      <x:c r="AI27" s="32" t="n">
        <x:f>VLOOKUP(G27,'03_灵植表'!$B$5:$S$52,12,FALSE)*VLOOKUP(H27,'04_参数字典'!$A$5:$D$7,3,FALSE)*I27+VLOOKUP(J27,'03_灵植表'!$B$5:$S$52,12,FALSE)*VLOOKUP(K27,'04_参数字典'!$A$5:$D$7,3,FALSE)*L27+VLOOKUP(M27,'03_灵植表'!$B$5:$S$52,12,FALSE)*VLOOKUP(N27,'04_参数字典'!$A$5:$D$7,3,FALSE)*O27+VLOOKUP(P27,'03_灵植表'!$B$5:$S$52,12,FALSE)*VLOOKUP(Q27,'04_参数字典'!$A$5:$D$7,3,FALSE)*R27</x:f>
        <x:v>217</x:v>
      </x:c>
      <x:c r="AJ27" s="32" t="n">
        <x:f>VLOOKUP(C27,'01_丹方主表'!$B$5:$AF$19,21,FALSE)*VLOOKUP(AL27,'04_参数字典'!$A$5:$D$7,4,FALSE)</x:f>
        <x:v>500</x:v>
      </x:c>
      <x:c r="AK27" s="32" t="n">
        <x:f>AJ27-AI27</x:f>
        <x:v>283</x:v>
      </x:c>
      <x:c r="AL27" s="29" t="str">
        <x:v>凡</x:v>
      </x:c>
      <x:c r="AM27" s="29" t="str">
        <x:f>VLOOKUP(C27,'01_丹方主表'!$B$5:$AF$19,23,FALSE)</x:f>
        <x:v>cultivation_toxin_remove</x:v>
      </x:c>
      <x:c r="AN27" s="33" t="n">
        <x:f>VLOOKUP(C27,'01_丹方主表'!$B$5:$AF$19,24,FALSE)</x:f>
        <x:v>20</x:v>
      </x:c>
      <x:c r="AO27" s="33" t="str">
        <x:f>VLOOKUP(C27,'01_丹方主表'!$B$5:$AF$19,25,FALSE)</x:f>
      </x:c>
      <x:c r="AP27" s="33" t="n">
        <x:f>VLOOKUP(C27,'01_丹方主表'!$B$5:$AF$19,26,FALSE)</x:f>
        <x:v>0</x:v>
      </x:c>
      <x:c r="AQ27" s="29" t="n">
        <x:f>VLOOKUP(C27,'01_丹方主表'!$B$5:$AF$19,22,FALSE)</x:f>
        <x:v>0</x:v>
      </x:c>
      <x:c r="AR27" s="29" t="str">
        <x:f>C27&amp;"|"&amp;G27&amp;"|"&amp;J27&amp;"|"&amp;M27&amp;"|"&amp;P27</x:f>
        <x:v>F-ZJ-08|J-ZJ-08|M-ZJ-JIN-C|A-ZJ-W|E-ZJ-GAN-C</x:v>
      </x:c>
      <x:c r="AS27" s="29" t="str">
        <x:f>IF(AND(T27="通过",V27="通过",Y27="通过",AB27="通过",AE27="通过",AH27="通过",AK27&gt;=0),"通过","失败")</x:f>
        <x:v>通过</x:v>
      </x:c>
      <x:c r="AT27" s="16" t="str">
        <x:v>低成本方：辅材便宜但多占份数，适合卖药与资源紧张时。</x:v>
      </x:c>
    </x:row>
    <x:row r="28">
      <x:c r="A28" s="23" t="n">
        <x:v>24</x:v>
      </x:c>
      <x:c r="B28" s="23" t="str">
        <x:v>TS-F-ZJ-08-R</x:v>
      </x:c>
      <x:c r="C28" s="23" t="str">
        <x:v>F-ZJ-08</x:v>
      </x:c>
      <x:c r="D28" s="23" t="str">
        <x:f>VLOOKUP(C28,'01_丹方主表'!$B$5:$AF$19,2,FALSE)</x:f>
        <x:v>涤元丹</x:v>
      </x:c>
      <x:c r="E28" s="23" t="str">
        <x:v>精炼</x:v>
      </x:c>
      <x:c r="F28" s="23" t="str">
        <x:v>否</x:v>
      </x:c>
      <x:c r="G28" s="23" t="str">
        <x:v>J-ZJ-08</x:v>
      </x:c>
      <x:c r="H28" s="23" t="str">
        <x:v>玄</x:v>
      </x:c>
      <x:c r="I28" s="23" t="n">
        <x:v>2</x:v>
      </x:c>
      <x:c r="J28" s="23" t="str">
        <x:v>M-ZJ-JIN-P</x:v>
      </x:c>
      <x:c r="K28" s="23" t="str">
        <x:v>玄</x:v>
      </x:c>
      <x:c r="L28" s="23" t="n">
        <x:v>1</x:v>
      </x:c>
      <x:c r="M28" s="23" t="str">
        <x:v>A-ZJ-W</x:v>
      </x:c>
      <x:c r="N28" s="23" t="str">
        <x:v>玄</x:v>
      </x:c>
      <x:c r="O28" s="23" t="n">
        <x:v>1</x:v>
      </x:c>
      <x:c r="P28" s="23" t="str">
        <x:v>E-ZJ-GAN-S</x:v>
      </x:c>
      <x:c r="Q28" s="23" t="str">
        <x:v>玄</x:v>
      </x:c>
      <x:c r="R28" s="23" t="n">
        <x:v>1</x:v>
      </x:c>
      <x:c r="S28" s="29" t="str">
        <x:f>VLOOKUP(J28,'03_灵植表'!$B$5:$S$52,6,FALSE)</x:f>
        <x:v>金</x:v>
      </x:c>
      <x:c r="T28" s="29" t="str">
        <x:f>IF(S28=VLOOKUP(C28,'01_丹方主表'!$B$5:$AF$19,10,FALSE),"通过","失败")</x:f>
        <x:v>通过</x:v>
      </x:c>
      <x:c r="U28" s="29" t="str">
        <x:f>VLOOKUP(P28,'03_灵植表'!$B$5:$S$52,7,FALSE)</x:f>
        <x:v>甘</x:v>
      </x:c>
      <x:c r="V28" s="29" t="str">
        <x:f>IF(U28=VLOOKUP(C28,'01_丹方主表'!$B$5:$AF$19,11,FALSE),"通过","失败")</x:f>
        <x:v>通过</x:v>
      </x:c>
      <x:c r="W28" s="29" t="n">
        <x:f>VLOOKUP(C28,'01_丹方主表'!$B$5:$AF$19,13,FALSE)</x:f>
        <x:v>-1</x:v>
      </x:c>
      <x:c r="X28" s="29" t="n">
        <x:f>VLOOKUP(G28,'03_灵植表'!$B$5:$S$52,9,FALSE)+VLOOKUP(J28,'03_灵植表'!$B$5:$S$52,9,FALSE)+VLOOKUP(M28,'03_灵植表'!$B$5:$S$52,9,FALSE)+VLOOKUP(P28,'03_灵植表'!$B$5:$S$52,9,FALSE)</x:f>
        <x:v>-1</x:v>
      </x:c>
      <x:c r="Y28" s="29" t="str">
        <x:f>IF(W28=X28,"通过","失败")</x:f>
        <x:v>通过</x:v>
      </x:c>
      <x:c r="Z28" s="29" t="n">
        <x:f>VLOOKUP(G28,'03_灵植表'!$B$5:$S$52,10,FALSE)*VLOOKUP(H28,'04_参数字典'!$A$5:$D$7,2,FALSE)*I28+VLOOKUP(J28,'03_灵植表'!$B$5:$S$52,10,FALSE)*VLOOKUP(K28,'04_参数字典'!$A$5:$D$7,2,FALSE)*L28+VLOOKUP(M28,'03_灵植表'!$B$5:$S$52,10,FALSE)*VLOOKUP(N28,'04_参数字典'!$A$5:$D$7,2,FALSE)*O28+VLOOKUP(P28,'03_灵植表'!$B$5:$S$52,10,FALSE)*VLOOKUP(Q28,'04_参数字典'!$A$5:$D$7,2,FALSE)*R28</x:f>
        <x:v>46.8</x:v>
      </x:c>
      <x:c r="AA28" s="29" t="n">
        <x:f>VLOOKUP(C28,'01_丹方主表'!$B$5:$AF$19,14,FALSE)</x:f>
        <x:v>24</x:v>
      </x:c>
      <x:c r="AB28" s="29" t="str">
        <x:f>IF(Z28&gt;=AA28,"通过","失败")</x:f>
        <x:v>通过</x:v>
      </x:c>
      <x:c r="AC28" s="29" t="n">
        <x:f>VLOOKUP(G28,'03_灵植表'!$B$5:$S$52,10,FALSE)*VLOOKUP(H28,'04_参数字典'!$A$5:$D$7,2,FALSE)*I28</x:f>
        <x:v>18</x:v>
      </x:c>
      <x:c r="AD28" s="29" t="n">
        <x:f>VLOOKUP(C28,'01_丹方主表'!$B$5:$AF$19,16,FALSE)</x:f>
        <x:v>8</x:v>
      </x:c>
      <x:c r="AE28" s="29" t="str">
        <x:f>IF(AC28&gt;=AD28,"通过","失败")</x:f>
        <x:v>通过</x:v>
      </x:c>
      <x:c r="AF28" s="29" t="n">
        <x:f>I28+L28+O28+R28</x:f>
        <x:v>5</x:v>
      </x:c>
      <x:c r="AG28" s="29" t="n">
        <x:f>VLOOKUP(C28,'01_丹方主表'!$B$5:$AF$19,17,FALSE)</x:f>
        <x:v>8</x:v>
      </x:c>
      <x:c r="AH28" s="29" t="str">
        <x:f>IF(AF28&lt;=AG28,"通过","失败")</x:f>
        <x:v>通过</x:v>
      </x:c>
      <x:c r="AI28" s="32" t="n">
        <x:f>VLOOKUP(G28,'03_灵植表'!$B$5:$S$52,12,FALSE)*VLOOKUP(H28,'04_参数字典'!$A$5:$D$7,3,FALSE)*I28+VLOOKUP(J28,'03_灵植表'!$B$5:$S$52,12,FALSE)*VLOOKUP(K28,'04_参数字典'!$A$5:$D$7,3,FALSE)*L28+VLOOKUP(M28,'03_灵植表'!$B$5:$S$52,12,FALSE)*VLOOKUP(N28,'04_参数字典'!$A$5:$D$7,3,FALSE)*O28+VLOOKUP(P28,'03_灵植表'!$B$5:$S$52,12,FALSE)*VLOOKUP(Q28,'04_参数字典'!$A$5:$D$7,3,FALSE)*R28</x:f>
        <x:v>575</x:v>
      </x:c>
      <x:c r="AJ28" s="32" t="n">
        <x:f>VLOOKUP(C28,'01_丹方主表'!$B$5:$AF$19,21,FALSE)*VLOOKUP(AL28,'04_参数字典'!$A$5:$D$7,4,FALSE)</x:f>
        <x:v>2000</x:v>
      </x:c>
      <x:c r="AK28" s="32" t="n">
        <x:f>AJ28-AI28</x:f>
        <x:v>1425</x:v>
      </x:c>
      <x:c r="AL28" s="29" t="str">
        <x:v>玄</x:v>
      </x:c>
      <x:c r="AM28" s="29" t="str">
        <x:f>VLOOKUP(C28,'01_丹方主表'!$B$5:$AF$19,23,FALSE)</x:f>
        <x:v>cultivation_toxin_remove</x:v>
      </x:c>
      <x:c r="AN28" s="33" t="n">
        <x:f>VLOOKUP(C28,'01_丹方主表'!$B$5:$AF$19,24,FALSE)</x:f>
        <x:v>20</x:v>
      </x:c>
      <x:c r="AO28" s="33" t="str">
        <x:f>VLOOKUP(C28,'01_丹方主表'!$B$5:$AF$19,25,FALSE)</x:f>
      </x:c>
      <x:c r="AP28" s="33" t="n">
        <x:f>VLOOKUP(C28,'01_丹方主表'!$B$5:$AF$19,26,FALSE)</x:f>
        <x:v>0</x:v>
      </x:c>
      <x:c r="AQ28" s="29" t="n">
        <x:f>VLOOKUP(C28,'01_丹方主表'!$B$5:$AF$19,22,FALSE)</x:f>
        <x:v>0</x:v>
      </x:c>
      <x:c r="AR28" s="29" t="str">
        <x:f>C28&amp;"|"&amp;G28&amp;"|"&amp;J28&amp;"|"&amp;M28&amp;"|"&amp;P28</x:f>
        <x:v>F-ZJ-08|J-ZJ-08|M-ZJ-JIN-P|A-ZJ-W|E-ZJ-GAN-S</x:v>
      </x:c>
      <x:c r="AS28" s="29" t="str">
        <x:f>IF(AND(T28="通过",V28="通过",Y28="通过",AB28="通过",AE28="通过",AH28="通过",AK28&gt;=0),"通过","失败")</x:f>
        <x:v>通过</x:v>
      </x:c>
      <x:c r="AT28" s="16" t="str">
        <x:v>精炼方：高品质材料与药力余量，适合冲击高品丹。</x:v>
      </x:c>
    </x:row>
    <x:row r="29">
      <x:c r="A29" s="23" t="n">
        <x:v>25</x:v>
      </x:c>
      <x:c r="B29" s="23" t="str">
        <x:v>TS-F-ZJ-09-D</x:v>
      </x:c>
      <x:c r="C29" s="23" t="str">
        <x:v>F-ZJ-09</x:v>
      </x:c>
      <x:c r="D29" s="23" t="str">
        <x:f>VLOOKUP(C29,'01_丹方主表'!$B$5:$AF$19,2,FALSE)</x:f>
        <x:v>固本丹</x:v>
      </x:c>
      <x:c r="E29" s="23" t="str">
        <x:v>默认</x:v>
      </x:c>
      <x:c r="F29" s="23" t="str">
        <x:v>是</x:v>
      </x:c>
      <x:c r="G29" s="23" t="str">
        <x:v>J-ZJ-09</x:v>
      </x:c>
      <x:c r="H29" s="23" t="str">
        <x:v>灵</x:v>
      </x:c>
      <x:c r="I29" s="23" t="n">
        <x:v>2</x:v>
      </x:c>
      <x:c r="J29" s="23" t="str">
        <x:v>M-ZJ-TU-P</x:v>
      </x:c>
      <x:c r="K29" s="23" t="str">
        <x:v>灵</x:v>
      </x:c>
      <x:c r="L29" s="23" t="n">
        <x:v>1</x:v>
      </x:c>
      <x:c r="M29" s="23" t="str">
        <x:v>A-ZJ-P</x:v>
      </x:c>
      <x:c r="N29" s="23" t="str">
        <x:v>灵</x:v>
      </x:c>
      <x:c r="O29" s="23" t="n">
        <x:v>1</x:v>
      </x:c>
      <x:c r="P29" s="23" t="str">
        <x:v>E-ZJ-XIAN-P</x:v>
      </x:c>
      <x:c r="Q29" s="23" t="str">
        <x:v>灵</x:v>
      </x:c>
      <x:c r="R29" s="23" t="n">
        <x:v>1</x:v>
      </x:c>
      <x:c r="S29" s="29" t="str">
        <x:f>VLOOKUP(J29,'03_灵植表'!$B$5:$S$52,6,FALSE)</x:f>
        <x:v>土</x:v>
      </x:c>
      <x:c r="T29" s="29" t="str">
        <x:f>IF(S29=VLOOKUP(C29,'01_丹方主表'!$B$5:$AF$19,10,FALSE),"通过","失败")</x:f>
        <x:v>通过</x:v>
      </x:c>
      <x:c r="U29" s="29" t="str">
        <x:f>VLOOKUP(P29,'03_灵植表'!$B$5:$S$52,7,FALSE)</x:f>
        <x:v>咸</x:v>
      </x:c>
      <x:c r="V29" s="29" t="str">
        <x:f>IF(U29=VLOOKUP(C29,'01_丹方主表'!$B$5:$AF$19,11,FALSE),"通过","失败")</x:f>
        <x:v>通过</x:v>
      </x:c>
      <x:c r="W29" s="29" t="n">
        <x:f>VLOOKUP(C29,'01_丹方主表'!$B$5:$AF$19,13,FALSE)</x:f>
        <x:v>1</x:v>
      </x:c>
      <x:c r="X29" s="29" t="n">
        <x:f>VLOOKUP(G29,'03_灵植表'!$B$5:$S$52,9,FALSE)+VLOOKUP(J29,'03_灵植表'!$B$5:$S$52,9,FALSE)+VLOOKUP(M29,'03_灵植表'!$B$5:$S$52,9,FALSE)+VLOOKUP(P29,'03_灵植表'!$B$5:$S$52,9,FALSE)</x:f>
        <x:v>1</x:v>
      </x:c>
      <x:c r="Y29" s="29" t="str">
        <x:f>IF(W29=X29,"通过","失败")</x:f>
        <x:v>通过</x:v>
      </x:c>
      <x:c r="Z29" s="29" t="n">
        <x:f>VLOOKUP(G29,'03_灵植表'!$B$5:$S$52,10,FALSE)*VLOOKUP(H29,'04_参数字典'!$A$5:$D$7,2,FALSE)*I29+VLOOKUP(J29,'03_灵植表'!$B$5:$S$52,10,FALSE)*VLOOKUP(K29,'04_参数字典'!$A$5:$D$7,2,FALSE)*L29+VLOOKUP(M29,'03_灵植表'!$B$5:$S$52,10,FALSE)*VLOOKUP(N29,'04_参数字典'!$A$5:$D$7,2,FALSE)*O29+VLOOKUP(P29,'03_灵植表'!$B$5:$S$52,10,FALSE)*VLOOKUP(Q29,'04_参数字典'!$A$5:$D$7,2,FALSE)*R29</x:f>
        <x:v>33.6</x:v>
      </x:c>
      <x:c r="AA29" s="29" t="n">
        <x:f>VLOOKUP(C29,'01_丹方主表'!$B$5:$AF$19,14,FALSE)</x:f>
        <x:v>24</x:v>
      </x:c>
      <x:c r="AB29" s="29" t="str">
        <x:f>IF(Z29&gt;=AA29,"通过","失败")</x:f>
        <x:v>通过</x:v>
      </x:c>
      <x:c r="AC29" s="29" t="n">
        <x:f>VLOOKUP(G29,'03_灵植表'!$B$5:$S$52,10,FALSE)*VLOOKUP(H29,'04_参数字典'!$A$5:$D$7,2,FALSE)*I29</x:f>
        <x:v>12</x:v>
      </x:c>
      <x:c r="AD29" s="29" t="n">
        <x:f>VLOOKUP(C29,'01_丹方主表'!$B$5:$AF$19,16,FALSE)</x:f>
        <x:v>8</x:v>
      </x:c>
      <x:c r="AE29" s="29" t="str">
        <x:f>IF(AC29&gt;=AD29,"通过","失败")</x:f>
        <x:v>通过</x:v>
      </x:c>
      <x:c r="AF29" s="29" t="n">
        <x:f>I29+L29+O29+R29</x:f>
        <x:v>5</x:v>
      </x:c>
      <x:c r="AG29" s="29" t="n">
        <x:f>VLOOKUP(C29,'01_丹方主表'!$B$5:$AF$19,17,FALSE)</x:f>
        <x:v>8</x:v>
      </x:c>
      <x:c r="AH29" s="29" t="str">
        <x:f>IF(AF29&lt;=AG29,"通过","失败")</x:f>
        <x:v>通过</x:v>
      </x:c>
      <x:c r="AI29" s="32" t="n">
        <x:f>VLOOKUP(G29,'03_灵植表'!$B$5:$S$52,12,FALSE)*VLOOKUP(H29,'04_参数字典'!$A$5:$D$7,3,FALSE)*I29+VLOOKUP(J29,'03_灵植表'!$B$5:$S$52,12,FALSE)*VLOOKUP(K29,'04_参数字典'!$A$5:$D$7,3,FALSE)*L29+VLOOKUP(M29,'03_灵植表'!$B$5:$S$52,12,FALSE)*VLOOKUP(N29,'04_参数字典'!$A$5:$D$7,3,FALSE)*O29+VLOOKUP(P29,'03_灵植表'!$B$5:$S$52,12,FALSE)*VLOOKUP(Q29,'04_参数字典'!$A$5:$D$7,3,FALSE)*R29</x:f>
        <x:v>319</x:v>
      </x:c>
      <x:c r="AJ29" s="32" t="n">
        <x:f>VLOOKUP(C29,'01_丹方主表'!$B$5:$AF$19,21,FALSE)*VLOOKUP(AL29,'04_参数字典'!$A$5:$D$7,4,FALSE)</x:f>
        <x:v>1800</x:v>
      </x:c>
      <x:c r="AK29" s="32" t="n">
        <x:f>AJ29-AI29</x:f>
        <x:v>1481</x:v>
      </x:c>
      <x:c r="AL29" s="29" t="str">
        <x:v>灵</x:v>
      </x:c>
      <x:c r="AM29" s="29" t="str">
        <x:f>VLOOKUP(C29,'01_丹方主表'!$B$5:$AF$19,23,FALSE)</x:f>
        <x:v>body_permanent</x:v>
      </x:c>
      <x:c r="AN29" s="33" t="n">
        <x:f>VLOOKUP(C29,'01_丹方主表'!$B$5:$AF$19,24,FALSE)</x:f>
        <x:v>5</x:v>
      </x:c>
      <x:c r="AO29" s="33" t="str">
        <x:f>VLOOKUP(C29,'01_丹方主表'!$B$5:$AF$19,25,FALSE)</x:f>
      </x:c>
      <x:c r="AP29" s="33" t="n">
        <x:f>VLOOKUP(C29,'01_丹方主表'!$B$5:$AF$19,26,FALSE)</x:f>
        <x:v>0</x:v>
      </x:c>
      <x:c r="AQ29" s="29" t="n">
        <x:f>VLOOKUP(C29,'01_丹方主表'!$B$5:$AF$19,22,FALSE)</x:f>
        <x:v>20</x:v>
      </x:c>
      <x:c r="AR29" s="29" t="str">
        <x:f>C29&amp;"|"&amp;G29&amp;"|"&amp;J29&amp;"|"&amp;M29&amp;"|"&amp;P29</x:f>
        <x:v>F-ZJ-09|J-ZJ-09|M-ZJ-TU-P|A-ZJ-P|E-ZJ-XIAN-P</x:v>
      </x:c>
      <x:c r="AS29" s="29" t="str">
        <x:f>IF(AND(T29="通过",V29="通过",Y29="通过",AB29="通过",AE29="通过",AH29="通过",AK29&gt;=0),"通过","失败")</x:f>
        <x:v>通过</x:v>
      </x:c>
      <x:c r="AT29" s="16" t="str">
        <x:v>师承标准方：材料常见、方性直观，获得丹方即自动填入。</x:v>
      </x:c>
    </x:row>
    <x:row r="30">
      <x:c r="A30" s="23" t="n">
        <x:v>26</x:v>
      </x:c>
      <x:c r="B30" s="23" t="str">
        <x:v>TS-F-ZJ-09-C</x:v>
      </x:c>
      <x:c r="C30" s="23" t="str">
        <x:v>F-ZJ-09</x:v>
      </x:c>
      <x:c r="D30" s="23" t="str">
        <x:f>VLOOKUP(C30,'01_丹方主表'!$B$5:$AF$19,2,FALSE)</x:f>
        <x:v>固本丹</x:v>
      </x:c>
      <x:c r="E30" s="23" t="str">
        <x:v>廉价</x:v>
      </x:c>
      <x:c r="F30" s="23" t="str">
        <x:v>否</x:v>
      </x:c>
      <x:c r="G30" s="23" t="str">
        <x:v>J-ZJ-09</x:v>
      </x:c>
      <x:c r="H30" s="23" t="str">
        <x:v>灵</x:v>
      </x:c>
      <x:c r="I30" s="23" t="n">
        <x:v>2</x:v>
      </x:c>
      <x:c r="J30" s="23" t="str">
        <x:v>M-ZJ-TU-C</x:v>
      </x:c>
      <x:c r="K30" s="23" t="str">
        <x:v>凡</x:v>
      </x:c>
      <x:c r="L30" s="23" t="n">
        <x:v>2</x:v>
      </x:c>
      <x:c r="M30" s="23" t="str">
        <x:v>A-ZJ-T</x:v>
      </x:c>
      <x:c r="N30" s="23" t="str">
        <x:v>凡</x:v>
      </x:c>
      <x:c r="O30" s="23" t="n">
        <x:v>2</x:v>
      </x:c>
      <x:c r="P30" s="23" t="str">
        <x:v>E-ZJ-XIAN-C</x:v>
      </x:c>
      <x:c r="Q30" s="23" t="str">
        <x:v>凡</x:v>
      </x:c>
      <x:c r="R30" s="23" t="n">
        <x:v>1</x:v>
      </x:c>
      <x:c r="S30" s="29" t="str">
        <x:f>VLOOKUP(J30,'03_灵植表'!$B$5:$S$52,6,FALSE)</x:f>
        <x:v>土</x:v>
      </x:c>
      <x:c r="T30" s="29" t="str">
        <x:f>IF(S30=VLOOKUP(C30,'01_丹方主表'!$B$5:$AF$19,10,FALSE),"通过","失败")</x:f>
        <x:v>通过</x:v>
      </x:c>
      <x:c r="U30" s="29" t="str">
        <x:f>VLOOKUP(P30,'03_灵植表'!$B$5:$S$52,7,FALSE)</x:f>
        <x:v>咸</x:v>
      </x:c>
      <x:c r="V30" s="29" t="str">
        <x:f>IF(U30=VLOOKUP(C30,'01_丹方主表'!$B$5:$AF$19,11,FALSE),"通过","失败")</x:f>
        <x:v>通过</x:v>
      </x:c>
      <x:c r="W30" s="29" t="n">
        <x:f>VLOOKUP(C30,'01_丹方主表'!$B$5:$AF$19,13,FALSE)</x:f>
        <x:v>1</x:v>
      </x:c>
      <x:c r="X30" s="29" t="n">
        <x:f>VLOOKUP(G30,'03_灵植表'!$B$5:$S$52,9,FALSE)+VLOOKUP(J30,'03_灵植表'!$B$5:$S$52,9,FALSE)+VLOOKUP(M30,'03_灵植表'!$B$5:$S$52,9,FALSE)+VLOOKUP(P30,'03_灵植表'!$B$5:$S$52,9,FALSE)</x:f>
        <x:v>1</x:v>
      </x:c>
      <x:c r="Y30" s="29" t="str">
        <x:f>IF(W30=X30,"通过","失败")</x:f>
        <x:v>通过</x:v>
      </x:c>
      <x:c r="Z30" s="29" t="n">
        <x:f>VLOOKUP(G30,'03_灵植表'!$B$5:$S$52,10,FALSE)*VLOOKUP(H30,'04_参数字典'!$A$5:$D$7,2,FALSE)*I30+VLOOKUP(J30,'03_灵植表'!$B$5:$S$52,10,FALSE)*VLOOKUP(K30,'04_参数字典'!$A$5:$D$7,2,FALSE)*L30+VLOOKUP(M30,'03_灵植表'!$B$5:$S$52,10,FALSE)*VLOOKUP(N30,'04_参数字典'!$A$5:$D$7,2,FALSE)*O30+VLOOKUP(P30,'03_灵植表'!$B$5:$S$52,10,FALSE)*VLOOKUP(Q30,'04_参数字典'!$A$5:$D$7,2,FALSE)*R30</x:f>
        <x:v>25.2</x:v>
      </x:c>
      <x:c r="AA30" s="29" t="n">
        <x:f>VLOOKUP(C30,'01_丹方主表'!$B$5:$AF$19,14,FALSE)</x:f>
        <x:v>24</x:v>
      </x:c>
      <x:c r="AB30" s="29" t="str">
        <x:f>IF(Z30&gt;=AA30,"通过","失败")</x:f>
        <x:v>通过</x:v>
      </x:c>
      <x:c r="AC30" s="29" t="n">
        <x:f>VLOOKUP(G30,'03_灵植表'!$B$5:$S$52,10,FALSE)*VLOOKUP(H30,'04_参数字典'!$A$5:$D$7,2,FALSE)*I30</x:f>
        <x:v>12</x:v>
      </x:c>
      <x:c r="AD30" s="29" t="n">
        <x:f>VLOOKUP(C30,'01_丹方主表'!$B$5:$AF$19,16,FALSE)</x:f>
        <x:v>8</x:v>
      </x:c>
      <x:c r="AE30" s="29" t="str">
        <x:f>IF(AC30&gt;=AD30,"通过","失败")</x:f>
        <x:v>通过</x:v>
      </x:c>
      <x:c r="AF30" s="29" t="n">
        <x:f>I30+L30+O30+R30</x:f>
        <x:v>7</x:v>
      </x:c>
      <x:c r="AG30" s="29" t="n">
        <x:f>VLOOKUP(C30,'01_丹方主表'!$B$5:$AF$19,17,FALSE)</x:f>
        <x:v>8</x:v>
      </x:c>
      <x:c r="AH30" s="29" t="str">
        <x:f>IF(AF30&lt;=AG30,"通过","失败")</x:f>
        <x:v>通过</x:v>
      </x:c>
      <x:c r="AI30" s="32" t="n">
        <x:f>VLOOKUP(G30,'03_灵植表'!$B$5:$S$52,12,FALSE)*VLOOKUP(H30,'04_参数字典'!$A$5:$D$7,3,FALSE)*I30+VLOOKUP(J30,'03_灵植表'!$B$5:$S$52,12,FALSE)*VLOOKUP(K30,'04_参数字典'!$A$5:$D$7,3,FALSE)*L30+VLOOKUP(M30,'03_灵植表'!$B$5:$S$52,12,FALSE)*VLOOKUP(N30,'04_参数字典'!$A$5:$D$7,3,FALSE)*O30+VLOOKUP(P30,'03_灵植表'!$B$5:$S$52,12,FALSE)*VLOOKUP(Q30,'04_参数字典'!$A$5:$D$7,3,FALSE)*R30</x:f>
        <x:v>257</x:v>
      </x:c>
      <x:c r="AJ30" s="32" t="n">
        <x:f>VLOOKUP(C30,'01_丹方主表'!$B$5:$AF$19,21,FALSE)*VLOOKUP(AL30,'04_参数字典'!$A$5:$D$7,4,FALSE)</x:f>
        <x:v>900</x:v>
      </x:c>
      <x:c r="AK30" s="32" t="n">
        <x:f>AJ30-AI30</x:f>
        <x:v>643</x:v>
      </x:c>
      <x:c r="AL30" s="29" t="str">
        <x:v>凡</x:v>
      </x:c>
      <x:c r="AM30" s="29" t="str">
        <x:f>VLOOKUP(C30,'01_丹方主表'!$B$5:$AF$19,23,FALSE)</x:f>
        <x:v>body_permanent</x:v>
      </x:c>
      <x:c r="AN30" s="33" t="n">
        <x:f>VLOOKUP(C30,'01_丹方主表'!$B$5:$AF$19,24,FALSE)</x:f>
        <x:v>5</x:v>
      </x:c>
      <x:c r="AO30" s="33" t="str">
        <x:f>VLOOKUP(C30,'01_丹方主表'!$B$5:$AF$19,25,FALSE)</x:f>
      </x:c>
      <x:c r="AP30" s="33" t="n">
        <x:f>VLOOKUP(C30,'01_丹方主表'!$B$5:$AF$19,26,FALSE)</x:f>
        <x:v>0</x:v>
      </x:c>
      <x:c r="AQ30" s="29" t="n">
        <x:f>VLOOKUP(C30,'01_丹方主表'!$B$5:$AF$19,22,FALSE)</x:f>
        <x:v>20</x:v>
      </x:c>
      <x:c r="AR30" s="29" t="str">
        <x:f>C30&amp;"|"&amp;G30&amp;"|"&amp;J30&amp;"|"&amp;M30&amp;"|"&amp;P30</x:f>
        <x:v>F-ZJ-09|J-ZJ-09|M-ZJ-TU-C|A-ZJ-T|E-ZJ-XIAN-C</x:v>
      </x:c>
      <x:c r="AS30" s="29" t="str">
        <x:f>IF(AND(T30="通过",V30="通过",Y30="通过",AB30="通过",AE30="通过",AH30="通过",AK30&gt;=0),"通过","失败")</x:f>
        <x:v>通过</x:v>
      </x:c>
      <x:c r="AT30" s="16" t="str">
        <x:v>低成本方：辅材便宜但多占份数，适合卖药与资源紧张时。</x:v>
      </x:c>
    </x:row>
    <x:row r="31">
      <x:c r="A31" s="23" t="n">
        <x:v>27</x:v>
      </x:c>
      <x:c r="B31" s="23" t="str">
        <x:v>TS-F-ZJ-09-R</x:v>
      </x:c>
      <x:c r="C31" s="23" t="str">
        <x:v>F-ZJ-09</x:v>
      </x:c>
      <x:c r="D31" s="23" t="str">
        <x:f>VLOOKUP(C31,'01_丹方主表'!$B$5:$AF$19,2,FALSE)</x:f>
        <x:v>固本丹</x:v>
      </x:c>
      <x:c r="E31" s="23" t="str">
        <x:v>精炼</x:v>
      </x:c>
      <x:c r="F31" s="23" t="str">
        <x:v>否</x:v>
      </x:c>
      <x:c r="G31" s="23" t="str">
        <x:v>J-ZJ-09</x:v>
      </x:c>
      <x:c r="H31" s="23" t="str">
        <x:v>玄</x:v>
      </x:c>
      <x:c r="I31" s="23" t="n">
        <x:v>2</x:v>
      </x:c>
      <x:c r="J31" s="23" t="str">
        <x:v>M-ZJ-TU-S</x:v>
      </x:c>
      <x:c r="K31" s="23" t="str">
        <x:v>玄</x:v>
      </x:c>
      <x:c r="L31" s="23" t="n">
        <x:v>1</x:v>
      </x:c>
      <x:c r="M31" s="23" t="str">
        <x:v>A-ZJ-C</x:v>
      </x:c>
      <x:c r="N31" s="23" t="str">
        <x:v>玄</x:v>
      </x:c>
      <x:c r="O31" s="23" t="n">
        <x:v>1</x:v>
      </x:c>
      <x:c r="P31" s="23" t="str">
        <x:v>E-ZJ-XIAN-P</x:v>
      </x:c>
      <x:c r="Q31" s="23" t="str">
        <x:v>玄</x:v>
      </x:c>
      <x:c r="R31" s="23" t="n">
        <x:v>1</x:v>
      </x:c>
      <x:c r="S31" s="29" t="str">
        <x:f>VLOOKUP(J31,'03_灵植表'!$B$5:$S$52,6,FALSE)</x:f>
        <x:v>土</x:v>
      </x:c>
      <x:c r="T31" s="29" t="str">
        <x:f>IF(S31=VLOOKUP(C31,'01_丹方主表'!$B$5:$AF$19,10,FALSE),"通过","失败")</x:f>
        <x:v>通过</x:v>
      </x:c>
      <x:c r="U31" s="29" t="str">
        <x:f>VLOOKUP(P31,'03_灵植表'!$B$5:$S$52,7,FALSE)</x:f>
        <x:v>咸</x:v>
      </x:c>
      <x:c r="V31" s="29" t="str">
        <x:f>IF(U31=VLOOKUP(C31,'01_丹方主表'!$B$5:$AF$19,11,FALSE),"通过","失败")</x:f>
        <x:v>通过</x:v>
      </x:c>
      <x:c r="W31" s="29" t="n">
        <x:f>VLOOKUP(C31,'01_丹方主表'!$B$5:$AF$19,13,FALSE)</x:f>
        <x:v>1</x:v>
      </x:c>
      <x:c r="X31" s="29" t="n">
        <x:f>VLOOKUP(G31,'03_灵植表'!$B$5:$S$52,9,FALSE)+VLOOKUP(J31,'03_灵植表'!$B$5:$S$52,9,FALSE)+VLOOKUP(M31,'03_灵植表'!$B$5:$S$52,9,FALSE)+VLOOKUP(P31,'03_灵植表'!$B$5:$S$52,9,FALSE)</x:f>
        <x:v>1</x:v>
      </x:c>
      <x:c r="Y31" s="29" t="str">
        <x:f>IF(W31=X31,"通过","失败")</x:f>
        <x:v>通过</x:v>
      </x:c>
      <x:c r="Z31" s="29" t="n">
        <x:f>VLOOKUP(G31,'03_灵植表'!$B$5:$S$52,10,FALSE)*VLOOKUP(H31,'04_参数字典'!$A$5:$D$7,2,FALSE)*I31+VLOOKUP(J31,'03_灵植表'!$B$5:$S$52,10,FALSE)*VLOOKUP(K31,'04_参数字典'!$A$5:$D$7,2,FALSE)*L31+VLOOKUP(M31,'03_灵植表'!$B$5:$S$52,10,FALSE)*VLOOKUP(N31,'04_参数字典'!$A$5:$D$7,2,FALSE)*O31+VLOOKUP(P31,'03_灵植表'!$B$5:$S$52,10,FALSE)*VLOOKUP(Q31,'04_参数字典'!$A$5:$D$7,2,FALSE)*R31</x:f>
        <x:v>46.8</x:v>
      </x:c>
      <x:c r="AA31" s="29" t="n">
        <x:f>VLOOKUP(C31,'01_丹方主表'!$B$5:$AF$19,14,FALSE)</x:f>
        <x:v>24</x:v>
      </x:c>
      <x:c r="AB31" s="29" t="str">
        <x:f>IF(Z31&gt;=AA31,"通过","失败")</x:f>
        <x:v>通过</x:v>
      </x:c>
      <x:c r="AC31" s="29" t="n">
        <x:f>VLOOKUP(G31,'03_灵植表'!$B$5:$S$52,10,FALSE)*VLOOKUP(H31,'04_参数字典'!$A$5:$D$7,2,FALSE)*I31</x:f>
        <x:v>18</x:v>
      </x:c>
      <x:c r="AD31" s="29" t="n">
        <x:f>VLOOKUP(C31,'01_丹方主表'!$B$5:$AF$19,16,FALSE)</x:f>
        <x:v>8</x:v>
      </x:c>
      <x:c r="AE31" s="29" t="str">
        <x:f>IF(AC31&gt;=AD31,"通过","失败")</x:f>
        <x:v>通过</x:v>
      </x:c>
      <x:c r="AF31" s="29" t="n">
        <x:f>I31+L31+O31+R31</x:f>
        <x:v>5</x:v>
      </x:c>
      <x:c r="AG31" s="29" t="n">
        <x:f>VLOOKUP(C31,'01_丹方主表'!$B$5:$AF$19,17,FALSE)</x:f>
        <x:v>8</x:v>
      </x:c>
      <x:c r="AH31" s="29" t="str">
        <x:f>IF(AF31&lt;=AG31,"通过","失败")</x:f>
        <x:v>通过</x:v>
      </x:c>
      <x:c r="AI31" s="32" t="n">
        <x:f>VLOOKUP(G31,'03_灵植表'!$B$5:$S$52,12,FALSE)*VLOOKUP(H31,'04_参数字典'!$A$5:$D$7,3,FALSE)*I31+VLOOKUP(J31,'03_灵植表'!$B$5:$S$52,12,FALSE)*VLOOKUP(K31,'04_参数字典'!$A$5:$D$7,3,FALSE)*L31+VLOOKUP(M31,'03_灵植表'!$B$5:$S$52,12,FALSE)*VLOOKUP(N31,'04_参数字典'!$A$5:$D$7,3,FALSE)*O31+VLOOKUP(P31,'03_灵植表'!$B$5:$S$52,12,FALSE)*VLOOKUP(Q31,'04_参数字典'!$A$5:$D$7,3,FALSE)*R31</x:f>
        <x:v>675</x:v>
      </x:c>
      <x:c r="AJ31" s="32" t="n">
        <x:f>VLOOKUP(C31,'01_丹方主表'!$B$5:$AF$19,21,FALSE)*VLOOKUP(AL31,'04_参数字典'!$A$5:$D$7,4,FALSE)</x:f>
        <x:v>3600</x:v>
      </x:c>
      <x:c r="AK31" s="32" t="n">
        <x:f>AJ31-AI31</x:f>
        <x:v>2925</x:v>
      </x:c>
      <x:c r="AL31" s="29" t="str">
        <x:v>玄</x:v>
      </x:c>
      <x:c r="AM31" s="29" t="str">
        <x:f>VLOOKUP(C31,'01_丹方主表'!$B$5:$AF$19,23,FALSE)</x:f>
        <x:v>body_permanent</x:v>
      </x:c>
      <x:c r="AN31" s="33" t="n">
        <x:f>VLOOKUP(C31,'01_丹方主表'!$B$5:$AF$19,24,FALSE)</x:f>
        <x:v>5</x:v>
      </x:c>
      <x:c r="AO31" s="33" t="str">
        <x:f>VLOOKUP(C31,'01_丹方主表'!$B$5:$AF$19,25,FALSE)</x:f>
      </x:c>
      <x:c r="AP31" s="33" t="n">
        <x:f>VLOOKUP(C31,'01_丹方主表'!$B$5:$AF$19,26,FALSE)</x:f>
        <x:v>0</x:v>
      </x:c>
      <x:c r="AQ31" s="29" t="n">
        <x:f>VLOOKUP(C31,'01_丹方主表'!$B$5:$AF$19,22,FALSE)</x:f>
        <x:v>20</x:v>
      </x:c>
      <x:c r="AR31" s="29" t="str">
        <x:f>C31&amp;"|"&amp;G31&amp;"|"&amp;J31&amp;"|"&amp;M31&amp;"|"&amp;P31</x:f>
        <x:v>F-ZJ-09|J-ZJ-09|M-ZJ-TU-S|A-ZJ-C|E-ZJ-XIAN-P</x:v>
      </x:c>
      <x:c r="AS31" s="29" t="str">
        <x:f>IF(AND(T31="通过",V31="通过",Y31="通过",AB31="通过",AE31="通过",AH31="通过",AK31&gt;=0),"通过","失败")</x:f>
        <x:v>通过</x:v>
      </x:c>
      <x:c r="AT31" s="16" t="str">
        <x:v>精炼方：高品质材料与药力余量，适合冲击高品丹。</x:v>
      </x:c>
    </x:row>
    <x:row r="32">
      <x:c r="A32" s="23" t="n">
        <x:v>28</x:v>
      </x:c>
      <x:c r="B32" s="23" t="str">
        <x:v>TS-F-ZJ-10-D</x:v>
      </x:c>
      <x:c r="C32" s="23" t="str">
        <x:v>F-ZJ-10</x:v>
      </x:c>
      <x:c r="D32" s="23" t="str">
        <x:f>VLOOKUP(C32,'01_丹方主表'!$B$5:$AF$19,2,FALSE)</x:f>
        <x:v>养神丹</x:v>
      </x:c>
      <x:c r="E32" s="23" t="str">
        <x:v>默认</x:v>
      </x:c>
      <x:c r="F32" s="23" t="str">
        <x:v>是</x:v>
      </x:c>
      <x:c r="G32" s="23" t="str">
        <x:v>J-ZJ-10</x:v>
      </x:c>
      <x:c r="H32" s="23" t="str">
        <x:v>灵</x:v>
      </x:c>
      <x:c r="I32" s="23" t="n">
        <x:v>2</x:v>
      </x:c>
      <x:c r="J32" s="23" t="str">
        <x:v>M-ZJ-TU-P</x:v>
      </x:c>
      <x:c r="K32" s="23" t="str">
        <x:v>灵</x:v>
      </x:c>
      <x:c r="L32" s="23" t="n">
        <x:v>1</x:v>
      </x:c>
      <x:c r="M32" s="23" t="str">
        <x:v>A-ZJ-P</x:v>
      </x:c>
      <x:c r="N32" s="23" t="str">
        <x:v>灵</x:v>
      </x:c>
      <x:c r="O32" s="23" t="n">
        <x:v>1</x:v>
      </x:c>
      <x:c r="P32" s="23" t="str">
        <x:v>E-ZJ-KU-P</x:v>
      </x:c>
      <x:c r="Q32" s="23" t="str">
        <x:v>灵</x:v>
      </x:c>
      <x:c r="R32" s="23" t="n">
        <x:v>1</x:v>
      </x:c>
      <x:c r="S32" s="29" t="str">
        <x:f>VLOOKUP(J32,'03_灵植表'!$B$5:$S$52,6,FALSE)</x:f>
        <x:v>土</x:v>
      </x:c>
      <x:c r="T32" s="29" t="str">
        <x:f>IF(S32=VLOOKUP(C32,'01_丹方主表'!$B$5:$AF$19,10,FALSE),"通过","失败")</x:f>
        <x:v>通过</x:v>
      </x:c>
      <x:c r="U32" s="29" t="str">
        <x:f>VLOOKUP(P32,'03_灵植表'!$B$5:$S$52,7,FALSE)</x:f>
        <x:v>苦</x:v>
      </x:c>
      <x:c r="V32" s="29" t="str">
        <x:f>IF(U32=VLOOKUP(C32,'01_丹方主表'!$B$5:$AF$19,11,FALSE),"通过","失败")</x:f>
        <x:v>通过</x:v>
      </x:c>
      <x:c r="W32" s="29" t="n">
        <x:f>VLOOKUP(C32,'01_丹方主表'!$B$5:$AF$19,13,FALSE)</x:f>
        <x:v>0</x:v>
      </x:c>
      <x:c r="X32" s="29" t="n">
        <x:f>VLOOKUP(G32,'03_灵植表'!$B$5:$S$52,9,FALSE)+VLOOKUP(J32,'03_灵植表'!$B$5:$S$52,9,FALSE)+VLOOKUP(M32,'03_灵植表'!$B$5:$S$52,9,FALSE)+VLOOKUP(P32,'03_灵植表'!$B$5:$S$52,9,FALSE)</x:f>
        <x:v>0</x:v>
      </x:c>
      <x:c r="Y32" s="29" t="str">
        <x:f>IF(W32=X32,"通过","失败")</x:f>
        <x:v>通过</x:v>
      </x:c>
      <x:c r="Z32" s="29" t="n">
        <x:f>VLOOKUP(G32,'03_灵植表'!$B$5:$S$52,10,FALSE)*VLOOKUP(H32,'04_参数字典'!$A$5:$D$7,2,FALSE)*I32+VLOOKUP(J32,'03_灵植表'!$B$5:$S$52,10,FALSE)*VLOOKUP(K32,'04_参数字典'!$A$5:$D$7,2,FALSE)*L32+VLOOKUP(M32,'03_灵植表'!$B$5:$S$52,10,FALSE)*VLOOKUP(N32,'04_参数字典'!$A$5:$D$7,2,FALSE)*O32+VLOOKUP(P32,'03_灵植表'!$B$5:$S$52,10,FALSE)*VLOOKUP(Q32,'04_参数字典'!$A$5:$D$7,2,FALSE)*R32</x:f>
        <x:v>33.6</x:v>
      </x:c>
      <x:c r="AA32" s="29" t="n">
        <x:f>VLOOKUP(C32,'01_丹方主表'!$B$5:$AF$19,14,FALSE)</x:f>
        <x:v>24</x:v>
      </x:c>
      <x:c r="AB32" s="29" t="str">
        <x:f>IF(Z32&gt;=AA32,"通过","失败")</x:f>
        <x:v>通过</x:v>
      </x:c>
      <x:c r="AC32" s="29" t="n">
        <x:f>VLOOKUP(G32,'03_灵植表'!$B$5:$S$52,10,FALSE)*VLOOKUP(H32,'04_参数字典'!$A$5:$D$7,2,FALSE)*I32</x:f>
        <x:v>12</x:v>
      </x:c>
      <x:c r="AD32" s="29" t="n">
        <x:f>VLOOKUP(C32,'01_丹方主表'!$B$5:$AF$19,16,FALSE)</x:f>
        <x:v>8</x:v>
      </x:c>
      <x:c r="AE32" s="29" t="str">
        <x:f>IF(AC32&gt;=AD32,"通过","失败")</x:f>
        <x:v>通过</x:v>
      </x:c>
      <x:c r="AF32" s="29" t="n">
        <x:f>I32+L32+O32+R32</x:f>
        <x:v>5</x:v>
      </x:c>
      <x:c r="AG32" s="29" t="n">
        <x:f>VLOOKUP(C32,'01_丹方主表'!$B$5:$AF$19,17,FALSE)</x:f>
        <x:v>8</x:v>
      </x:c>
      <x:c r="AH32" s="29" t="str">
        <x:f>IF(AF32&lt;=AG32,"通过","失败")</x:f>
        <x:v>通过</x:v>
      </x:c>
      <x:c r="AI32" s="32" t="n">
        <x:f>VLOOKUP(G32,'03_灵植表'!$B$5:$S$52,12,FALSE)*VLOOKUP(H32,'04_参数字典'!$A$5:$D$7,3,FALSE)*I32+VLOOKUP(J32,'03_灵植表'!$B$5:$S$52,12,FALSE)*VLOOKUP(K32,'04_参数字典'!$A$5:$D$7,3,FALSE)*L32+VLOOKUP(M32,'03_灵植表'!$B$5:$S$52,12,FALSE)*VLOOKUP(N32,'04_参数字典'!$A$5:$D$7,3,FALSE)*O32+VLOOKUP(P32,'03_灵植表'!$B$5:$S$52,12,FALSE)*VLOOKUP(Q32,'04_参数字典'!$A$5:$D$7,3,FALSE)*R32</x:f>
        <x:v>319</x:v>
      </x:c>
      <x:c r="AJ32" s="32" t="n">
        <x:f>VLOOKUP(C32,'01_丹方主表'!$B$5:$AF$19,21,FALSE)*VLOOKUP(AL32,'04_参数字典'!$A$5:$D$7,4,FALSE)</x:f>
        <x:v>1800</x:v>
      </x:c>
      <x:c r="AK32" s="32" t="n">
        <x:f>AJ32-AI32</x:f>
        <x:v>1481</x:v>
      </x:c>
      <x:c r="AL32" s="29" t="str">
        <x:v>灵</x:v>
      </x:c>
      <x:c r="AM32" s="29" t="str">
        <x:f>VLOOKUP(C32,'01_丹方主表'!$B$5:$AF$19,23,FALSE)</x:f>
        <x:v>spirit_permanent</x:v>
      </x:c>
      <x:c r="AN32" s="33" t="n">
        <x:f>VLOOKUP(C32,'01_丹方主表'!$B$5:$AF$19,24,FALSE)</x:f>
        <x:v>5</x:v>
      </x:c>
      <x:c r="AO32" s="33" t="str">
        <x:f>VLOOKUP(C32,'01_丹方主表'!$B$5:$AF$19,25,FALSE)</x:f>
      </x:c>
      <x:c r="AP32" s="33" t="n">
        <x:f>VLOOKUP(C32,'01_丹方主表'!$B$5:$AF$19,26,FALSE)</x:f>
        <x:v>0</x:v>
      </x:c>
      <x:c r="AQ32" s="29" t="n">
        <x:f>VLOOKUP(C32,'01_丹方主表'!$B$5:$AF$19,22,FALSE)</x:f>
        <x:v>20</x:v>
      </x:c>
      <x:c r="AR32" s="29" t="str">
        <x:f>C32&amp;"|"&amp;G32&amp;"|"&amp;J32&amp;"|"&amp;M32&amp;"|"&amp;P32</x:f>
        <x:v>F-ZJ-10|J-ZJ-10|M-ZJ-TU-P|A-ZJ-P|E-ZJ-KU-P</x:v>
      </x:c>
      <x:c r="AS32" s="29" t="str">
        <x:f>IF(AND(T32="通过",V32="通过",Y32="通过",AB32="通过",AE32="通过",AH32="通过",AK32&gt;=0),"通过","失败")</x:f>
        <x:v>通过</x:v>
      </x:c>
      <x:c r="AT32" s="16" t="str">
        <x:v>师承标准方：材料常见、方性直观，获得丹方即自动填入。</x:v>
      </x:c>
    </x:row>
    <x:row r="33">
      <x:c r="A33" s="23" t="n">
        <x:v>29</x:v>
      </x:c>
      <x:c r="B33" s="23" t="str">
        <x:v>TS-F-ZJ-10-C</x:v>
      </x:c>
      <x:c r="C33" s="23" t="str">
        <x:v>F-ZJ-10</x:v>
      </x:c>
      <x:c r="D33" s="23" t="str">
        <x:f>VLOOKUP(C33,'01_丹方主表'!$B$5:$AF$19,2,FALSE)</x:f>
        <x:v>养神丹</x:v>
      </x:c>
      <x:c r="E33" s="23" t="str">
        <x:v>廉价</x:v>
      </x:c>
      <x:c r="F33" s="23" t="str">
        <x:v>否</x:v>
      </x:c>
      <x:c r="G33" s="23" t="str">
        <x:v>J-ZJ-10</x:v>
      </x:c>
      <x:c r="H33" s="23" t="str">
        <x:v>灵</x:v>
      </x:c>
      <x:c r="I33" s="23" t="n">
        <x:v>2</x:v>
      </x:c>
      <x:c r="J33" s="23" t="str">
        <x:v>M-ZJ-TU-C</x:v>
      </x:c>
      <x:c r="K33" s="23" t="str">
        <x:v>凡</x:v>
      </x:c>
      <x:c r="L33" s="23" t="n">
        <x:v>2</x:v>
      </x:c>
      <x:c r="M33" s="23" t="str">
        <x:v>A-ZJ-T</x:v>
      </x:c>
      <x:c r="N33" s="23" t="str">
        <x:v>凡</x:v>
      </x:c>
      <x:c r="O33" s="23" t="n">
        <x:v>2</x:v>
      </x:c>
      <x:c r="P33" s="23" t="str">
        <x:v>E-ZJ-KU-S</x:v>
      </x:c>
      <x:c r="Q33" s="23" t="str">
        <x:v>凡</x:v>
      </x:c>
      <x:c r="R33" s="23" t="n">
        <x:v>1</x:v>
      </x:c>
      <x:c r="S33" s="29" t="str">
        <x:f>VLOOKUP(J33,'03_灵植表'!$B$5:$S$52,6,FALSE)</x:f>
        <x:v>土</x:v>
      </x:c>
      <x:c r="T33" s="29" t="str">
        <x:f>IF(S33=VLOOKUP(C33,'01_丹方主表'!$B$5:$AF$19,10,FALSE),"通过","失败")</x:f>
        <x:v>通过</x:v>
      </x:c>
      <x:c r="U33" s="29" t="str">
        <x:f>VLOOKUP(P33,'03_灵植表'!$B$5:$S$52,7,FALSE)</x:f>
        <x:v>苦</x:v>
      </x:c>
      <x:c r="V33" s="29" t="str">
        <x:f>IF(U33=VLOOKUP(C33,'01_丹方主表'!$B$5:$AF$19,11,FALSE),"通过","失败")</x:f>
        <x:v>通过</x:v>
      </x:c>
      <x:c r="W33" s="29" t="n">
        <x:f>VLOOKUP(C33,'01_丹方主表'!$B$5:$AF$19,13,FALSE)</x:f>
        <x:v>0</x:v>
      </x:c>
      <x:c r="X33" s="29" t="n">
        <x:f>VLOOKUP(G33,'03_灵植表'!$B$5:$S$52,9,FALSE)+VLOOKUP(J33,'03_灵植表'!$B$5:$S$52,9,FALSE)+VLOOKUP(M33,'03_灵植表'!$B$5:$S$52,9,FALSE)+VLOOKUP(P33,'03_灵植表'!$B$5:$S$52,9,FALSE)</x:f>
        <x:v>0</x:v>
      </x:c>
      <x:c r="Y33" s="29" t="str">
        <x:f>IF(W33=X33,"通过","失败")</x:f>
        <x:v>通过</x:v>
      </x:c>
      <x:c r="Z33" s="29" t="n">
        <x:f>VLOOKUP(G33,'03_灵植表'!$B$5:$S$52,10,FALSE)*VLOOKUP(H33,'04_参数字典'!$A$5:$D$7,2,FALSE)*I33+VLOOKUP(J33,'03_灵植表'!$B$5:$S$52,10,FALSE)*VLOOKUP(K33,'04_参数字典'!$A$5:$D$7,2,FALSE)*L33+VLOOKUP(M33,'03_灵植表'!$B$5:$S$52,10,FALSE)*VLOOKUP(N33,'04_参数字典'!$A$5:$D$7,2,FALSE)*O33+VLOOKUP(P33,'03_灵植表'!$B$5:$S$52,10,FALSE)*VLOOKUP(Q33,'04_参数字典'!$A$5:$D$7,2,FALSE)*R33</x:f>
        <x:v>25.8</x:v>
      </x:c>
      <x:c r="AA33" s="29" t="n">
        <x:f>VLOOKUP(C33,'01_丹方主表'!$B$5:$AF$19,14,FALSE)</x:f>
        <x:v>24</x:v>
      </x:c>
      <x:c r="AB33" s="29" t="str">
        <x:f>IF(Z33&gt;=AA33,"通过","失败")</x:f>
        <x:v>通过</x:v>
      </x:c>
      <x:c r="AC33" s="29" t="n">
        <x:f>VLOOKUP(G33,'03_灵植表'!$B$5:$S$52,10,FALSE)*VLOOKUP(H33,'04_参数字典'!$A$5:$D$7,2,FALSE)*I33</x:f>
        <x:v>12</x:v>
      </x:c>
      <x:c r="AD33" s="29" t="n">
        <x:f>VLOOKUP(C33,'01_丹方主表'!$B$5:$AF$19,16,FALSE)</x:f>
        <x:v>8</x:v>
      </x:c>
      <x:c r="AE33" s="29" t="str">
        <x:f>IF(AC33&gt;=AD33,"通过","失败")</x:f>
        <x:v>通过</x:v>
      </x:c>
      <x:c r="AF33" s="29" t="n">
        <x:f>I33+L33+O33+R33</x:f>
        <x:v>7</x:v>
      </x:c>
      <x:c r="AG33" s="29" t="n">
        <x:f>VLOOKUP(C33,'01_丹方主表'!$B$5:$AF$19,17,FALSE)</x:f>
        <x:v>8</x:v>
      </x:c>
      <x:c r="AH33" s="29" t="str">
        <x:f>IF(AF33&lt;=AG33,"通过","失败")</x:f>
        <x:v>通过</x:v>
      </x:c>
      <x:c r="AI33" s="32" t="n">
        <x:f>VLOOKUP(G33,'03_灵植表'!$B$5:$S$52,12,FALSE)*VLOOKUP(H33,'04_参数字典'!$A$5:$D$7,3,FALSE)*I33+VLOOKUP(J33,'03_灵植表'!$B$5:$S$52,12,FALSE)*VLOOKUP(K33,'04_参数字典'!$A$5:$D$7,3,FALSE)*L33+VLOOKUP(M33,'03_灵植表'!$B$5:$S$52,12,FALSE)*VLOOKUP(N33,'04_参数字典'!$A$5:$D$7,3,FALSE)*O33+VLOOKUP(P33,'03_灵植表'!$B$5:$S$52,12,FALSE)*VLOOKUP(Q33,'04_参数字典'!$A$5:$D$7,3,FALSE)*R33</x:f>
        <x:v>260</x:v>
      </x:c>
      <x:c r="AJ33" s="32" t="n">
        <x:f>VLOOKUP(C33,'01_丹方主表'!$B$5:$AF$19,21,FALSE)*VLOOKUP(AL33,'04_参数字典'!$A$5:$D$7,4,FALSE)</x:f>
        <x:v>900</x:v>
      </x:c>
      <x:c r="AK33" s="32" t="n">
        <x:f>AJ33-AI33</x:f>
        <x:v>640</x:v>
      </x:c>
      <x:c r="AL33" s="29" t="str">
        <x:v>凡</x:v>
      </x:c>
      <x:c r="AM33" s="29" t="str">
        <x:f>VLOOKUP(C33,'01_丹方主表'!$B$5:$AF$19,23,FALSE)</x:f>
        <x:v>spirit_permanent</x:v>
      </x:c>
      <x:c r="AN33" s="33" t="n">
        <x:f>VLOOKUP(C33,'01_丹方主表'!$B$5:$AF$19,24,FALSE)</x:f>
        <x:v>5</x:v>
      </x:c>
      <x:c r="AO33" s="33" t="str">
        <x:f>VLOOKUP(C33,'01_丹方主表'!$B$5:$AF$19,25,FALSE)</x:f>
      </x:c>
      <x:c r="AP33" s="33" t="n">
        <x:f>VLOOKUP(C33,'01_丹方主表'!$B$5:$AF$19,26,FALSE)</x:f>
        <x:v>0</x:v>
      </x:c>
      <x:c r="AQ33" s="29" t="n">
        <x:f>VLOOKUP(C33,'01_丹方主表'!$B$5:$AF$19,22,FALSE)</x:f>
        <x:v>20</x:v>
      </x:c>
      <x:c r="AR33" s="29" t="str">
        <x:f>C33&amp;"|"&amp;G33&amp;"|"&amp;J33&amp;"|"&amp;M33&amp;"|"&amp;P33</x:f>
        <x:v>F-ZJ-10|J-ZJ-10|M-ZJ-TU-C|A-ZJ-T|E-ZJ-KU-S</x:v>
      </x:c>
      <x:c r="AS33" s="29" t="str">
        <x:f>IF(AND(T33="通过",V33="通过",Y33="通过",AB33="通过",AE33="通过",AH33="通过",AK33&gt;=0),"通过","失败")</x:f>
        <x:v>通过</x:v>
      </x:c>
      <x:c r="AT33" s="16" t="str">
        <x:v>低成本方：辅材便宜但多占份数，适合卖药与资源紧张时。</x:v>
      </x:c>
    </x:row>
    <x:row r="34">
      <x:c r="A34" s="23" t="n">
        <x:v>30</x:v>
      </x:c>
      <x:c r="B34" s="23" t="str">
        <x:v>TS-F-ZJ-10-R</x:v>
      </x:c>
      <x:c r="C34" s="23" t="str">
        <x:v>F-ZJ-10</x:v>
      </x:c>
      <x:c r="D34" s="23" t="str">
        <x:f>VLOOKUP(C34,'01_丹方主表'!$B$5:$AF$19,2,FALSE)</x:f>
        <x:v>养神丹</x:v>
      </x:c>
      <x:c r="E34" s="23" t="str">
        <x:v>精炼</x:v>
      </x:c>
      <x:c r="F34" s="23" t="str">
        <x:v>否</x:v>
      </x:c>
      <x:c r="G34" s="23" t="str">
        <x:v>J-ZJ-10</x:v>
      </x:c>
      <x:c r="H34" s="23" t="str">
        <x:v>玄</x:v>
      </x:c>
      <x:c r="I34" s="23" t="n">
        <x:v>2</x:v>
      </x:c>
      <x:c r="J34" s="23" t="str">
        <x:v>M-ZJ-TU-P</x:v>
      </x:c>
      <x:c r="K34" s="23" t="str">
        <x:v>玄</x:v>
      </x:c>
      <x:c r="L34" s="23" t="n">
        <x:v>1</x:v>
      </x:c>
      <x:c r="M34" s="23" t="str">
        <x:v>A-ZJ-W</x:v>
      </x:c>
      <x:c r="N34" s="23" t="str">
        <x:v>玄</x:v>
      </x:c>
      <x:c r="O34" s="23" t="n">
        <x:v>1</x:v>
      </x:c>
      <x:c r="P34" s="23" t="str">
        <x:v>E-ZJ-KU-S</x:v>
      </x:c>
      <x:c r="Q34" s="23" t="str">
        <x:v>玄</x:v>
      </x:c>
      <x:c r="R34" s="23" t="n">
        <x:v>1</x:v>
      </x:c>
      <x:c r="S34" s="29" t="str">
        <x:f>VLOOKUP(J34,'03_灵植表'!$B$5:$S$52,6,FALSE)</x:f>
        <x:v>土</x:v>
      </x:c>
      <x:c r="T34" s="29" t="str">
        <x:f>IF(S34=VLOOKUP(C34,'01_丹方主表'!$B$5:$AF$19,10,FALSE),"通过","失败")</x:f>
        <x:v>通过</x:v>
      </x:c>
      <x:c r="U34" s="29" t="str">
        <x:f>VLOOKUP(P34,'03_灵植表'!$B$5:$S$52,7,FALSE)</x:f>
        <x:v>苦</x:v>
      </x:c>
      <x:c r="V34" s="29" t="str">
        <x:f>IF(U34=VLOOKUP(C34,'01_丹方主表'!$B$5:$AF$19,11,FALSE),"通过","失败")</x:f>
        <x:v>通过</x:v>
      </x:c>
      <x:c r="W34" s="29" t="n">
        <x:f>VLOOKUP(C34,'01_丹方主表'!$B$5:$AF$19,13,FALSE)</x:f>
        <x:v>0</x:v>
      </x:c>
      <x:c r="X34" s="29" t="n">
        <x:f>VLOOKUP(G34,'03_灵植表'!$B$5:$S$52,9,FALSE)+VLOOKUP(J34,'03_灵植表'!$B$5:$S$52,9,FALSE)+VLOOKUP(M34,'03_灵植表'!$B$5:$S$52,9,FALSE)+VLOOKUP(P34,'03_灵植表'!$B$5:$S$52,9,FALSE)</x:f>
        <x:v>0</x:v>
      </x:c>
      <x:c r="Y34" s="29" t="str">
        <x:f>IF(W34=X34,"通过","失败")</x:f>
        <x:v>通过</x:v>
      </x:c>
      <x:c r="Z34" s="29" t="n">
        <x:f>VLOOKUP(G34,'03_灵植表'!$B$5:$S$52,10,FALSE)*VLOOKUP(H34,'04_参数字典'!$A$5:$D$7,2,FALSE)*I34+VLOOKUP(J34,'03_灵植表'!$B$5:$S$52,10,FALSE)*VLOOKUP(K34,'04_参数字典'!$A$5:$D$7,2,FALSE)*L34+VLOOKUP(M34,'03_灵植表'!$B$5:$S$52,10,FALSE)*VLOOKUP(N34,'04_参数字典'!$A$5:$D$7,2,FALSE)*O34+VLOOKUP(P34,'03_灵植表'!$B$5:$S$52,10,FALSE)*VLOOKUP(Q34,'04_参数字典'!$A$5:$D$7,2,FALSE)*R34</x:f>
        <x:v>46.8</x:v>
      </x:c>
      <x:c r="AA34" s="29" t="n">
        <x:f>VLOOKUP(C34,'01_丹方主表'!$B$5:$AF$19,14,FALSE)</x:f>
        <x:v>24</x:v>
      </x:c>
      <x:c r="AB34" s="29" t="str">
        <x:f>IF(Z34&gt;=AA34,"通过","失败")</x:f>
        <x:v>通过</x:v>
      </x:c>
      <x:c r="AC34" s="29" t="n">
        <x:f>VLOOKUP(G34,'03_灵植表'!$B$5:$S$52,10,FALSE)*VLOOKUP(H34,'04_参数字典'!$A$5:$D$7,2,FALSE)*I34</x:f>
        <x:v>18</x:v>
      </x:c>
      <x:c r="AD34" s="29" t="n">
        <x:f>VLOOKUP(C34,'01_丹方主表'!$B$5:$AF$19,16,FALSE)</x:f>
        <x:v>8</x:v>
      </x:c>
      <x:c r="AE34" s="29" t="str">
        <x:f>IF(AC34&gt;=AD34,"通过","失败")</x:f>
        <x:v>通过</x:v>
      </x:c>
      <x:c r="AF34" s="29" t="n">
        <x:f>I34+L34+O34+R34</x:f>
        <x:v>5</x:v>
      </x:c>
      <x:c r="AG34" s="29" t="n">
        <x:f>VLOOKUP(C34,'01_丹方主表'!$B$5:$AF$19,17,FALSE)</x:f>
        <x:v>8</x:v>
      </x:c>
      <x:c r="AH34" s="29" t="str">
        <x:f>IF(AF34&lt;=AG34,"通过","失败")</x:f>
        <x:v>通过</x:v>
      </x:c>
      <x:c r="AI34" s="32" t="n">
        <x:f>VLOOKUP(G34,'03_灵植表'!$B$5:$S$52,12,FALSE)*VLOOKUP(H34,'04_参数字典'!$A$5:$D$7,3,FALSE)*I34+VLOOKUP(J34,'03_灵植表'!$B$5:$S$52,12,FALSE)*VLOOKUP(K34,'04_参数字典'!$A$5:$D$7,3,FALSE)*L34+VLOOKUP(M34,'03_灵植表'!$B$5:$S$52,12,FALSE)*VLOOKUP(N34,'04_参数字典'!$A$5:$D$7,3,FALSE)*O34+VLOOKUP(P34,'03_灵植表'!$B$5:$S$52,12,FALSE)*VLOOKUP(Q34,'04_参数字典'!$A$5:$D$7,3,FALSE)*R34</x:f>
        <x:v>675</x:v>
      </x:c>
      <x:c r="AJ34" s="32" t="n">
        <x:f>VLOOKUP(C34,'01_丹方主表'!$B$5:$AF$19,21,FALSE)*VLOOKUP(AL34,'04_参数字典'!$A$5:$D$7,4,FALSE)</x:f>
        <x:v>3600</x:v>
      </x:c>
      <x:c r="AK34" s="32" t="n">
        <x:f>AJ34-AI34</x:f>
        <x:v>2925</x:v>
      </x:c>
      <x:c r="AL34" s="29" t="str">
        <x:v>玄</x:v>
      </x:c>
      <x:c r="AM34" s="29" t="str">
        <x:f>VLOOKUP(C34,'01_丹方主表'!$B$5:$AF$19,23,FALSE)</x:f>
        <x:v>spirit_permanent</x:v>
      </x:c>
      <x:c r="AN34" s="33" t="n">
        <x:f>VLOOKUP(C34,'01_丹方主表'!$B$5:$AF$19,24,FALSE)</x:f>
        <x:v>5</x:v>
      </x:c>
      <x:c r="AO34" s="33" t="str">
        <x:f>VLOOKUP(C34,'01_丹方主表'!$B$5:$AF$19,25,FALSE)</x:f>
      </x:c>
      <x:c r="AP34" s="33" t="n">
        <x:f>VLOOKUP(C34,'01_丹方主表'!$B$5:$AF$19,26,FALSE)</x:f>
        <x:v>0</x:v>
      </x:c>
      <x:c r="AQ34" s="29" t="n">
        <x:f>VLOOKUP(C34,'01_丹方主表'!$B$5:$AF$19,22,FALSE)</x:f>
        <x:v>20</x:v>
      </x:c>
      <x:c r="AR34" s="29" t="str">
        <x:f>C34&amp;"|"&amp;G34&amp;"|"&amp;J34&amp;"|"&amp;M34&amp;"|"&amp;P34</x:f>
        <x:v>F-ZJ-10|J-ZJ-10|M-ZJ-TU-P|A-ZJ-W|E-ZJ-KU-S</x:v>
      </x:c>
      <x:c r="AS34" s="29" t="str">
        <x:f>IF(AND(T34="通过",V34="通过",Y34="通过",AB34="通过",AE34="通过",AH34="通过",AK34&gt;=0),"通过","失败")</x:f>
        <x:v>通过</x:v>
      </x:c>
      <x:c r="AT34" s="16" t="str">
        <x:v>精炼方：高品质材料与药力余量，适合冲击高品丹。</x:v>
      </x:c>
    </x:row>
    <x:row r="35">
      <x:c r="A35" s="23" t="n">
        <x:v>31</x:v>
      </x:c>
      <x:c r="B35" s="23" t="str">
        <x:v>TS-F-ZJ-11-D</x:v>
      </x:c>
      <x:c r="C35" s="23" t="str">
        <x:v>F-ZJ-11</x:v>
      </x:c>
      <x:c r="D35" s="23" t="str">
        <x:f>VLOOKUP(C35,'01_丹方主表'!$B$5:$AF$19,2,FALSE)</x:f>
        <x:v>烈脉丹</x:v>
      </x:c>
      <x:c r="E35" s="23" t="str">
        <x:v>默认</x:v>
      </x:c>
      <x:c r="F35" s="23" t="str">
        <x:v>是</x:v>
      </x:c>
      <x:c r="G35" s="23" t="str">
        <x:v>J-ZJ-11</x:v>
      </x:c>
      <x:c r="H35" s="23" t="str">
        <x:v>灵</x:v>
      </x:c>
      <x:c r="I35" s="23" t="n">
        <x:v>2</x:v>
      </x:c>
      <x:c r="J35" s="23" t="str">
        <x:v>M-ZJ-HUO-P</x:v>
      </x:c>
      <x:c r="K35" s="23" t="str">
        <x:v>灵</x:v>
      </x:c>
      <x:c r="L35" s="23" t="n">
        <x:v>1</x:v>
      </x:c>
      <x:c r="M35" s="23" t="str">
        <x:v>A-ZJ-P</x:v>
      </x:c>
      <x:c r="N35" s="23" t="str">
        <x:v>灵</x:v>
      </x:c>
      <x:c r="O35" s="23" t="n">
        <x:v>1</x:v>
      </x:c>
      <x:c r="P35" s="23" t="str">
        <x:v>E-ZJ-XIN-P</x:v>
      </x:c>
      <x:c r="Q35" s="23" t="str">
        <x:v>灵</x:v>
      </x:c>
      <x:c r="R35" s="23" t="n">
        <x:v>1</x:v>
      </x:c>
      <x:c r="S35" s="29" t="str">
        <x:f>VLOOKUP(J35,'03_灵植表'!$B$5:$S$52,6,FALSE)</x:f>
        <x:v>火</x:v>
      </x:c>
      <x:c r="T35" s="29" t="str">
        <x:f>IF(S35=VLOOKUP(C35,'01_丹方主表'!$B$5:$AF$19,10,FALSE),"通过","失败")</x:f>
        <x:v>通过</x:v>
      </x:c>
      <x:c r="U35" s="29" t="str">
        <x:f>VLOOKUP(P35,'03_灵植表'!$B$5:$S$52,7,FALSE)</x:f>
        <x:v>辛</x:v>
      </x:c>
      <x:c r="V35" s="29" t="str">
        <x:f>IF(U35=VLOOKUP(C35,'01_丹方主表'!$B$5:$AF$19,11,FALSE),"通过","失败")</x:f>
        <x:v>通过</x:v>
      </x:c>
      <x:c r="W35" s="29" t="n">
        <x:f>VLOOKUP(C35,'01_丹方主表'!$B$5:$AF$19,13,FALSE)</x:f>
        <x:v>2</x:v>
      </x:c>
      <x:c r="X35" s="29" t="n">
        <x:f>VLOOKUP(G35,'03_灵植表'!$B$5:$S$52,9,FALSE)+VLOOKUP(J35,'03_灵植表'!$B$5:$S$52,9,FALSE)+VLOOKUP(M35,'03_灵植表'!$B$5:$S$52,9,FALSE)+VLOOKUP(P35,'03_灵植表'!$B$5:$S$52,9,FALSE)</x:f>
        <x:v>2</x:v>
      </x:c>
      <x:c r="Y35" s="29" t="str">
        <x:f>IF(W35=X35,"通过","失败")</x:f>
        <x:v>通过</x:v>
      </x:c>
      <x:c r="Z35" s="29" t="n">
        <x:f>VLOOKUP(G35,'03_灵植表'!$B$5:$S$52,10,FALSE)*VLOOKUP(H35,'04_参数字典'!$A$5:$D$7,2,FALSE)*I35+VLOOKUP(J35,'03_灵植表'!$B$5:$S$52,10,FALSE)*VLOOKUP(K35,'04_参数字典'!$A$5:$D$7,2,FALSE)*L35+VLOOKUP(M35,'03_灵植表'!$B$5:$S$52,10,FALSE)*VLOOKUP(N35,'04_参数字典'!$A$5:$D$7,2,FALSE)*O35+VLOOKUP(P35,'03_灵植表'!$B$5:$S$52,10,FALSE)*VLOOKUP(Q35,'04_参数字典'!$A$5:$D$7,2,FALSE)*R35</x:f>
        <x:v>33.6</x:v>
      </x:c>
      <x:c r="AA35" s="29" t="n">
        <x:f>VLOOKUP(C35,'01_丹方主表'!$B$5:$AF$19,14,FALSE)</x:f>
        <x:v>24</x:v>
      </x:c>
      <x:c r="AB35" s="29" t="str">
        <x:f>IF(Z35&gt;=AA35,"通过","失败")</x:f>
        <x:v>通过</x:v>
      </x:c>
      <x:c r="AC35" s="29" t="n">
        <x:f>VLOOKUP(G35,'03_灵植表'!$B$5:$S$52,10,FALSE)*VLOOKUP(H35,'04_参数字典'!$A$5:$D$7,2,FALSE)*I35</x:f>
        <x:v>12</x:v>
      </x:c>
      <x:c r="AD35" s="29" t="n">
        <x:f>VLOOKUP(C35,'01_丹方主表'!$B$5:$AF$19,16,FALSE)</x:f>
        <x:v>8</x:v>
      </x:c>
      <x:c r="AE35" s="29" t="str">
        <x:f>IF(AC35&gt;=AD35,"通过","失败")</x:f>
        <x:v>通过</x:v>
      </x:c>
      <x:c r="AF35" s="29" t="n">
        <x:f>I35+L35+O35+R35</x:f>
        <x:v>5</x:v>
      </x:c>
      <x:c r="AG35" s="29" t="n">
        <x:f>VLOOKUP(C35,'01_丹方主表'!$B$5:$AF$19,17,FALSE)</x:f>
        <x:v>8</x:v>
      </x:c>
      <x:c r="AH35" s="29" t="str">
        <x:f>IF(AF35&lt;=AG35,"通过","失败")</x:f>
        <x:v>通过</x:v>
      </x:c>
      <x:c r="AI35" s="32" t="n">
        <x:f>VLOOKUP(G35,'03_灵植表'!$B$5:$S$52,12,FALSE)*VLOOKUP(H35,'04_参数字典'!$A$5:$D$7,3,FALSE)*I35+VLOOKUP(J35,'03_灵植表'!$B$5:$S$52,12,FALSE)*VLOOKUP(K35,'04_参数字典'!$A$5:$D$7,3,FALSE)*L35+VLOOKUP(M35,'03_灵植表'!$B$5:$S$52,12,FALSE)*VLOOKUP(N35,'04_参数字典'!$A$5:$D$7,3,FALSE)*O35+VLOOKUP(P35,'03_灵植表'!$B$5:$S$52,12,FALSE)*VLOOKUP(Q35,'04_参数字典'!$A$5:$D$7,3,FALSE)*R35</x:f>
        <x:v>231</x:v>
      </x:c>
      <x:c r="AJ35" s="32" t="n">
        <x:f>VLOOKUP(C35,'01_丹方主表'!$B$5:$AF$19,21,FALSE)*VLOOKUP(AL35,'04_参数字典'!$A$5:$D$7,4,FALSE)</x:f>
        <x:v>500</x:v>
      </x:c>
      <x:c r="AK35" s="32" t="n">
        <x:f>AJ35-AI35</x:f>
        <x:v>269</x:v>
      </x:c>
      <x:c r="AL35" s="29" t="str">
        <x:v>灵</x:v>
      </x:c>
      <x:c r="AM35" s="29" t="str">
        <x:f>VLOOKUP(C35,'01_丹方主表'!$B$5:$AF$19,23,FALSE)</x:f>
        <x:v>damage_bonus</x:v>
      </x:c>
      <x:c r="AN35" s="33" t="n">
        <x:f>VLOOKUP(C35,'01_丹方主表'!$B$5:$AF$19,24,FALSE)</x:f>
        <x:v>0.2</x:v>
      </x:c>
      <x:c r="AO35" s="33" t="str">
        <x:f>VLOOKUP(C35,'01_丹方主表'!$B$5:$AF$19,25,FALSE)</x:f>
        <x:v>post_weakness</x:v>
      </x:c>
      <x:c r="AP35" s="33" t="n">
        <x:f>VLOOKUP(C35,'01_丹方主表'!$B$5:$AF$19,26,FALSE)</x:f>
        <x:v>0.1</x:v>
      </x:c>
      <x:c r="AQ35" s="29" t="n">
        <x:f>VLOOKUP(C35,'01_丹方主表'!$B$5:$AF$19,22,FALSE)</x:f>
        <x:v>8</x:v>
      </x:c>
      <x:c r="AR35" s="29" t="str">
        <x:f>C35&amp;"|"&amp;G35&amp;"|"&amp;J35&amp;"|"&amp;M35&amp;"|"&amp;P35</x:f>
        <x:v>F-ZJ-11|J-ZJ-11|M-ZJ-HUO-P|A-ZJ-P|E-ZJ-XIN-P</x:v>
      </x:c>
      <x:c r="AS35" s="29" t="str">
        <x:f>IF(AND(T35="通过",V35="通过",Y35="通过",AB35="通过",AE35="通过",AH35="通过",AK35&gt;=0),"通过","失败")</x:f>
        <x:v>通过</x:v>
      </x:c>
      <x:c r="AT35" s="16" t="str">
        <x:v>师承标准方：材料常见、方性直观，获得丹方即自动填入。</x:v>
      </x:c>
    </x:row>
    <x:row r="36">
      <x:c r="A36" s="23" t="n">
        <x:v>32</x:v>
      </x:c>
      <x:c r="B36" s="23" t="str">
        <x:v>TS-F-ZJ-11-C</x:v>
      </x:c>
      <x:c r="C36" s="23" t="str">
        <x:v>F-ZJ-11</x:v>
      </x:c>
      <x:c r="D36" s="23" t="str">
        <x:f>VLOOKUP(C36,'01_丹方主表'!$B$5:$AF$19,2,FALSE)</x:f>
        <x:v>烈脉丹</x:v>
      </x:c>
      <x:c r="E36" s="23" t="str">
        <x:v>廉价</x:v>
      </x:c>
      <x:c r="F36" s="23" t="str">
        <x:v>否</x:v>
      </x:c>
      <x:c r="G36" s="23" t="str">
        <x:v>J-ZJ-11</x:v>
      </x:c>
      <x:c r="H36" s="23" t="str">
        <x:v>灵</x:v>
      </x:c>
      <x:c r="I36" s="23" t="n">
        <x:v>2</x:v>
      </x:c>
      <x:c r="J36" s="23" t="str">
        <x:v>M-ZJ-HUO-C</x:v>
      </x:c>
      <x:c r="K36" s="23" t="str">
        <x:v>凡</x:v>
      </x:c>
      <x:c r="L36" s="23" t="n">
        <x:v>2</x:v>
      </x:c>
      <x:c r="M36" s="23" t="str">
        <x:v>A-ZJ-H</x:v>
      </x:c>
      <x:c r="N36" s="23" t="str">
        <x:v>凡</x:v>
      </x:c>
      <x:c r="O36" s="23" t="n">
        <x:v>2</x:v>
      </x:c>
      <x:c r="P36" s="23" t="str">
        <x:v>E-ZJ-XIN-S</x:v>
      </x:c>
      <x:c r="Q36" s="23" t="str">
        <x:v>凡</x:v>
      </x:c>
      <x:c r="R36" s="23" t="n">
        <x:v>1</x:v>
      </x:c>
      <x:c r="S36" s="29" t="str">
        <x:f>VLOOKUP(J36,'03_灵植表'!$B$5:$S$52,6,FALSE)</x:f>
        <x:v>火</x:v>
      </x:c>
      <x:c r="T36" s="29" t="str">
        <x:f>IF(S36=VLOOKUP(C36,'01_丹方主表'!$B$5:$AF$19,10,FALSE),"通过","失败")</x:f>
        <x:v>通过</x:v>
      </x:c>
      <x:c r="U36" s="29" t="str">
        <x:f>VLOOKUP(P36,'03_灵植表'!$B$5:$S$52,7,FALSE)</x:f>
        <x:v>辛</x:v>
      </x:c>
      <x:c r="V36" s="29" t="str">
        <x:f>IF(U36=VLOOKUP(C36,'01_丹方主表'!$B$5:$AF$19,11,FALSE),"通过","失败")</x:f>
        <x:v>通过</x:v>
      </x:c>
      <x:c r="W36" s="29" t="n">
        <x:f>VLOOKUP(C36,'01_丹方主表'!$B$5:$AF$19,13,FALSE)</x:f>
        <x:v>2</x:v>
      </x:c>
      <x:c r="X36" s="29" t="n">
        <x:f>VLOOKUP(G36,'03_灵植表'!$B$5:$S$52,9,FALSE)+VLOOKUP(J36,'03_灵植表'!$B$5:$S$52,9,FALSE)+VLOOKUP(M36,'03_灵植表'!$B$5:$S$52,9,FALSE)+VLOOKUP(P36,'03_灵植表'!$B$5:$S$52,9,FALSE)</x:f>
        <x:v>2</x:v>
      </x:c>
      <x:c r="Y36" s="29" t="str">
        <x:f>IF(W36=X36,"通过","失败")</x:f>
        <x:v>通过</x:v>
      </x:c>
      <x:c r="Z36" s="29" t="n">
        <x:f>VLOOKUP(G36,'03_灵植表'!$B$5:$S$52,10,FALSE)*VLOOKUP(H36,'04_参数字典'!$A$5:$D$7,2,FALSE)*I36+VLOOKUP(J36,'03_灵植表'!$B$5:$S$52,10,FALSE)*VLOOKUP(K36,'04_参数字典'!$A$5:$D$7,2,FALSE)*L36+VLOOKUP(M36,'03_灵植表'!$B$5:$S$52,10,FALSE)*VLOOKUP(N36,'04_参数字典'!$A$5:$D$7,2,FALSE)*O36+VLOOKUP(P36,'03_灵植表'!$B$5:$S$52,10,FALSE)*VLOOKUP(Q36,'04_参数字典'!$A$5:$D$7,2,FALSE)*R36</x:f>
        <x:v>25.8</x:v>
      </x:c>
      <x:c r="AA36" s="29" t="n">
        <x:f>VLOOKUP(C36,'01_丹方主表'!$B$5:$AF$19,14,FALSE)</x:f>
        <x:v>24</x:v>
      </x:c>
      <x:c r="AB36" s="29" t="str">
        <x:f>IF(Z36&gt;=AA36,"通过","失败")</x:f>
        <x:v>通过</x:v>
      </x:c>
      <x:c r="AC36" s="29" t="n">
        <x:f>VLOOKUP(G36,'03_灵植表'!$B$5:$S$52,10,FALSE)*VLOOKUP(H36,'04_参数字典'!$A$5:$D$7,2,FALSE)*I36</x:f>
        <x:v>12</x:v>
      </x:c>
      <x:c r="AD36" s="29" t="n">
        <x:f>VLOOKUP(C36,'01_丹方主表'!$B$5:$AF$19,16,FALSE)</x:f>
        <x:v>8</x:v>
      </x:c>
      <x:c r="AE36" s="29" t="str">
        <x:f>IF(AC36&gt;=AD36,"通过","失败")</x:f>
        <x:v>通过</x:v>
      </x:c>
      <x:c r="AF36" s="29" t="n">
        <x:f>I36+L36+O36+R36</x:f>
        <x:v>7</x:v>
      </x:c>
      <x:c r="AG36" s="29" t="n">
        <x:f>VLOOKUP(C36,'01_丹方主表'!$B$5:$AF$19,17,FALSE)</x:f>
        <x:v>8</x:v>
      </x:c>
      <x:c r="AH36" s="29" t="str">
        <x:f>IF(AF36&lt;=AG36,"通过","失败")</x:f>
        <x:v>通过</x:v>
      </x:c>
      <x:c r="AI36" s="32" t="n">
        <x:f>VLOOKUP(G36,'03_灵植表'!$B$5:$S$52,12,FALSE)*VLOOKUP(H36,'04_参数字典'!$A$5:$D$7,3,FALSE)*I36+VLOOKUP(J36,'03_灵植表'!$B$5:$S$52,12,FALSE)*VLOOKUP(K36,'04_参数字典'!$A$5:$D$7,3,FALSE)*L36+VLOOKUP(M36,'03_灵植表'!$B$5:$S$52,12,FALSE)*VLOOKUP(N36,'04_参数字典'!$A$5:$D$7,3,FALSE)*O36+VLOOKUP(P36,'03_灵植表'!$B$5:$S$52,12,FALSE)*VLOOKUP(Q36,'04_参数字典'!$A$5:$D$7,3,FALSE)*R36</x:f>
        <x:v>172</x:v>
      </x:c>
      <x:c r="AJ36" s="32" t="n">
        <x:f>VLOOKUP(C36,'01_丹方主表'!$B$5:$AF$19,21,FALSE)*VLOOKUP(AL36,'04_参数字典'!$A$5:$D$7,4,FALSE)</x:f>
        <x:v>250</x:v>
      </x:c>
      <x:c r="AK36" s="32" t="n">
        <x:f>AJ36-AI36</x:f>
        <x:v>78</x:v>
      </x:c>
      <x:c r="AL36" s="29" t="str">
        <x:v>凡</x:v>
      </x:c>
      <x:c r="AM36" s="29" t="str">
        <x:f>VLOOKUP(C36,'01_丹方主表'!$B$5:$AF$19,23,FALSE)</x:f>
        <x:v>damage_bonus</x:v>
      </x:c>
      <x:c r="AN36" s="33" t="n">
        <x:f>VLOOKUP(C36,'01_丹方主表'!$B$5:$AF$19,24,FALSE)</x:f>
        <x:v>0.2</x:v>
      </x:c>
      <x:c r="AO36" s="33" t="str">
        <x:f>VLOOKUP(C36,'01_丹方主表'!$B$5:$AF$19,25,FALSE)</x:f>
        <x:v>post_weakness</x:v>
      </x:c>
      <x:c r="AP36" s="33" t="n">
        <x:f>VLOOKUP(C36,'01_丹方主表'!$B$5:$AF$19,26,FALSE)</x:f>
        <x:v>0.1</x:v>
      </x:c>
      <x:c r="AQ36" s="29" t="n">
        <x:f>VLOOKUP(C36,'01_丹方主表'!$B$5:$AF$19,22,FALSE)</x:f>
        <x:v>8</x:v>
      </x:c>
      <x:c r="AR36" s="29" t="str">
        <x:f>C36&amp;"|"&amp;G36&amp;"|"&amp;J36&amp;"|"&amp;M36&amp;"|"&amp;P36</x:f>
        <x:v>F-ZJ-11|J-ZJ-11|M-ZJ-HUO-C|A-ZJ-H|E-ZJ-XIN-S</x:v>
      </x:c>
      <x:c r="AS36" s="29" t="str">
        <x:f>IF(AND(T36="通过",V36="通过",Y36="通过",AB36="通过",AE36="通过",AH36="通过",AK36&gt;=0),"通过","失败")</x:f>
        <x:v>通过</x:v>
      </x:c>
      <x:c r="AT36" s="16" t="str">
        <x:v>低成本方：辅材便宜但多占份数，适合卖药与资源紧张时。</x:v>
      </x:c>
    </x:row>
    <x:row r="37">
      <x:c r="A37" s="23" t="n">
        <x:v>33</x:v>
      </x:c>
      <x:c r="B37" s="23" t="str">
        <x:v>TS-F-ZJ-11-R</x:v>
      </x:c>
      <x:c r="C37" s="23" t="str">
        <x:v>F-ZJ-11</x:v>
      </x:c>
      <x:c r="D37" s="23" t="str">
        <x:f>VLOOKUP(C37,'01_丹方主表'!$B$5:$AF$19,2,FALSE)</x:f>
        <x:v>烈脉丹</x:v>
      </x:c>
      <x:c r="E37" s="23" t="str">
        <x:v>精炼</x:v>
      </x:c>
      <x:c r="F37" s="23" t="str">
        <x:v>否</x:v>
      </x:c>
      <x:c r="G37" s="23" t="str">
        <x:v>J-ZJ-11</x:v>
      </x:c>
      <x:c r="H37" s="23" t="str">
        <x:v>玄</x:v>
      </x:c>
      <x:c r="I37" s="23" t="n">
        <x:v>2</x:v>
      </x:c>
      <x:c r="J37" s="23" t="str">
        <x:v>M-ZJ-HUO-P</x:v>
      </x:c>
      <x:c r="K37" s="23" t="str">
        <x:v>玄</x:v>
      </x:c>
      <x:c r="L37" s="23" t="n">
        <x:v>1</x:v>
      </x:c>
      <x:c r="M37" s="23" t="str">
        <x:v>A-ZJ-C</x:v>
      </x:c>
      <x:c r="N37" s="23" t="str">
        <x:v>玄</x:v>
      </x:c>
      <x:c r="O37" s="23" t="n">
        <x:v>1</x:v>
      </x:c>
      <x:c r="P37" s="23" t="str">
        <x:v>E-ZJ-XIN-S</x:v>
      </x:c>
      <x:c r="Q37" s="23" t="str">
        <x:v>玄</x:v>
      </x:c>
      <x:c r="R37" s="23" t="n">
        <x:v>1</x:v>
      </x:c>
      <x:c r="S37" s="29" t="str">
        <x:f>VLOOKUP(J37,'03_灵植表'!$B$5:$S$52,6,FALSE)</x:f>
        <x:v>火</x:v>
      </x:c>
      <x:c r="T37" s="29" t="str">
        <x:f>IF(S37=VLOOKUP(C37,'01_丹方主表'!$B$5:$AF$19,10,FALSE),"通过","失败")</x:f>
        <x:v>通过</x:v>
      </x:c>
      <x:c r="U37" s="29" t="str">
        <x:f>VLOOKUP(P37,'03_灵植表'!$B$5:$S$52,7,FALSE)</x:f>
        <x:v>辛</x:v>
      </x:c>
      <x:c r="V37" s="29" t="str">
        <x:f>IF(U37=VLOOKUP(C37,'01_丹方主表'!$B$5:$AF$19,11,FALSE),"通过","失败")</x:f>
        <x:v>通过</x:v>
      </x:c>
      <x:c r="W37" s="29" t="n">
        <x:f>VLOOKUP(C37,'01_丹方主表'!$B$5:$AF$19,13,FALSE)</x:f>
        <x:v>2</x:v>
      </x:c>
      <x:c r="X37" s="29" t="n">
        <x:f>VLOOKUP(G37,'03_灵植表'!$B$5:$S$52,9,FALSE)+VLOOKUP(J37,'03_灵植表'!$B$5:$S$52,9,FALSE)+VLOOKUP(M37,'03_灵植表'!$B$5:$S$52,9,FALSE)+VLOOKUP(P37,'03_灵植表'!$B$5:$S$52,9,FALSE)</x:f>
        <x:v>2</x:v>
      </x:c>
      <x:c r="Y37" s="29" t="str">
        <x:f>IF(W37=X37,"通过","失败")</x:f>
        <x:v>通过</x:v>
      </x:c>
      <x:c r="Z37" s="29" t="n">
        <x:f>VLOOKUP(G37,'03_灵植表'!$B$5:$S$52,10,FALSE)*VLOOKUP(H37,'04_参数字典'!$A$5:$D$7,2,FALSE)*I37+VLOOKUP(J37,'03_灵植表'!$B$5:$S$52,10,FALSE)*VLOOKUP(K37,'04_参数字典'!$A$5:$D$7,2,FALSE)*L37+VLOOKUP(M37,'03_灵植表'!$B$5:$S$52,10,FALSE)*VLOOKUP(N37,'04_参数字典'!$A$5:$D$7,2,FALSE)*O37+VLOOKUP(P37,'03_灵植表'!$B$5:$S$52,10,FALSE)*VLOOKUP(Q37,'04_参数字典'!$A$5:$D$7,2,FALSE)*R37</x:f>
        <x:v>46.8</x:v>
      </x:c>
      <x:c r="AA37" s="29" t="n">
        <x:f>VLOOKUP(C37,'01_丹方主表'!$B$5:$AF$19,14,FALSE)</x:f>
        <x:v>24</x:v>
      </x:c>
      <x:c r="AB37" s="29" t="str">
        <x:f>IF(Z37&gt;=AA37,"通过","失败")</x:f>
        <x:v>通过</x:v>
      </x:c>
      <x:c r="AC37" s="29" t="n">
        <x:f>VLOOKUP(G37,'03_灵植表'!$B$5:$S$52,10,FALSE)*VLOOKUP(H37,'04_参数字典'!$A$5:$D$7,2,FALSE)*I37</x:f>
        <x:v>18</x:v>
      </x:c>
      <x:c r="AD37" s="29" t="n">
        <x:f>VLOOKUP(C37,'01_丹方主表'!$B$5:$AF$19,16,FALSE)</x:f>
        <x:v>8</x:v>
      </x:c>
      <x:c r="AE37" s="29" t="str">
        <x:f>IF(AC37&gt;=AD37,"通过","失败")</x:f>
        <x:v>通过</x:v>
      </x:c>
      <x:c r="AF37" s="29" t="n">
        <x:f>I37+L37+O37+R37</x:f>
        <x:v>5</x:v>
      </x:c>
      <x:c r="AG37" s="29" t="n">
        <x:f>VLOOKUP(C37,'01_丹方主表'!$B$5:$AF$19,17,FALSE)</x:f>
        <x:v>8</x:v>
      </x:c>
      <x:c r="AH37" s="29" t="str">
        <x:f>IF(AF37&lt;=AG37,"通过","失败")</x:f>
        <x:v>通过</x:v>
      </x:c>
      <x:c r="AI37" s="32" t="n">
        <x:f>VLOOKUP(G37,'03_灵植表'!$B$5:$S$52,12,FALSE)*VLOOKUP(H37,'04_参数字典'!$A$5:$D$7,3,FALSE)*I37+VLOOKUP(J37,'03_灵植表'!$B$5:$S$52,12,FALSE)*VLOOKUP(K37,'04_参数字典'!$A$5:$D$7,3,FALSE)*L37+VLOOKUP(M37,'03_灵植表'!$B$5:$S$52,12,FALSE)*VLOOKUP(N37,'04_参数字典'!$A$5:$D$7,3,FALSE)*O37+VLOOKUP(P37,'03_灵植表'!$B$5:$S$52,12,FALSE)*VLOOKUP(Q37,'04_参数字典'!$A$5:$D$7,3,FALSE)*R37</x:f>
        <x:v>475</x:v>
      </x:c>
      <x:c r="AJ37" s="32" t="n">
        <x:f>VLOOKUP(C37,'01_丹方主表'!$B$5:$AF$19,21,FALSE)*VLOOKUP(AL37,'04_参数字典'!$A$5:$D$7,4,FALSE)</x:f>
        <x:v>1000</x:v>
      </x:c>
      <x:c r="AK37" s="32" t="n">
        <x:f>AJ37-AI37</x:f>
        <x:v>525</x:v>
      </x:c>
      <x:c r="AL37" s="29" t="str">
        <x:v>玄</x:v>
      </x:c>
      <x:c r="AM37" s="29" t="str">
        <x:f>VLOOKUP(C37,'01_丹方主表'!$B$5:$AF$19,23,FALSE)</x:f>
        <x:v>damage_bonus</x:v>
      </x:c>
      <x:c r="AN37" s="33" t="n">
        <x:f>VLOOKUP(C37,'01_丹方主表'!$B$5:$AF$19,24,FALSE)</x:f>
        <x:v>0.2</x:v>
      </x:c>
      <x:c r="AO37" s="33" t="str">
        <x:f>VLOOKUP(C37,'01_丹方主表'!$B$5:$AF$19,25,FALSE)</x:f>
        <x:v>post_weakness</x:v>
      </x:c>
      <x:c r="AP37" s="33" t="n">
        <x:f>VLOOKUP(C37,'01_丹方主表'!$B$5:$AF$19,26,FALSE)</x:f>
        <x:v>0.1</x:v>
      </x:c>
      <x:c r="AQ37" s="29" t="n">
        <x:f>VLOOKUP(C37,'01_丹方主表'!$B$5:$AF$19,22,FALSE)</x:f>
        <x:v>8</x:v>
      </x:c>
      <x:c r="AR37" s="29" t="str">
        <x:f>C37&amp;"|"&amp;G37&amp;"|"&amp;J37&amp;"|"&amp;M37&amp;"|"&amp;P37</x:f>
        <x:v>F-ZJ-11|J-ZJ-11|M-ZJ-HUO-P|A-ZJ-C|E-ZJ-XIN-S</x:v>
      </x:c>
      <x:c r="AS37" s="29" t="str">
        <x:f>IF(AND(T37="通过",V37="通过",Y37="通过",AB37="通过",AE37="通过",AH37="通过",AK37&gt;=0),"通过","失败")</x:f>
        <x:v>通过</x:v>
      </x:c>
      <x:c r="AT37" s="16" t="str">
        <x:v>精炼方：高品质材料与药力余量，适合冲击高品丹。</x:v>
      </x:c>
    </x:row>
    <x:row r="38">
      <x:c r="A38" s="23" t="n">
        <x:v>34</x:v>
      </x:c>
      <x:c r="B38" s="23" t="str">
        <x:v>TS-F-ZJ-12-D</x:v>
      </x:c>
      <x:c r="C38" s="23" t="str">
        <x:v>F-ZJ-12</x:v>
      </x:c>
      <x:c r="D38" s="23" t="str">
        <x:f>VLOOKUP(C38,'01_丹方主表'!$B$5:$AF$19,2,FALSE)</x:f>
        <x:v>守脉丹</x:v>
      </x:c>
      <x:c r="E38" s="23" t="str">
        <x:v>默认</x:v>
      </x:c>
      <x:c r="F38" s="23" t="str">
        <x:v>是</x:v>
      </x:c>
      <x:c r="G38" s="23" t="str">
        <x:v>J-ZJ-12</x:v>
      </x:c>
      <x:c r="H38" s="23" t="str">
        <x:v>灵</x:v>
      </x:c>
      <x:c r="I38" s="23" t="n">
        <x:v>2</x:v>
      </x:c>
      <x:c r="J38" s="23" t="str">
        <x:v>M-ZJ-JIN-P</x:v>
      </x:c>
      <x:c r="K38" s="23" t="str">
        <x:v>灵</x:v>
      </x:c>
      <x:c r="L38" s="23" t="n">
        <x:v>1</x:v>
      </x:c>
      <x:c r="M38" s="23" t="str">
        <x:v>A-ZJ-P</x:v>
      </x:c>
      <x:c r="N38" s="23" t="str">
        <x:v>灵</x:v>
      </x:c>
      <x:c r="O38" s="23" t="n">
        <x:v>1</x:v>
      </x:c>
      <x:c r="P38" s="23" t="str">
        <x:v>E-ZJ-XIN-P</x:v>
      </x:c>
      <x:c r="Q38" s="23" t="str">
        <x:v>灵</x:v>
      </x:c>
      <x:c r="R38" s="23" t="n">
        <x:v>1</x:v>
      </x:c>
      <x:c r="S38" s="29" t="str">
        <x:f>VLOOKUP(J38,'03_灵植表'!$B$5:$S$52,6,FALSE)</x:f>
        <x:v>金</x:v>
      </x:c>
      <x:c r="T38" s="29" t="str">
        <x:f>IF(S38=VLOOKUP(C38,'01_丹方主表'!$B$5:$AF$19,10,FALSE),"通过","失败")</x:f>
        <x:v>通过</x:v>
      </x:c>
      <x:c r="U38" s="29" t="str">
        <x:f>VLOOKUP(P38,'03_灵植表'!$B$5:$S$52,7,FALSE)</x:f>
        <x:v>辛</x:v>
      </x:c>
      <x:c r="V38" s="29" t="str">
        <x:f>IF(U38=VLOOKUP(C38,'01_丹方主表'!$B$5:$AF$19,11,FALSE),"通过","失败")</x:f>
        <x:v>通过</x:v>
      </x:c>
      <x:c r="W38" s="29" t="n">
        <x:f>VLOOKUP(C38,'01_丹方主表'!$B$5:$AF$19,13,FALSE)</x:f>
        <x:v>-1</x:v>
      </x:c>
      <x:c r="X38" s="29" t="n">
        <x:f>VLOOKUP(G38,'03_灵植表'!$B$5:$S$52,9,FALSE)+VLOOKUP(J38,'03_灵植表'!$B$5:$S$52,9,FALSE)+VLOOKUP(M38,'03_灵植表'!$B$5:$S$52,9,FALSE)+VLOOKUP(P38,'03_灵植表'!$B$5:$S$52,9,FALSE)</x:f>
        <x:v>-1</x:v>
      </x:c>
      <x:c r="Y38" s="29" t="str">
        <x:f>IF(W38=X38,"通过","失败")</x:f>
        <x:v>通过</x:v>
      </x:c>
      <x:c r="Z38" s="29" t="n">
        <x:f>VLOOKUP(G38,'03_灵植表'!$B$5:$S$52,10,FALSE)*VLOOKUP(H38,'04_参数字典'!$A$5:$D$7,2,FALSE)*I38+VLOOKUP(J38,'03_灵植表'!$B$5:$S$52,10,FALSE)*VLOOKUP(K38,'04_参数字典'!$A$5:$D$7,2,FALSE)*L38+VLOOKUP(M38,'03_灵植表'!$B$5:$S$52,10,FALSE)*VLOOKUP(N38,'04_参数字典'!$A$5:$D$7,2,FALSE)*O38+VLOOKUP(P38,'03_灵植表'!$B$5:$S$52,10,FALSE)*VLOOKUP(Q38,'04_参数字典'!$A$5:$D$7,2,FALSE)*R38</x:f>
        <x:v>33.6</x:v>
      </x:c>
      <x:c r="AA38" s="29" t="n">
        <x:f>VLOOKUP(C38,'01_丹方主表'!$B$5:$AF$19,14,FALSE)</x:f>
        <x:v>24</x:v>
      </x:c>
      <x:c r="AB38" s="29" t="str">
        <x:f>IF(Z38&gt;=AA38,"通过","失败")</x:f>
        <x:v>通过</x:v>
      </x:c>
      <x:c r="AC38" s="29" t="n">
        <x:f>VLOOKUP(G38,'03_灵植表'!$B$5:$S$52,10,FALSE)*VLOOKUP(H38,'04_参数字典'!$A$5:$D$7,2,FALSE)*I38</x:f>
        <x:v>12</x:v>
      </x:c>
      <x:c r="AD38" s="29" t="n">
        <x:f>VLOOKUP(C38,'01_丹方主表'!$B$5:$AF$19,16,FALSE)</x:f>
        <x:v>8</x:v>
      </x:c>
      <x:c r="AE38" s="29" t="str">
        <x:f>IF(AC38&gt;=AD38,"通过","失败")</x:f>
        <x:v>通过</x:v>
      </x:c>
      <x:c r="AF38" s="29" t="n">
        <x:f>I38+L38+O38+R38</x:f>
        <x:v>5</x:v>
      </x:c>
      <x:c r="AG38" s="29" t="n">
        <x:f>VLOOKUP(C38,'01_丹方主表'!$B$5:$AF$19,17,FALSE)</x:f>
        <x:v>8</x:v>
      </x:c>
      <x:c r="AH38" s="29" t="str">
        <x:f>IF(AF38&lt;=AG38,"通过","失败")</x:f>
        <x:v>通过</x:v>
      </x:c>
      <x:c r="AI38" s="32" t="n">
        <x:f>VLOOKUP(G38,'03_灵植表'!$B$5:$S$52,12,FALSE)*VLOOKUP(H38,'04_参数字典'!$A$5:$D$7,3,FALSE)*I38+VLOOKUP(J38,'03_灵植表'!$B$5:$S$52,12,FALSE)*VLOOKUP(K38,'04_参数字典'!$A$5:$D$7,3,FALSE)*L38+VLOOKUP(M38,'03_灵植表'!$B$5:$S$52,12,FALSE)*VLOOKUP(N38,'04_参数字典'!$A$5:$D$7,3,FALSE)*O38+VLOOKUP(P38,'03_灵植表'!$B$5:$S$52,12,FALSE)*VLOOKUP(Q38,'04_参数字典'!$A$5:$D$7,3,FALSE)*R38</x:f>
        <x:v>231</x:v>
      </x:c>
      <x:c r="AJ38" s="32" t="n">
        <x:f>VLOOKUP(C38,'01_丹方主表'!$B$5:$AF$19,21,FALSE)*VLOOKUP(AL38,'04_参数字典'!$A$5:$D$7,4,FALSE)</x:f>
        <x:v>500</x:v>
      </x:c>
      <x:c r="AK38" s="32" t="n">
        <x:f>AJ38-AI38</x:f>
        <x:v>269</x:v>
      </x:c>
      <x:c r="AL38" s="29" t="str">
        <x:v>灵</x:v>
      </x:c>
      <x:c r="AM38" s="29" t="str">
        <x:f>VLOOKUP(C38,'01_丹方主表'!$B$5:$AF$19,23,FALSE)</x:f>
        <x:v>damage_reduction</x:v>
      </x:c>
      <x:c r="AN38" s="33" t="n">
        <x:f>VLOOKUP(C38,'01_丹方主表'!$B$5:$AF$19,24,FALSE)</x:f>
        <x:v>0.15</x:v>
      </x:c>
      <x:c r="AO38" s="33" t="str">
        <x:f>VLOOKUP(C38,'01_丹方主表'!$B$5:$AF$19,25,FALSE)</x:f>
      </x:c>
      <x:c r="AP38" s="33" t="n">
        <x:f>VLOOKUP(C38,'01_丹方主表'!$B$5:$AF$19,26,FALSE)</x:f>
        <x:v>0</x:v>
      </x:c>
      <x:c r="AQ38" s="29" t="n">
        <x:f>VLOOKUP(C38,'01_丹方主表'!$B$5:$AF$19,22,FALSE)</x:f>
        <x:v>5</x:v>
      </x:c>
      <x:c r="AR38" s="29" t="str">
        <x:f>C38&amp;"|"&amp;G38&amp;"|"&amp;J38&amp;"|"&amp;M38&amp;"|"&amp;P38</x:f>
        <x:v>F-ZJ-12|J-ZJ-12|M-ZJ-JIN-P|A-ZJ-P|E-ZJ-XIN-P</x:v>
      </x:c>
      <x:c r="AS38" s="29" t="str">
        <x:f>IF(AND(T38="通过",V38="通过",Y38="通过",AB38="通过",AE38="通过",AH38="通过",AK38&gt;=0),"通过","失败")</x:f>
        <x:v>通过</x:v>
      </x:c>
      <x:c r="AT38" s="16" t="str">
        <x:v>师承标准方：材料常见、方性直观，获得丹方即自动填入。</x:v>
      </x:c>
    </x:row>
    <x:row r="39">
      <x:c r="A39" s="23" t="n">
        <x:v>35</x:v>
      </x:c>
      <x:c r="B39" s="23" t="str">
        <x:v>TS-F-ZJ-12-C</x:v>
      </x:c>
      <x:c r="C39" s="23" t="str">
        <x:v>F-ZJ-12</x:v>
      </x:c>
      <x:c r="D39" s="23" t="str">
        <x:f>VLOOKUP(C39,'01_丹方主表'!$B$5:$AF$19,2,FALSE)</x:f>
        <x:v>守脉丹</x:v>
      </x:c>
      <x:c r="E39" s="23" t="str">
        <x:v>廉价</x:v>
      </x:c>
      <x:c r="F39" s="23" t="str">
        <x:v>否</x:v>
      </x:c>
      <x:c r="G39" s="23" t="str">
        <x:v>J-ZJ-12</x:v>
      </x:c>
      <x:c r="H39" s="23" t="str">
        <x:v>灵</x:v>
      </x:c>
      <x:c r="I39" s="23" t="n">
        <x:v>2</x:v>
      </x:c>
      <x:c r="J39" s="23" t="str">
        <x:v>M-ZJ-JIN-S</x:v>
      </x:c>
      <x:c r="K39" s="23" t="str">
        <x:v>凡</x:v>
      </x:c>
      <x:c r="L39" s="23" t="n">
        <x:v>2</x:v>
      </x:c>
      <x:c r="M39" s="23" t="str">
        <x:v>A-ZJ-T</x:v>
      </x:c>
      <x:c r="N39" s="23" t="str">
        <x:v>凡</x:v>
      </x:c>
      <x:c r="O39" s="23" t="n">
        <x:v>2</x:v>
      </x:c>
      <x:c r="P39" s="23" t="str">
        <x:v>E-ZJ-XIN-C</x:v>
      </x:c>
      <x:c r="Q39" s="23" t="str">
        <x:v>凡</x:v>
      </x:c>
      <x:c r="R39" s="23" t="n">
        <x:v>1</x:v>
      </x:c>
      <x:c r="S39" s="29" t="str">
        <x:f>VLOOKUP(J39,'03_灵植表'!$B$5:$S$52,6,FALSE)</x:f>
        <x:v>金</x:v>
      </x:c>
      <x:c r="T39" s="29" t="str">
        <x:f>IF(S39=VLOOKUP(C39,'01_丹方主表'!$B$5:$AF$19,10,FALSE),"通过","失败")</x:f>
        <x:v>通过</x:v>
      </x:c>
      <x:c r="U39" s="29" t="str">
        <x:f>VLOOKUP(P39,'03_灵植表'!$B$5:$S$52,7,FALSE)</x:f>
        <x:v>辛</x:v>
      </x:c>
      <x:c r="V39" s="29" t="str">
        <x:f>IF(U39=VLOOKUP(C39,'01_丹方主表'!$B$5:$AF$19,11,FALSE),"通过","失败")</x:f>
        <x:v>通过</x:v>
      </x:c>
      <x:c r="W39" s="29" t="n">
        <x:f>VLOOKUP(C39,'01_丹方主表'!$B$5:$AF$19,13,FALSE)</x:f>
        <x:v>-1</x:v>
      </x:c>
      <x:c r="X39" s="29" t="n">
        <x:f>VLOOKUP(G39,'03_灵植表'!$B$5:$S$52,9,FALSE)+VLOOKUP(J39,'03_灵植表'!$B$5:$S$52,9,FALSE)+VLOOKUP(M39,'03_灵植表'!$B$5:$S$52,9,FALSE)+VLOOKUP(P39,'03_灵植表'!$B$5:$S$52,9,FALSE)</x:f>
        <x:v>-1</x:v>
      </x:c>
      <x:c r="Y39" s="29" t="str">
        <x:f>IF(W39=X39,"通过","失败")</x:f>
        <x:v>通过</x:v>
      </x:c>
      <x:c r="Z39" s="29" t="n">
        <x:f>VLOOKUP(G39,'03_灵植表'!$B$5:$S$52,10,FALSE)*VLOOKUP(H39,'04_参数字典'!$A$5:$D$7,2,FALSE)*I39+VLOOKUP(J39,'03_灵植表'!$B$5:$S$52,10,FALSE)*VLOOKUP(K39,'04_参数字典'!$A$5:$D$7,2,FALSE)*L39+VLOOKUP(M39,'03_灵植表'!$B$5:$S$52,10,FALSE)*VLOOKUP(N39,'04_参数字典'!$A$5:$D$7,2,FALSE)*O39+VLOOKUP(P39,'03_灵植表'!$B$5:$S$52,10,FALSE)*VLOOKUP(Q39,'04_参数字典'!$A$5:$D$7,2,FALSE)*R39</x:f>
        <x:v>26.4</x:v>
      </x:c>
      <x:c r="AA39" s="29" t="n">
        <x:f>VLOOKUP(C39,'01_丹方主表'!$B$5:$AF$19,14,FALSE)</x:f>
        <x:v>24</x:v>
      </x:c>
      <x:c r="AB39" s="29" t="str">
        <x:f>IF(Z39&gt;=AA39,"通过","失败")</x:f>
        <x:v>通过</x:v>
      </x:c>
      <x:c r="AC39" s="29" t="n">
        <x:f>VLOOKUP(G39,'03_灵植表'!$B$5:$S$52,10,FALSE)*VLOOKUP(H39,'04_参数字典'!$A$5:$D$7,2,FALSE)*I39</x:f>
        <x:v>12</x:v>
      </x:c>
      <x:c r="AD39" s="29" t="n">
        <x:f>VLOOKUP(C39,'01_丹方主表'!$B$5:$AF$19,16,FALSE)</x:f>
        <x:v>8</x:v>
      </x:c>
      <x:c r="AE39" s="29" t="str">
        <x:f>IF(AC39&gt;=AD39,"通过","失败")</x:f>
        <x:v>通过</x:v>
      </x:c>
      <x:c r="AF39" s="29" t="n">
        <x:f>I39+L39+O39+R39</x:f>
        <x:v>7</x:v>
      </x:c>
      <x:c r="AG39" s="29" t="n">
        <x:f>VLOOKUP(C39,'01_丹方主表'!$B$5:$AF$19,17,FALSE)</x:f>
        <x:v>8</x:v>
      </x:c>
      <x:c r="AH39" s="29" t="str">
        <x:f>IF(AF39&lt;=AG39,"通过","失败")</x:f>
        <x:v>通过</x:v>
      </x:c>
      <x:c r="AI39" s="32" t="n">
        <x:f>VLOOKUP(G39,'03_灵植表'!$B$5:$S$52,12,FALSE)*VLOOKUP(H39,'04_参数字典'!$A$5:$D$7,3,FALSE)*I39+VLOOKUP(J39,'03_灵植表'!$B$5:$S$52,12,FALSE)*VLOOKUP(K39,'04_参数字典'!$A$5:$D$7,3,FALSE)*L39+VLOOKUP(M39,'03_灵植表'!$B$5:$S$52,12,FALSE)*VLOOKUP(N39,'04_参数字典'!$A$5:$D$7,3,FALSE)*O39+VLOOKUP(P39,'03_灵植表'!$B$5:$S$52,12,FALSE)*VLOOKUP(Q39,'04_参数字典'!$A$5:$D$7,3,FALSE)*R39</x:f>
        <x:v>175</x:v>
      </x:c>
      <x:c r="AJ39" s="32" t="n">
        <x:f>VLOOKUP(C39,'01_丹方主表'!$B$5:$AF$19,21,FALSE)*VLOOKUP(AL39,'04_参数字典'!$A$5:$D$7,4,FALSE)</x:f>
        <x:v>250</x:v>
      </x:c>
      <x:c r="AK39" s="32" t="n">
        <x:f>AJ39-AI39</x:f>
        <x:v>75</x:v>
      </x:c>
      <x:c r="AL39" s="29" t="str">
        <x:v>凡</x:v>
      </x:c>
      <x:c r="AM39" s="29" t="str">
        <x:f>VLOOKUP(C39,'01_丹方主表'!$B$5:$AF$19,23,FALSE)</x:f>
        <x:v>damage_reduction</x:v>
      </x:c>
      <x:c r="AN39" s="33" t="n">
        <x:f>VLOOKUP(C39,'01_丹方主表'!$B$5:$AF$19,24,FALSE)</x:f>
        <x:v>0.15</x:v>
      </x:c>
      <x:c r="AO39" s="33" t="str">
        <x:f>VLOOKUP(C39,'01_丹方主表'!$B$5:$AF$19,25,FALSE)</x:f>
      </x:c>
      <x:c r="AP39" s="33" t="n">
        <x:f>VLOOKUP(C39,'01_丹方主表'!$B$5:$AF$19,26,FALSE)</x:f>
        <x:v>0</x:v>
      </x:c>
      <x:c r="AQ39" s="29" t="n">
        <x:f>VLOOKUP(C39,'01_丹方主表'!$B$5:$AF$19,22,FALSE)</x:f>
        <x:v>5</x:v>
      </x:c>
      <x:c r="AR39" s="29" t="str">
        <x:f>C39&amp;"|"&amp;G39&amp;"|"&amp;J39&amp;"|"&amp;M39&amp;"|"&amp;P39</x:f>
        <x:v>F-ZJ-12|J-ZJ-12|M-ZJ-JIN-S|A-ZJ-T|E-ZJ-XIN-C</x:v>
      </x:c>
      <x:c r="AS39" s="29" t="str">
        <x:f>IF(AND(T39="通过",V39="通过",Y39="通过",AB39="通过",AE39="通过",AH39="通过",AK39&gt;=0),"通过","失败")</x:f>
        <x:v>通过</x:v>
      </x:c>
      <x:c r="AT39" s="16" t="str">
        <x:v>低成本方：辅材便宜但多占份数，适合卖药与资源紧张时。</x:v>
      </x:c>
    </x:row>
    <x:row r="40">
      <x:c r="A40" s="23" t="n">
        <x:v>36</x:v>
      </x:c>
      <x:c r="B40" s="23" t="str">
        <x:v>TS-F-ZJ-12-R</x:v>
      </x:c>
      <x:c r="C40" s="23" t="str">
        <x:v>F-ZJ-12</x:v>
      </x:c>
      <x:c r="D40" s="23" t="str">
        <x:f>VLOOKUP(C40,'01_丹方主表'!$B$5:$AF$19,2,FALSE)</x:f>
        <x:v>守脉丹</x:v>
      </x:c>
      <x:c r="E40" s="23" t="str">
        <x:v>精炼</x:v>
      </x:c>
      <x:c r="F40" s="23" t="str">
        <x:v>否</x:v>
      </x:c>
      <x:c r="G40" s="23" t="str">
        <x:v>J-ZJ-12</x:v>
      </x:c>
      <x:c r="H40" s="23" t="str">
        <x:v>玄</x:v>
      </x:c>
      <x:c r="I40" s="23" t="n">
        <x:v>2</x:v>
      </x:c>
      <x:c r="J40" s="23" t="str">
        <x:v>M-ZJ-JIN-P</x:v>
      </x:c>
      <x:c r="K40" s="23" t="str">
        <x:v>玄</x:v>
      </x:c>
      <x:c r="L40" s="23" t="n">
        <x:v>1</x:v>
      </x:c>
      <x:c r="M40" s="23" t="str">
        <x:v>A-ZJ-C</x:v>
      </x:c>
      <x:c r="N40" s="23" t="str">
        <x:v>玄</x:v>
      </x:c>
      <x:c r="O40" s="23" t="n">
        <x:v>1</x:v>
      </x:c>
      <x:c r="P40" s="23" t="str">
        <x:v>E-ZJ-XIN-S</x:v>
      </x:c>
      <x:c r="Q40" s="23" t="str">
        <x:v>玄</x:v>
      </x:c>
      <x:c r="R40" s="23" t="n">
        <x:v>1</x:v>
      </x:c>
      <x:c r="S40" s="29" t="str">
        <x:f>VLOOKUP(J40,'03_灵植表'!$B$5:$S$52,6,FALSE)</x:f>
        <x:v>金</x:v>
      </x:c>
      <x:c r="T40" s="29" t="str">
        <x:f>IF(S40=VLOOKUP(C40,'01_丹方主表'!$B$5:$AF$19,10,FALSE),"通过","失败")</x:f>
        <x:v>通过</x:v>
      </x:c>
      <x:c r="U40" s="29" t="str">
        <x:f>VLOOKUP(P40,'03_灵植表'!$B$5:$S$52,7,FALSE)</x:f>
        <x:v>辛</x:v>
      </x:c>
      <x:c r="V40" s="29" t="str">
        <x:f>IF(U40=VLOOKUP(C40,'01_丹方主表'!$B$5:$AF$19,11,FALSE),"通过","失败")</x:f>
        <x:v>通过</x:v>
      </x:c>
      <x:c r="W40" s="29" t="n">
        <x:f>VLOOKUP(C40,'01_丹方主表'!$B$5:$AF$19,13,FALSE)</x:f>
        <x:v>-1</x:v>
      </x:c>
      <x:c r="X40" s="29" t="n">
        <x:f>VLOOKUP(G40,'03_灵植表'!$B$5:$S$52,9,FALSE)+VLOOKUP(J40,'03_灵植表'!$B$5:$S$52,9,FALSE)+VLOOKUP(M40,'03_灵植表'!$B$5:$S$52,9,FALSE)+VLOOKUP(P40,'03_灵植表'!$B$5:$S$52,9,FALSE)</x:f>
        <x:v>-1</x:v>
      </x:c>
      <x:c r="Y40" s="29" t="str">
        <x:f>IF(W40=X40,"通过","失败")</x:f>
        <x:v>通过</x:v>
      </x:c>
      <x:c r="Z40" s="29" t="n">
        <x:f>VLOOKUP(G40,'03_灵植表'!$B$5:$S$52,10,FALSE)*VLOOKUP(H40,'04_参数字典'!$A$5:$D$7,2,FALSE)*I40+VLOOKUP(J40,'03_灵植表'!$B$5:$S$52,10,FALSE)*VLOOKUP(K40,'04_参数字典'!$A$5:$D$7,2,FALSE)*L40+VLOOKUP(M40,'03_灵植表'!$B$5:$S$52,10,FALSE)*VLOOKUP(N40,'04_参数字典'!$A$5:$D$7,2,FALSE)*O40+VLOOKUP(P40,'03_灵植表'!$B$5:$S$52,10,FALSE)*VLOOKUP(Q40,'04_参数字典'!$A$5:$D$7,2,FALSE)*R40</x:f>
        <x:v>46.8</x:v>
      </x:c>
      <x:c r="AA40" s="29" t="n">
        <x:f>VLOOKUP(C40,'01_丹方主表'!$B$5:$AF$19,14,FALSE)</x:f>
        <x:v>24</x:v>
      </x:c>
      <x:c r="AB40" s="29" t="str">
        <x:f>IF(Z40&gt;=AA40,"通过","失败")</x:f>
        <x:v>通过</x:v>
      </x:c>
      <x:c r="AC40" s="29" t="n">
        <x:f>VLOOKUP(G40,'03_灵植表'!$B$5:$S$52,10,FALSE)*VLOOKUP(H40,'04_参数字典'!$A$5:$D$7,2,FALSE)*I40</x:f>
        <x:v>18</x:v>
      </x:c>
      <x:c r="AD40" s="29" t="n">
        <x:f>VLOOKUP(C40,'01_丹方主表'!$B$5:$AF$19,16,FALSE)</x:f>
        <x:v>8</x:v>
      </x:c>
      <x:c r="AE40" s="29" t="str">
        <x:f>IF(AC40&gt;=AD40,"通过","失败")</x:f>
        <x:v>通过</x:v>
      </x:c>
      <x:c r="AF40" s="29" t="n">
        <x:f>I40+L40+O40+R40</x:f>
        <x:v>5</x:v>
      </x:c>
      <x:c r="AG40" s="29" t="n">
        <x:f>VLOOKUP(C40,'01_丹方主表'!$B$5:$AF$19,17,FALSE)</x:f>
        <x:v>8</x:v>
      </x:c>
      <x:c r="AH40" s="29" t="str">
        <x:f>IF(AF40&lt;=AG40,"通过","失败")</x:f>
        <x:v>通过</x:v>
      </x:c>
      <x:c r="AI40" s="32" t="n">
        <x:f>VLOOKUP(G40,'03_灵植表'!$B$5:$S$52,12,FALSE)*VLOOKUP(H40,'04_参数字典'!$A$5:$D$7,3,FALSE)*I40+VLOOKUP(J40,'03_灵植表'!$B$5:$S$52,12,FALSE)*VLOOKUP(K40,'04_参数字典'!$A$5:$D$7,3,FALSE)*L40+VLOOKUP(M40,'03_灵植表'!$B$5:$S$52,12,FALSE)*VLOOKUP(N40,'04_参数字典'!$A$5:$D$7,3,FALSE)*O40+VLOOKUP(P40,'03_灵植表'!$B$5:$S$52,12,FALSE)*VLOOKUP(Q40,'04_参数字典'!$A$5:$D$7,3,FALSE)*R40</x:f>
        <x:v>475</x:v>
      </x:c>
      <x:c r="AJ40" s="32" t="n">
        <x:f>VLOOKUP(C40,'01_丹方主表'!$B$5:$AF$19,21,FALSE)*VLOOKUP(AL40,'04_参数字典'!$A$5:$D$7,4,FALSE)</x:f>
        <x:v>1000</x:v>
      </x:c>
      <x:c r="AK40" s="32" t="n">
        <x:f>AJ40-AI40</x:f>
        <x:v>525</x:v>
      </x:c>
      <x:c r="AL40" s="29" t="str">
        <x:v>玄</x:v>
      </x:c>
      <x:c r="AM40" s="29" t="str">
        <x:f>VLOOKUP(C40,'01_丹方主表'!$B$5:$AF$19,23,FALSE)</x:f>
        <x:v>damage_reduction</x:v>
      </x:c>
      <x:c r="AN40" s="33" t="n">
        <x:f>VLOOKUP(C40,'01_丹方主表'!$B$5:$AF$19,24,FALSE)</x:f>
        <x:v>0.15</x:v>
      </x:c>
      <x:c r="AO40" s="33" t="str">
        <x:f>VLOOKUP(C40,'01_丹方主表'!$B$5:$AF$19,25,FALSE)</x:f>
      </x:c>
      <x:c r="AP40" s="33" t="n">
        <x:f>VLOOKUP(C40,'01_丹方主表'!$B$5:$AF$19,26,FALSE)</x:f>
        <x:v>0</x:v>
      </x:c>
      <x:c r="AQ40" s="29" t="n">
        <x:f>VLOOKUP(C40,'01_丹方主表'!$B$5:$AF$19,22,FALSE)</x:f>
        <x:v>5</x:v>
      </x:c>
      <x:c r="AR40" s="29" t="str">
        <x:f>C40&amp;"|"&amp;G40&amp;"|"&amp;J40&amp;"|"&amp;M40&amp;"|"&amp;P40</x:f>
        <x:v>F-ZJ-12|J-ZJ-12|M-ZJ-JIN-P|A-ZJ-C|E-ZJ-XIN-S</x:v>
      </x:c>
      <x:c r="AS40" s="29" t="str">
        <x:f>IF(AND(T40="通过",V40="通过",Y40="通过",AB40="通过",AE40="通过",AH40="通过",AK40&gt;=0),"通过","失败")</x:f>
        <x:v>通过</x:v>
      </x:c>
      <x:c r="AT40" s="16" t="str">
        <x:v>精炼方：高品质材料与药力余量，适合冲击高品丹。</x:v>
      </x:c>
    </x:row>
    <x:row r="41">
      <x:c r="A41" s="23" t="n">
        <x:v>37</x:v>
      </x:c>
      <x:c r="B41" s="23" t="str">
        <x:v>TS-F-ZJ-13-D</x:v>
      </x:c>
      <x:c r="C41" s="23" t="str">
        <x:v>F-ZJ-13</x:v>
      </x:c>
      <x:c r="D41" s="23" t="str">
        <x:f>VLOOKUP(C41,'01_丹方主表'!$B$5:$AF$19,2,FALSE)</x:f>
        <x:v>展脉丹</x:v>
      </x:c>
      <x:c r="E41" s="23" t="str">
        <x:v>默认</x:v>
      </x:c>
      <x:c r="F41" s="23" t="str">
        <x:v>是</x:v>
      </x:c>
      <x:c r="G41" s="23" t="str">
        <x:v>J-ZJ-13</x:v>
      </x:c>
      <x:c r="H41" s="23" t="str">
        <x:v>灵</x:v>
      </x:c>
      <x:c r="I41" s="23" t="n">
        <x:v>2</x:v>
      </x:c>
      <x:c r="J41" s="23" t="str">
        <x:v>M-ZJ-MU-P</x:v>
      </x:c>
      <x:c r="K41" s="23" t="str">
        <x:v>灵</x:v>
      </x:c>
      <x:c r="L41" s="23" t="n">
        <x:v>1</x:v>
      </x:c>
      <x:c r="M41" s="23" t="str">
        <x:v>A-ZJ-P</x:v>
      </x:c>
      <x:c r="N41" s="23" t="str">
        <x:v>灵</x:v>
      </x:c>
      <x:c r="O41" s="23" t="n">
        <x:v>1</x:v>
      </x:c>
      <x:c r="P41" s="23" t="str">
        <x:v>E-ZJ-XIN-P</x:v>
      </x:c>
      <x:c r="Q41" s="23" t="str">
        <x:v>灵</x:v>
      </x:c>
      <x:c r="R41" s="23" t="n">
        <x:v>1</x:v>
      </x:c>
      <x:c r="S41" s="29" t="str">
        <x:f>VLOOKUP(J41,'03_灵植表'!$B$5:$S$52,6,FALSE)</x:f>
        <x:v>木</x:v>
      </x:c>
      <x:c r="T41" s="29" t="str">
        <x:f>IF(S41=VLOOKUP(C41,'01_丹方主表'!$B$5:$AF$19,10,FALSE),"通过","失败")</x:f>
        <x:v>通过</x:v>
      </x:c>
      <x:c r="U41" s="29" t="str">
        <x:f>VLOOKUP(P41,'03_灵植表'!$B$5:$S$52,7,FALSE)</x:f>
        <x:v>辛</x:v>
      </x:c>
      <x:c r="V41" s="29" t="str">
        <x:f>IF(U41=VLOOKUP(C41,'01_丹方主表'!$B$5:$AF$19,11,FALSE),"通过","失败")</x:f>
        <x:v>通过</x:v>
      </x:c>
      <x:c r="W41" s="29" t="n">
        <x:f>VLOOKUP(C41,'01_丹方主表'!$B$5:$AF$19,13,FALSE)</x:f>
        <x:v>1</x:v>
      </x:c>
      <x:c r="X41" s="29" t="n">
        <x:f>VLOOKUP(G41,'03_灵植表'!$B$5:$S$52,9,FALSE)+VLOOKUP(J41,'03_灵植表'!$B$5:$S$52,9,FALSE)+VLOOKUP(M41,'03_灵植表'!$B$5:$S$52,9,FALSE)+VLOOKUP(P41,'03_灵植表'!$B$5:$S$52,9,FALSE)</x:f>
        <x:v>1</x:v>
      </x:c>
      <x:c r="Y41" s="29" t="str">
        <x:f>IF(W41=X41,"通过","失败")</x:f>
        <x:v>通过</x:v>
      </x:c>
      <x:c r="Z41" s="29" t="n">
        <x:f>VLOOKUP(G41,'03_灵植表'!$B$5:$S$52,10,FALSE)*VLOOKUP(H41,'04_参数字典'!$A$5:$D$7,2,FALSE)*I41+VLOOKUP(J41,'03_灵植表'!$B$5:$S$52,10,FALSE)*VLOOKUP(K41,'04_参数字典'!$A$5:$D$7,2,FALSE)*L41+VLOOKUP(M41,'03_灵植表'!$B$5:$S$52,10,FALSE)*VLOOKUP(N41,'04_参数字典'!$A$5:$D$7,2,FALSE)*O41+VLOOKUP(P41,'03_灵植表'!$B$5:$S$52,10,FALSE)*VLOOKUP(Q41,'04_参数字典'!$A$5:$D$7,2,FALSE)*R41</x:f>
        <x:v>33.6</x:v>
      </x:c>
      <x:c r="AA41" s="29" t="n">
        <x:f>VLOOKUP(C41,'01_丹方主表'!$B$5:$AF$19,14,FALSE)</x:f>
        <x:v>24</x:v>
      </x:c>
      <x:c r="AB41" s="29" t="str">
        <x:f>IF(Z41&gt;=AA41,"通过","失败")</x:f>
        <x:v>通过</x:v>
      </x:c>
      <x:c r="AC41" s="29" t="n">
        <x:f>VLOOKUP(G41,'03_灵植表'!$B$5:$S$52,10,FALSE)*VLOOKUP(H41,'04_参数字典'!$A$5:$D$7,2,FALSE)*I41</x:f>
        <x:v>12</x:v>
      </x:c>
      <x:c r="AD41" s="29" t="n">
        <x:f>VLOOKUP(C41,'01_丹方主表'!$B$5:$AF$19,16,FALSE)</x:f>
        <x:v>8</x:v>
      </x:c>
      <x:c r="AE41" s="29" t="str">
        <x:f>IF(AC41&gt;=AD41,"通过","失败")</x:f>
        <x:v>通过</x:v>
      </x:c>
      <x:c r="AF41" s="29" t="n">
        <x:f>I41+L41+O41+R41</x:f>
        <x:v>5</x:v>
      </x:c>
      <x:c r="AG41" s="29" t="n">
        <x:f>VLOOKUP(C41,'01_丹方主表'!$B$5:$AF$19,17,FALSE)</x:f>
        <x:v>8</x:v>
      </x:c>
      <x:c r="AH41" s="29" t="str">
        <x:f>IF(AF41&lt;=AG41,"通过","失败")</x:f>
        <x:v>通过</x:v>
      </x:c>
      <x:c r="AI41" s="32" t="n">
        <x:f>VLOOKUP(G41,'03_灵植表'!$B$5:$S$52,12,FALSE)*VLOOKUP(H41,'04_参数字典'!$A$5:$D$7,3,FALSE)*I41+VLOOKUP(J41,'03_灵植表'!$B$5:$S$52,12,FALSE)*VLOOKUP(K41,'04_参数字典'!$A$5:$D$7,3,FALSE)*L41+VLOOKUP(M41,'03_灵植表'!$B$5:$S$52,12,FALSE)*VLOOKUP(N41,'04_参数字典'!$A$5:$D$7,3,FALSE)*O41+VLOOKUP(P41,'03_灵植表'!$B$5:$S$52,12,FALSE)*VLOOKUP(Q41,'04_参数字典'!$A$5:$D$7,3,FALSE)*R41</x:f>
        <x:v>209</x:v>
      </x:c>
      <x:c r="AJ41" s="32" t="n">
        <x:f>VLOOKUP(C41,'01_丹方主表'!$B$5:$AF$19,21,FALSE)*VLOOKUP(AL41,'04_参数字典'!$A$5:$D$7,4,FALSE)</x:f>
        <x:v>500</x:v>
      </x:c>
      <x:c r="AK41" s="32" t="n">
        <x:f>AJ41-AI41</x:f>
        <x:v>291</x:v>
      </x:c>
      <x:c r="AL41" s="29" t="str">
        <x:v>灵</x:v>
      </x:c>
      <x:c r="AM41" s="29" t="str">
        <x:f>VLOOKUP(C41,'01_丹方主表'!$B$5:$AF$19,23,FALSE)</x:f>
        <x:v>move_speed</x:v>
      </x:c>
      <x:c r="AN41" s="33" t="n">
        <x:f>VLOOKUP(C41,'01_丹方主表'!$B$5:$AF$19,24,FALSE)</x:f>
        <x:v>0.2</x:v>
      </x:c>
      <x:c r="AO41" s="33" t="str">
        <x:f>VLOOKUP(C41,'01_丹方主表'!$B$5:$AF$19,25,FALSE)</x:f>
      </x:c>
      <x:c r="AP41" s="33" t="n">
        <x:f>VLOOKUP(C41,'01_丹方主表'!$B$5:$AF$19,26,FALSE)</x:f>
        <x:v>0</x:v>
      </x:c>
      <x:c r="AQ41" s="29" t="n">
        <x:f>VLOOKUP(C41,'01_丹方主表'!$B$5:$AF$19,22,FALSE)</x:f>
        <x:v>5</x:v>
      </x:c>
      <x:c r="AR41" s="29" t="str">
        <x:f>C41&amp;"|"&amp;G41&amp;"|"&amp;J41&amp;"|"&amp;M41&amp;"|"&amp;P41</x:f>
        <x:v>F-ZJ-13|J-ZJ-13|M-ZJ-MU-P|A-ZJ-P|E-ZJ-XIN-P</x:v>
      </x:c>
      <x:c r="AS41" s="29" t="str">
        <x:f>IF(AND(T41="通过",V41="通过",Y41="通过",AB41="通过",AE41="通过",AH41="通过",AK41&gt;=0),"通过","失败")</x:f>
        <x:v>通过</x:v>
      </x:c>
      <x:c r="AT41" s="16" t="str">
        <x:v>师承标准方：材料常见、方性直观，获得丹方即自动填入。</x:v>
      </x:c>
    </x:row>
    <x:row r="42">
      <x:c r="A42" s="23" t="n">
        <x:v>38</x:v>
      </x:c>
      <x:c r="B42" s="23" t="str">
        <x:v>TS-F-ZJ-13-C</x:v>
      </x:c>
      <x:c r="C42" s="23" t="str">
        <x:v>F-ZJ-13</x:v>
      </x:c>
      <x:c r="D42" s="23" t="str">
        <x:f>VLOOKUP(C42,'01_丹方主表'!$B$5:$AF$19,2,FALSE)</x:f>
        <x:v>展脉丹</x:v>
      </x:c>
      <x:c r="E42" s="23" t="str">
        <x:v>廉价</x:v>
      </x:c>
      <x:c r="F42" s="23" t="str">
        <x:v>否</x:v>
      </x:c>
      <x:c r="G42" s="23" t="str">
        <x:v>J-ZJ-13</x:v>
      </x:c>
      <x:c r="H42" s="23" t="str">
        <x:v>灵</x:v>
      </x:c>
      <x:c r="I42" s="23" t="n">
        <x:v>2</x:v>
      </x:c>
      <x:c r="J42" s="23" t="str">
        <x:v>M-ZJ-MU-C</x:v>
      </x:c>
      <x:c r="K42" s="23" t="str">
        <x:v>凡</x:v>
      </x:c>
      <x:c r="L42" s="23" t="n">
        <x:v>2</x:v>
      </x:c>
      <x:c r="M42" s="23" t="str">
        <x:v>A-ZJ-C</x:v>
      </x:c>
      <x:c r="N42" s="23" t="str">
        <x:v>凡</x:v>
      </x:c>
      <x:c r="O42" s="23" t="n">
        <x:v>2</x:v>
      </x:c>
      <x:c r="P42" s="23" t="str">
        <x:v>E-ZJ-XIN-C</x:v>
      </x:c>
      <x:c r="Q42" s="23" t="str">
        <x:v>凡</x:v>
      </x:c>
      <x:c r="R42" s="23" t="n">
        <x:v>1</x:v>
      </x:c>
      <x:c r="S42" s="29" t="str">
        <x:f>VLOOKUP(J42,'03_灵植表'!$B$5:$S$52,6,FALSE)</x:f>
        <x:v>木</x:v>
      </x:c>
      <x:c r="T42" s="29" t="str">
        <x:f>IF(S42=VLOOKUP(C42,'01_丹方主表'!$B$5:$AF$19,10,FALSE),"通过","失败")</x:f>
        <x:v>通过</x:v>
      </x:c>
      <x:c r="U42" s="29" t="str">
        <x:f>VLOOKUP(P42,'03_灵植表'!$B$5:$S$52,7,FALSE)</x:f>
        <x:v>辛</x:v>
      </x:c>
      <x:c r="V42" s="29" t="str">
        <x:f>IF(U42=VLOOKUP(C42,'01_丹方主表'!$B$5:$AF$19,11,FALSE),"通过","失败")</x:f>
        <x:v>通过</x:v>
      </x:c>
      <x:c r="W42" s="29" t="n">
        <x:f>VLOOKUP(C42,'01_丹方主表'!$B$5:$AF$19,13,FALSE)</x:f>
        <x:v>1</x:v>
      </x:c>
      <x:c r="X42" s="29" t="n">
        <x:f>VLOOKUP(G42,'03_灵植表'!$B$5:$S$52,9,FALSE)+VLOOKUP(J42,'03_灵植表'!$B$5:$S$52,9,FALSE)+VLOOKUP(M42,'03_灵植表'!$B$5:$S$52,9,FALSE)+VLOOKUP(P42,'03_灵植表'!$B$5:$S$52,9,FALSE)</x:f>
        <x:v>1</x:v>
      </x:c>
      <x:c r="Y42" s="29" t="str">
        <x:f>IF(W42=X42,"通过","失败")</x:f>
        <x:v>通过</x:v>
      </x:c>
      <x:c r="Z42" s="29" t="n">
        <x:f>VLOOKUP(G42,'03_灵植表'!$B$5:$S$52,10,FALSE)*VLOOKUP(H42,'04_参数字典'!$A$5:$D$7,2,FALSE)*I42+VLOOKUP(J42,'03_灵植表'!$B$5:$S$52,10,FALSE)*VLOOKUP(K42,'04_参数字典'!$A$5:$D$7,2,FALSE)*L42+VLOOKUP(M42,'03_灵植表'!$B$5:$S$52,10,FALSE)*VLOOKUP(N42,'04_参数字典'!$A$5:$D$7,2,FALSE)*O42+VLOOKUP(P42,'03_灵植表'!$B$5:$S$52,10,FALSE)*VLOOKUP(Q42,'04_参数字典'!$A$5:$D$7,2,FALSE)*R42</x:f>
        <x:v>25.2</x:v>
      </x:c>
      <x:c r="AA42" s="29" t="n">
        <x:f>VLOOKUP(C42,'01_丹方主表'!$B$5:$AF$19,14,FALSE)</x:f>
        <x:v>24</x:v>
      </x:c>
      <x:c r="AB42" s="29" t="str">
        <x:f>IF(Z42&gt;=AA42,"通过","失败")</x:f>
        <x:v>通过</x:v>
      </x:c>
      <x:c r="AC42" s="29" t="n">
        <x:f>VLOOKUP(G42,'03_灵植表'!$B$5:$S$52,10,FALSE)*VLOOKUP(H42,'04_参数字典'!$A$5:$D$7,2,FALSE)*I42</x:f>
        <x:v>12</x:v>
      </x:c>
      <x:c r="AD42" s="29" t="n">
        <x:f>VLOOKUP(C42,'01_丹方主表'!$B$5:$AF$19,16,FALSE)</x:f>
        <x:v>8</x:v>
      </x:c>
      <x:c r="AE42" s="29" t="str">
        <x:f>IF(AC42&gt;=AD42,"通过","失败")</x:f>
        <x:v>通过</x:v>
      </x:c>
      <x:c r="AF42" s="29" t="n">
        <x:f>I42+L42+O42+R42</x:f>
        <x:v>7</x:v>
      </x:c>
      <x:c r="AG42" s="29" t="n">
        <x:f>VLOOKUP(C42,'01_丹方主表'!$B$5:$AF$19,17,FALSE)</x:f>
        <x:v>8</x:v>
      </x:c>
      <x:c r="AH42" s="29" t="str">
        <x:f>IF(AF42&lt;=AG42,"通过","失败")</x:f>
        <x:v>通过</x:v>
      </x:c>
      <x:c r="AI42" s="32" t="n">
        <x:f>VLOOKUP(G42,'03_灵植表'!$B$5:$S$52,12,FALSE)*VLOOKUP(H42,'04_参数字典'!$A$5:$D$7,3,FALSE)*I42+VLOOKUP(J42,'03_灵植表'!$B$5:$S$52,12,FALSE)*VLOOKUP(K42,'04_参数字典'!$A$5:$D$7,3,FALSE)*L42+VLOOKUP(M42,'03_灵植表'!$B$5:$S$52,12,FALSE)*VLOOKUP(N42,'04_参数字典'!$A$5:$D$7,3,FALSE)*O42+VLOOKUP(P42,'03_灵植表'!$B$5:$S$52,12,FALSE)*VLOOKUP(Q42,'04_参数字典'!$A$5:$D$7,3,FALSE)*R42</x:f>
        <x:v>151</x:v>
      </x:c>
      <x:c r="AJ42" s="32" t="n">
        <x:f>VLOOKUP(C42,'01_丹方主表'!$B$5:$AF$19,21,FALSE)*VLOOKUP(AL42,'04_参数字典'!$A$5:$D$7,4,FALSE)</x:f>
        <x:v>250</x:v>
      </x:c>
      <x:c r="AK42" s="32" t="n">
        <x:f>AJ42-AI42</x:f>
        <x:v>99</x:v>
      </x:c>
      <x:c r="AL42" s="29" t="str">
        <x:v>凡</x:v>
      </x:c>
      <x:c r="AM42" s="29" t="str">
        <x:f>VLOOKUP(C42,'01_丹方主表'!$B$5:$AF$19,23,FALSE)</x:f>
        <x:v>move_speed</x:v>
      </x:c>
      <x:c r="AN42" s="33" t="n">
        <x:f>VLOOKUP(C42,'01_丹方主表'!$B$5:$AF$19,24,FALSE)</x:f>
        <x:v>0.2</x:v>
      </x:c>
      <x:c r="AO42" s="33" t="str">
        <x:f>VLOOKUP(C42,'01_丹方主表'!$B$5:$AF$19,25,FALSE)</x:f>
      </x:c>
      <x:c r="AP42" s="33" t="n">
        <x:f>VLOOKUP(C42,'01_丹方主表'!$B$5:$AF$19,26,FALSE)</x:f>
        <x:v>0</x:v>
      </x:c>
      <x:c r="AQ42" s="29" t="n">
        <x:f>VLOOKUP(C42,'01_丹方主表'!$B$5:$AF$19,22,FALSE)</x:f>
        <x:v>5</x:v>
      </x:c>
      <x:c r="AR42" s="29" t="str">
        <x:f>C42&amp;"|"&amp;G42&amp;"|"&amp;J42&amp;"|"&amp;M42&amp;"|"&amp;P42</x:f>
        <x:v>F-ZJ-13|J-ZJ-13|M-ZJ-MU-C|A-ZJ-C|E-ZJ-XIN-C</x:v>
      </x:c>
      <x:c r="AS42" s="29" t="str">
        <x:f>IF(AND(T42="通过",V42="通过",Y42="通过",AB42="通过",AE42="通过",AH42="通过",AK42&gt;=0),"通过","失败")</x:f>
        <x:v>通过</x:v>
      </x:c>
      <x:c r="AT42" s="16" t="str">
        <x:v>低成本方：辅材便宜但多占份数，适合卖药与资源紧张时。</x:v>
      </x:c>
    </x:row>
    <x:row r="43">
      <x:c r="A43" s="23" t="n">
        <x:v>39</x:v>
      </x:c>
      <x:c r="B43" s="23" t="str">
        <x:v>TS-F-ZJ-13-R</x:v>
      </x:c>
      <x:c r="C43" s="23" t="str">
        <x:v>F-ZJ-13</x:v>
      </x:c>
      <x:c r="D43" s="23" t="str">
        <x:f>VLOOKUP(C43,'01_丹方主表'!$B$5:$AF$19,2,FALSE)</x:f>
        <x:v>展脉丹</x:v>
      </x:c>
      <x:c r="E43" s="23" t="str">
        <x:v>精炼</x:v>
      </x:c>
      <x:c r="F43" s="23" t="str">
        <x:v>否</x:v>
      </x:c>
      <x:c r="G43" s="23" t="str">
        <x:v>J-ZJ-13</x:v>
      </x:c>
      <x:c r="H43" s="23" t="str">
        <x:v>玄</x:v>
      </x:c>
      <x:c r="I43" s="23" t="n">
        <x:v>2</x:v>
      </x:c>
      <x:c r="J43" s="23" t="str">
        <x:v>M-ZJ-MU-P</x:v>
      </x:c>
      <x:c r="K43" s="23" t="str">
        <x:v>玄</x:v>
      </x:c>
      <x:c r="L43" s="23" t="n">
        <x:v>1</x:v>
      </x:c>
      <x:c r="M43" s="23" t="str">
        <x:v>A-ZJ-C</x:v>
      </x:c>
      <x:c r="N43" s="23" t="str">
        <x:v>玄</x:v>
      </x:c>
      <x:c r="O43" s="23" t="n">
        <x:v>1</x:v>
      </x:c>
      <x:c r="P43" s="23" t="str">
        <x:v>E-ZJ-XIN-S</x:v>
      </x:c>
      <x:c r="Q43" s="23" t="str">
        <x:v>玄</x:v>
      </x:c>
      <x:c r="R43" s="23" t="n">
        <x:v>1</x:v>
      </x:c>
      <x:c r="S43" s="29" t="str">
        <x:f>VLOOKUP(J43,'03_灵植表'!$B$5:$S$52,6,FALSE)</x:f>
        <x:v>木</x:v>
      </x:c>
      <x:c r="T43" s="29" t="str">
        <x:f>IF(S43=VLOOKUP(C43,'01_丹方主表'!$B$5:$AF$19,10,FALSE),"通过","失败")</x:f>
        <x:v>通过</x:v>
      </x:c>
      <x:c r="U43" s="29" t="str">
        <x:f>VLOOKUP(P43,'03_灵植表'!$B$5:$S$52,7,FALSE)</x:f>
        <x:v>辛</x:v>
      </x:c>
      <x:c r="V43" s="29" t="str">
        <x:f>IF(U43=VLOOKUP(C43,'01_丹方主表'!$B$5:$AF$19,11,FALSE),"通过","失败")</x:f>
        <x:v>通过</x:v>
      </x:c>
      <x:c r="W43" s="29" t="n">
        <x:f>VLOOKUP(C43,'01_丹方主表'!$B$5:$AF$19,13,FALSE)</x:f>
        <x:v>1</x:v>
      </x:c>
      <x:c r="X43" s="29" t="n">
        <x:f>VLOOKUP(G43,'03_灵植表'!$B$5:$S$52,9,FALSE)+VLOOKUP(J43,'03_灵植表'!$B$5:$S$52,9,FALSE)+VLOOKUP(M43,'03_灵植表'!$B$5:$S$52,9,FALSE)+VLOOKUP(P43,'03_灵植表'!$B$5:$S$52,9,FALSE)</x:f>
        <x:v>1</x:v>
      </x:c>
      <x:c r="Y43" s="29" t="str">
        <x:f>IF(W43=X43,"通过","失败")</x:f>
        <x:v>通过</x:v>
      </x:c>
      <x:c r="Z43" s="29" t="n">
        <x:f>VLOOKUP(G43,'03_灵植表'!$B$5:$S$52,10,FALSE)*VLOOKUP(H43,'04_参数字典'!$A$5:$D$7,2,FALSE)*I43+VLOOKUP(J43,'03_灵植表'!$B$5:$S$52,10,FALSE)*VLOOKUP(K43,'04_参数字典'!$A$5:$D$7,2,FALSE)*L43+VLOOKUP(M43,'03_灵植表'!$B$5:$S$52,10,FALSE)*VLOOKUP(N43,'04_参数字典'!$A$5:$D$7,2,FALSE)*O43+VLOOKUP(P43,'03_灵植表'!$B$5:$S$52,10,FALSE)*VLOOKUP(Q43,'04_参数字典'!$A$5:$D$7,2,FALSE)*R43</x:f>
        <x:v>46.8</x:v>
      </x:c>
      <x:c r="AA43" s="29" t="n">
        <x:f>VLOOKUP(C43,'01_丹方主表'!$B$5:$AF$19,14,FALSE)</x:f>
        <x:v>24</x:v>
      </x:c>
      <x:c r="AB43" s="29" t="str">
        <x:f>IF(Z43&gt;=AA43,"通过","失败")</x:f>
        <x:v>通过</x:v>
      </x:c>
      <x:c r="AC43" s="29" t="n">
        <x:f>VLOOKUP(G43,'03_灵植表'!$B$5:$S$52,10,FALSE)*VLOOKUP(H43,'04_参数字典'!$A$5:$D$7,2,FALSE)*I43</x:f>
        <x:v>18</x:v>
      </x:c>
      <x:c r="AD43" s="29" t="n">
        <x:f>VLOOKUP(C43,'01_丹方主表'!$B$5:$AF$19,16,FALSE)</x:f>
        <x:v>8</x:v>
      </x:c>
      <x:c r="AE43" s="29" t="str">
        <x:f>IF(AC43&gt;=AD43,"通过","失败")</x:f>
        <x:v>通过</x:v>
      </x:c>
      <x:c r="AF43" s="29" t="n">
        <x:f>I43+L43+O43+R43</x:f>
        <x:v>5</x:v>
      </x:c>
      <x:c r="AG43" s="29" t="n">
        <x:f>VLOOKUP(C43,'01_丹方主表'!$B$5:$AF$19,17,FALSE)</x:f>
        <x:v>8</x:v>
      </x:c>
      <x:c r="AH43" s="29" t="str">
        <x:f>IF(AF43&lt;=AG43,"通过","失败")</x:f>
        <x:v>通过</x:v>
      </x:c>
      <x:c r="AI43" s="32" t="n">
        <x:f>VLOOKUP(G43,'03_灵植表'!$B$5:$S$52,12,FALSE)*VLOOKUP(H43,'04_参数字典'!$A$5:$D$7,3,FALSE)*I43+VLOOKUP(J43,'03_灵植表'!$B$5:$S$52,12,FALSE)*VLOOKUP(K43,'04_参数字典'!$A$5:$D$7,3,FALSE)*L43+VLOOKUP(M43,'03_灵植表'!$B$5:$S$52,12,FALSE)*VLOOKUP(N43,'04_参数字典'!$A$5:$D$7,3,FALSE)*O43+VLOOKUP(P43,'03_灵植表'!$B$5:$S$52,12,FALSE)*VLOOKUP(Q43,'04_参数字典'!$A$5:$D$7,3,FALSE)*R43</x:f>
        <x:v>425</x:v>
      </x:c>
      <x:c r="AJ43" s="32" t="n">
        <x:f>VLOOKUP(C43,'01_丹方主表'!$B$5:$AF$19,21,FALSE)*VLOOKUP(AL43,'04_参数字典'!$A$5:$D$7,4,FALSE)</x:f>
        <x:v>1000</x:v>
      </x:c>
      <x:c r="AK43" s="32" t="n">
        <x:f>AJ43-AI43</x:f>
        <x:v>575</x:v>
      </x:c>
      <x:c r="AL43" s="29" t="str">
        <x:v>玄</x:v>
      </x:c>
      <x:c r="AM43" s="29" t="str">
        <x:f>VLOOKUP(C43,'01_丹方主表'!$B$5:$AF$19,23,FALSE)</x:f>
        <x:v>move_speed</x:v>
      </x:c>
      <x:c r="AN43" s="33" t="n">
        <x:f>VLOOKUP(C43,'01_丹方主表'!$B$5:$AF$19,24,FALSE)</x:f>
        <x:v>0.2</x:v>
      </x:c>
      <x:c r="AO43" s="33" t="str">
        <x:f>VLOOKUP(C43,'01_丹方主表'!$B$5:$AF$19,25,FALSE)</x:f>
      </x:c>
      <x:c r="AP43" s="33" t="n">
        <x:f>VLOOKUP(C43,'01_丹方主表'!$B$5:$AF$19,26,FALSE)</x:f>
        <x:v>0</x:v>
      </x:c>
      <x:c r="AQ43" s="29" t="n">
        <x:f>VLOOKUP(C43,'01_丹方主表'!$B$5:$AF$19,22,FALSE)</x:f>
        <x:v>5</x:v>
      </x:c>
      <x:c r="AR43" s="29" t="str">
        <x:f>C43&amp;"|"&amp;G43&amp;"|"&amp;J43&amp;"|"&amp;M43&amp;"|"&amp;P43</x:f>
        <x:v>F-ZJ-13|J-ZJ-13|M-ZJ-MU-P|A-ZJ-C|E-ZJ-XIN-S</x:v>
      </x:c>
      <x:c r="AS43" s="29" t="str">
        <x:f>IF(AND(T43="通过",V43="通过",Y43="通过",AB43="通过",AE43="通过",AH43="通过",AK43&gt;=0),"通过","失败")</x:f>
        <x:v>通过</x:v>
      </x:c>
      <x:c r="AT43" s="16" t="str">
        <x:v>精炼方：高品质材料与药力余量，适合冲击高品丹。</x:v>
      </x:c>
    </x:row>
    <x:row r="44">
      <x:c r="A44" s="23" t="n">
        <x:v>40</x:v>
      </x:c>
      <x:c r="B44" s="23" t="str">
        <x:v>TS-F-ZJ-14-D</x:v>
      </x:c>
      <x:c r="C44" s="23" t="str">
        <x:v>F-ZJ-14</x:v>
      </x:c>
      <x:c r="D44" s="23" t="str">
        <x:f>VLOOKUP(C44,'01_丹方主表'!$B$5:$AF$19,2,FALSE)</x:f>
        <x:v>明台丹</x:v>
      </x:c>
      <x:c r="E44" s="23" t="str">
        <x:v>默认</x:v>
      </x:c>
      <x:c r="F44" s="23" t="str">
        <x:v>是</x:v>
      </x:c>
      <x:c r="G44" s="23" t="str">
        <x:v>J-ZJ-14</x:v>
      </x:c>
      <x:c r="H44" s="23" t="str">
        <x:v>灵</x:v>
      </x:c>
      <x:c r="I44" s="23" t="n">
        <x:v>2</x:v>
      </x:c>
      <x:c r="J44" s="23" t="str">
        <x:v>M-ZJ-HUO-P</x:v>
      </x:c>
      <x:c r="K44" s="23" t="str">
        <x:v>灵</x:v>
      </x:c>
      <x:c r="L44" s="23" t="n">
        <x:v>1</x:v>
      </x:c>
      <x:c r="M44" s="23" t="str">
        <x:v>A-ZJ-P</x:v>
      </x:c>
      <x:c r="N44" s="23" t="str">
        <x:v>灵</x:v>
      </x:c>
      <x:c r="O44" s="23" t="n">
        <x:v>1</x:v>
      </x:c>
      <x:c r="P44" s="23" t="str">
        <x:v>E-ZJ-KU-P</x:v>
      </x:c>
      <x:c r="Q44" s="23" t="str">
        <x:v>灵</x:v>
      </x:c>
      <x:c r="R44" s="23" t="n">
        <x:v>1</x:v>
      </x:c>
      <x:c r="S44" s="29" t="str">
        <x:f>VLOOKUP(J44,'03_灵植表'!$B$5:$S$52,6,FALSE)</x:f>
        <x:v>火</x:v>
      </x:c>
      <x:c r="T44" s="29" t="str">
        <x:f>IF(S44=VLOOKUP(C44,'01_丹方主表'!$B$5:$AF$19,10,FALSE),"通过","失败")</x:f>
        <x:v>通过</x:v>
      </x:c>
      <x:c r="U44" s="29" t="str">
        <x:f>VLOOKUP(P44,'03_灵植表'!$B$5:$S$52,7,FALSE)</x:f>
        <x:v>苦</x:v>
      </x:c>
      <x:c r="V44" s="29" t="str">
        <x:f>IF(U44=VLOOKUP(C44,'01_丹方主表'!$B$5:$AF$19,11,FALSE),"通过","失败")</x:f>
        <x:v>通过</x:v>
      </x:c>
      <x:c r="W44" s="29" t="n">
        <x:f>VLOOKUP(C44,'01_丹方主表'!$B$5:$AF$19,13,FALSE)</x:f>
        <x:v>1</x:v>
      </x:c>
      <x:c r="X44" s="29" t="n">
        <x:f>VLOOKUP(G44,'03_灵植表'!$B$5:$S$52,9,FALSE)+VLOOKUP(J44,'03_灵植表'!$B$5:$S$52,9,FALSE)+VLOOKUP(M44,'03_灵植表'!$B$5:$S$52,9,FALSE)+VLOOKUP(P44,'03_灵植表'!$B$5:$S$52,9,FALSE)</x:f>
        <x:v>1</x:v>
      </x:c>
      <x:c r="Y44" s="29" t="str">
        <x:f>IF(W44=X44,"通过","失败")</x:f>
        <x:v>通过</x:v>
      </x:c>
      <x:c r="Z44" s="29" t="n">
        <x:f>VLOOKUP(G44,'03_灵植表'!$B$5:$S$52,10,FALSE)*VLOOKUP(H44,'04_参数字典'!$A$5:$D$7,2,FALSE)*I44+VLOOKUP(J44,'03_灵植表'!$B$5:$S$52,10,FALSE)*VLOOKUP(K44,'04_参数字典'!$A$5:$D$7,2,FALSE)*L44+VLOOKUP(M44,'03_灵植表'!$B$5:$S$52,10,FALSE)*VLOOKUP(N44,'04_参数字典'!$A$5:$D$7,2,FALSE)*O44+VLOOKUP(P44,'03_灵植表'!$B$5:$S$52,10,FALSE)*VLOOKUP(Q44,'04_参数字典'!$A$5:$D$7,2,FALSE)*R44</x:f>
        <x:v>33.6</x:v>
      </x:c>
      <x:c r="AA44" s="29" t="n">
        <x:f>VLOOKUP(C44,'01_丹方主表'!$B$5:$AF$19,14,FALSE)</x:f>
        <x:v>24</x:v>
      </x:c>
      <x:c r="AB44" s="29" t="str">
        <x:f>IF(Z44&gt;=AA44,"通过","失败")</x:f>
        <x:v>通过</x:v>
      </x:c>
      <x:c r="AC44" s="29" t="n">
        <x:f>VLOOKUP(G44,'03_灵植表'!$B$5:$S$52,10,FALSE)*VLOOKUP(H44,'04_参数字典'!$A$5:$D$7,2,FALSE)*I44</x:f>
        <x:v>12</x:v>
      </x:c>
      <x:c r="AD44" s="29" t="n">
        <x:f>VLOOKUP(C44,'01_丹方主表'!$B$5:$AF$19,16,FALSE)</x:f>
        <x:v>8</x:v>
      </x:c>
      <x:c r="AE44" s="29" t="str">
        <x:f>IF(AC44&gt;=AD44,"通过","失败")</x:f>
        <x:v>通过</x:v>
      </x:c>
      <x:c r="AF44" s="29" t="n">
        <x:f>I44+L44+O44+R44</x:f>
        <x:v>5</x:v>
      </x:c>
      <x:c r="AG44" s="29" t="n">
        <x:f>VLOOKUP(C44,'01_丹方主表'!$B$5:$AF$19,17,FALSE)</x:f>
        <x:v>8</x:v>
      </x:c>
      <x:c r="AH44" s="29" t="str">
        <x:f>IF(AF44&lt;=AG44,"通过","失败")</x:f>
        <x:v>通过</x:v>
      </x:c>
      <x:c r="AI44" s="32" t="n">
        <x:f>VLOOKUP(G44,'03_灵植表'!$B$5:$S$52,12,FALSE)*VLOOKUP(H44,'04_参数字典'!$A$5:$D$7,3,FALSE)*I44+VLOOKUP(J44,'03_灵植表'!$B$5:$S$52,12,FALSE)*VLOOKUP(K44,'04_参数字典'!$A$5:$D$7,3,FALSE)*L44+VLOOKUP(M44,'03_灵植表'!$B$5:$S$52,12,FALSE)*VLOOKUP(N44,'04_参数字典'!$A$5:$D$7,3,FALSE)*O44+VLOOKUP(P44,'03_灵植表'!$B$5:$S$52,12,FALSE)*VLOOKUP(Q44,'04_参数字典'!$A$5:$D$7,3,FALSE)*R44</x:f>
        <x:v>231</x:v>
      </x:c>
      <x:c r="AJ44" s="32" t="n">
        <x:f>VLOOKUP(C44,'01_丹方主表'!$B$5:$AF$19,21,FALSE)*VLOOKUP(AL44,'04_参数字典'!$A$5:$D$7,4,FALSE)</x:f>
        <x:v>500</x:v>
      </x:c>
      <x:c r="AK44" s="32" t="n">
        <x:f>AJ44-AI44</x:f>
        <x:v>269</x:v>
      </x:c>
      <x:c r="AL44" s="29" t="str">
        <x:v>灵</x:v>
      </x:c>
      <x:c r="AM44" s="29" t="str">
        <x:f>VLOOKUP(C44,'01_丹方主表'!$B$5:$AF$19,23,FALSE)</x:f>
        <x:v>perception_bonus</x:v>
      </x:c>
      <x:c r="AN44" s="33" t="n">
        <x:f>VLOOKUP(C44,'01_丹方主表'!$B$5:$AF$19,24,FALSE)</x:f>
        <x:v>0.15</x:v>
      </x:c>
      <x:c r="AO44" s="33" t="str">
        <x:f>VLOOKUP(C44,'01_丹方主表'!$B$5:$AF$19,25,FALSE)</x:f>
        <x:v>critical_bonus</x:v>
      </x:c>
      <x:c r="AP44" s="33" t="n">
        <x:f>VLOOKUP(C44,'01_丹方主表'!$B$5:$AF$19,26,FALSE)</x:f>
        <x:v>0.08</x:v>
      </x:c>
      <x:c r="AQ44" s="29" t="n">
        <x:f>VLOOKUP(C44,'01_丹方主表'!$B$5:$AF$19,22,FALSE)</x:f>
        <x:v>5</x:v>
      </x:c>
      <x:c r="AR44" s="29" t="str">
        <x:f>C44&amp;"|"&amp;G44&amp;"|"&amp;J44&amp;"|"&amp;M44&amp;"|"&amp;P44</x:f>
        <x:v>F-ZJ-14|J-ZJ-14|M-ZJ-HUO-P|A-ZJ-P|E-ZJ-KU-P</x:v>
      </x:c>
      <x:c r="AS44" s="29" t="str">
        <x:f>IF(AND(T44="通过",V44="通过",Y44="通过",AB44="通过",AE44="通过",AH44="通过",AK44&gt;=0),"通过","失败")</x:f>
        <x:v>通过</x:v>
      </x:c>
      <x:c r="AT44" s="16" t="str">
        <x:v>师承标准方：材料常见、方性直观，获得丹方即自动填入。</x:v>
      </x:c>
    </x:row>
    <x:row r="45">
      <x:c r="A45" s="23" t="n">
        <x:v>41</x:v>
      </x:c>
      <x:c r="B45" s="23" t="str">
        <x:v>TS-F-ZJ-14-C</x:v>
      </x:c>
      <x:c r="C45" s="23" t="str">
        <x:v>F-ZJ-14</x:v>
      </x:c>
      <x:c r="D45" s="23" t="str">
        <x:f>VLOOKUP(C45,'01_丹方主表'!$B$5:$AF$19,2,FALSE)</x:f>
        <x:v>明台丹</x:v>
      </x:c>
      <x:c r="E45" s="23" t="str">
        <x:v>廉价</x:v>
      </x:c>
      <x:c r="F45" s="23" t="str">
        <x:v>否</x:v>
      </x:c>
      <x:c r="G45" s="23" t="str">
        <x:v>J-ZJ-14</x:v>
      </x:c>
      <x:c r="H45" s="23" t="str">
        <x:v>灵</x:v>
      </x:c>
      <x:c r="I45" s="23" t="n">
        <x:v>2</x:v>
      </x:c>
      <x:c r="J45" s="23" t="str">
        <x:v>M-ZJ-HUO-C</x:v>
      </x:c>
      <x:c r="K45" s="23" t="str">
        <x:v>凡</x:v>
      </x:c>
      <x:c r="L45" s="23" t="n">
        <x:v>2</x:v>
      </x:c>
      <x:c r="M45" s="23" t="str">
        <x:v>A-ZJ-W</x:v>
      </x:c>
      <x:c r="N45" s="23" t="str">
        <x:v>凡</x:v>
      </x:c>
      <x:c r="O45" s="23" t="n">
        <x:v>2</x:v>
      </x:c>
      <x:c r="P45" s="23" t="str">
        <x:v>E-ZJ-KU-C</x:v>
      </x:c>
      <x:c r="Q45" s="23" t="str">
        <x:v>凡</x:v>
      </x:c>
      <x:c r="R45" s="23" t="n">
        <x:v>1</x:v>
      </x:c>
      <x:c r="S45" s="29" t="str">
        <x:f>VLOOKUP(J45,'03_灵植表'!$B$5:$S$52,6,FALSE)</x:f>
        <x:v>火</x:v>
      </x:c>
      <x:c r="T45" s="29" t="str">
        <x:f>IF(S45=VLOOKUP(C45,'01_丹方主表'!$B$5:$AF$19,10,FALSE),"通过","失败")</x:f>
        <x:v>通过</x:v>
      </x:c>
      <x:c r="U45" s="29" t="str">
        <x:f>VLOOKUP(P45,'03_灵植表'!$B$5:$S$52,7,FALSE)</x:f>
        <x:v>苦</x:v>
      </x:c>
      <x:c r="V45" s="29" t="str">
        <x:f>IF(U45=VLOOKUP(C45,'01_丹方主表'!$B$5:$AF$19,11,FALSE),"通过","失败")</x:f>
        <x:v>通过</x:v>
      </x:c>
      <x:c r="W45" s="29" t="n">
        <x:f>VLOOKUP(C45,'01_丹方主表'!$B$5:$AF$19,13,FALSE)</x:f>
        <x:v>1</x:v>
      </x:c>
      <x:c r="X45" s="29" t="n">
        <x:f>VLOOKUP(G45,'03_灵植表'!$B$5:$S$52,9,FALSE)+VLOOKUP(J45,'03_灵植表'!$B$5:$S$52,9,FALSE)+VLOOKUP(M45,'03_灵植表'!$B$5:$S$52,9,FALSE)+VLOOKUP(P45,'03_灵植表'!$B$5:$S$52,9,FALSE)</x:f>
        <x:v>1</x:v>
      </x:c>
      <x:c r="Y45" s="29" t="str">
        <x:f>IF(W45=X45,"通过","失败")</x:f>
        <x:v>通过</x:v>
      </x:c>
      <x:c r="Z45" s="29" t="n">
        <x:f>VLOOKUP(G45,'03_灵植表'!$B$5:$S$52,10,FALSE)*VLOOKUP(H45,'04_参数字典'!$A$5:$D$7,2,FALSE)*I45+VLOOKUP(J45,'03_灵植表'!$B$5:$S$52,10,FALSE)*VLOOKUP(K45,'04_参数字典'!$A$5:$D$7,2,FALSE)*L45+VLOOKUP(M45,'03_灵植表'!$B$5:$S$52,10,FALSE)*VLOOKUP(N45,'04_参数字典'!$A$5:$D$7,2,FALSE)*O45+VLOOKUP(P45,'03_灵植表'!$B$5:$S$52,10,FALSE)*VLOOKUP(Q45,'04_参数字典'!$A$5:$D$7,2,FALSE)*R45</x:f>
        <x:v>25.2</x:v>
      </x:c>
      <x:c r="AA45" s="29" t="n">
        <x:f>VLOOKUP(C45,'01_丹方主表'!$B$5:$AF$19,14,FALSE)</x:f>
        <x:v>24</x:v>
      </x:c>
      <x:c r="AB45" s="29" t="str">
        <x:f>IF(Z45&gt;=AA45,"通过","失败")</x:f>
        <x:v>通过</x:v>
      </x:c>
      <x:c r="AC45" s="29" t="n">
        <x:f>VLOOKUP(G45,'03_灵植表'!$B$5:$S$52,10,FALSE)*VLOOKUP(H45,'04_参数字典'!$A$5:$D$7,2,FALSE)*I45</x:f>
        <x:v>12</x:v>
      </x:c>
      <x:c r="AD45" s="29" t="n">
        <x:f>VLOOKUP(C45,'01_丹方主表'!$B$5:$AF$19,16,FALSE)</x:f>
        <x:v>8</x:v>
      </x:c>
      <x:c r="AE45" s="29" t="str">
        <x:f>IF(AC45&gt;=AD45,"通过","失败")</x:f>
        <x:v>通过</x:v>
      </x:c>
      <x:c r="AF45" s="29" t="n">
        <x:f>I45+L45+O45+R45</x:f>
        <x:v>7</x:v>
      </x:c>
      <x:c r="AG45" s="29" t="n">
        <x:f>VLOOKUP(C45,'01_丹方主表'!$B$5:$AF$19,17,FALSE)</x:f>
        <x:v>8</x:v>
      </x:c>
      <x:c r="AH45" s="29" t="str">
        <x:f>IF(AF45&lt;=AG45,"通过","失败")</x:f>
        <x:v>通过</x:v>
      </x:c>
      <x:c r="AI45" s="32" t="n">
        <x:f>VLOOKUP(G45,'03_灵植表'!$B$5:$S$52,12,FALSE)*VLOOKUP(H45,'04_参数字典'!$A$5:$D$7,3,FALSE)*I45+VLOOKUP(J45,'03_灵植表'!$B$5:$S$52,12,FALSE)*VLOOKUP(K45,'04_参数字典'!$A$5:$D$7,3,FALSE)*L45+VLOOKUP(M45,'03_灵植表'!$B$5:$S$52,12,FALSE)*VLOOKUP(N45,'04_参数字典'!$A$5:$D$7,3,FALSE)*O45+VLOOKUP(P45,'03_灵植表'!$B$5:$S$52,12,FALSE)*VLOOKUP(Q45,'04_参数字典'!$A$5:$D$7,3,FALSE)*R45</x:f>
        <x:v>173</x:v>
      </x:c>
      <x:c r="AJ45" s="32" t="n">
        <x:f>VLOOKUP(C45,'01_丹方主表'!$B$5:$AF$19,21,FALSE)*VLOOKUP(AL45,'04_参数字典'!$A$5:$D$7,4,FALSE)</x:f>
        <x:v>250</x:v>
      </x:c>
      <x:c r="AK45" s="32" t="n">
        <x:f>AJ45-AI45</x:f>
        <x:v>77</x:v>
      </x:c>
      <x:c r="AL45" s="29" t="str">
        <x:v>凡</x:v>
      </x:c>
      <x:c r="AM45" s="29" t="str">
        <x:f>VLOOKUP(C45,'01_丹方主表'!$B$5:$AF$19,23,FALSE)</x:f>
        <x:v>perception_bonus</x:v>
      </x:c>
      <x:c r="AN45" s="33" t="n">
        <x:f>VLOOKUP(C45,'01_丹方主表'!$B$5:$AF$19,24,FALSE)</x:f>
        <x:v>0.15</x:v>
      </x:c>
      <x:c r="AO45" s="33" t="str">
        <x:f>VLOOKUP(C45,'01_丹方主表'!$B$5:$AF$19,25,FALSE)</x:f>
        <x:v>critical_bonus</x:v>
      </x:c>
      <x:c r="AP45" s="33" t="n">
        <x:f>VLOOKUP(C45,'01_丹方主表'!$B$5:$AF$19,26,FALSE)</x:f>
        <x:v>0.08</x:v>
      </x:c>
      <x:c r="AQ45" s="29" t="n">
        <x:f>VLOOKUP(C45,'01_丹方主表'!$B$5:$AF$19,22,FALSE)</x:f>
        <x:v>5</x:v>
      </x:c>
      <x:c r="AR45" s="29" t="str">
        <x:f>C45&amp;"|"&amp;G45&amp;"|"&amp;J45&amp;"|"&amp;M45&amp;"|"&amp;P45</x:f>
        <x:v>F-ZJ-14|J-ZJ-14|M-ZJ-HUO-C|A-ZJ-W|E-ZJ-KU-C</x:v>
      </x:c>
      <x:c r="AS45" s="29" t="str">
        <x:f>IF(AND(T45="通过",V45="通过",Y45="通过",AB45="通过",AE45="通过",AH45="通过",AK45&gt;=0),"通过","失败")</x:f>
        <x:v>通过</x:v>
      </x:c>
      <x:c r="AT45" s="16" t="str">
        <x:v>低成本方：辅材便宜但多占份数，适合卖药与资源紧张时。</x:v>
      </x:c>
    </x:row>
    <x:row r="46">
      <x:c r="A46" s="23" t="n">
        <x:v>42</x:v>
      </x:c>
      <x:c r="B46" s="23" t="str">
        <x:v>TS-F-ZJ-14-R</x:v>
      </x:c>
      <x:c r="C46" s="23" t="str">
        <x:v>F-ZJ-14</x:v>
      </x:c>
      <x:c r="D46" s="23" t="str">
        <x:f>VLOOKUP(C46,'01_丹方主表'!$B$5:$AF$19,2,FALSE)</x:f>
        <x:v>明台丹</x:v>
      </x:c>
      <x:c r="E46" s="23" t="str">
        <x:v>精炼</x:v>
      </x:c>
      <x:c r="F46" s="23" t="str">
        <x:v>否</x:v>
      </x:c>
      <x:c r="G46" s="23" t="str">
        <x:v>J-ZJ-14</x:v>
      </x:c>
      <x:c r="H46" s="23" t="str">
        <x:v>玄</x:v>
      </x:c>
      <x:c r="I46" s="23" t="n">
        <x:v>2</x:v>
      </x:c>
      <x:c r="J46" s="23" t="str">
        <x:v>M-ZJ-HUO-P</x:v>
      </x:c>
      <x:c r="K46" s="23" t="str">
        <x:v>玄</x:v>
      </x:c>
      <x:c r="L46" s="23" t="n">
        <x:v>1</x:v>
      </x:c>
      <x:c r="M46" s="23" t="str">
        <x:v>A-ZJ-W</x:v>
      </x:c>
      <x:c r="N46" s="23" t="str">
        <x:v>玄</x:v>
      </x:c>
      <x:c r="O46" s="23" t="n">
        <x:v>1</x:v>
      </x:c>
      <x:c r="P46" s="23" t="str">
        <x:v>E-ZJ-KU-S</x:v>
      </x:c>
      <x:c r="Q46" s="23" t="str">
        <x:v>玄</x:v>
      </x:c>
      <x:c r="R46" s="23" t="n">
        <x:v>1</x:v>
      </x:c>
      <x:c r="S46" s="29" t="str">
        <x:f>VLOOKUP(J46,'03_灵植表'!$B$5:$S$52,6,FALSE)</x:f>
        <x:v>火</x:v>
      </x:c>
      <x:c r="T46" s="29" t="str">
        <x:f>IF(S46=VLOOKUP(C46,'01_丹方主表'!$B$5:$AF$19,10,FALSE),"通过","失败")</x:f>
        <x:v>通过</x:v>
      </x:c>
      <x:c r="U46" s="29" t="str">
        <x:f>VLOOKUP(P46,'03_灵植表'!$B$5:$S$52,7,FALSE)</x:f>
        <x:v>苦</x:v>
      </x:c>
      <x:c r="V46" s="29" t="str">
        <x:f>IF(U46=VLOOKUP(C46,'01_丹方主表'!$B$5:$AF$19,11,FALSE),"通过","失败")</x:f>
        <x:v>通过</x:v>
      </x:c>
      <x:c r="W46" s="29" t="n">
        <x:f>VLOOKUP(C46,'01_丹方主表'!$B$5:$AF$19,13,FALSE)</x:f>
        <x:v>1</x:v>
      </x:c>
      <x:c r="X46" s="29" t="n">
        <x:f>VLOOKUP(G46,'03_灵植表'!$B$5:$S$52,9,FALSE)+VLOOKUP(J46,'03_灵植表'!$B$5:$S$52,9,FALSE)+VLOOKUP(M46,'03_灵植表'!$B$5:$S$52,9,FALSE)+VLOOKUP(P46,'03_灵植表'!$B$5:$S$52,9,FALSE)</x:f>
        <x:v>1</x:v>
      </x:c>
      <x:c r="Y46" s="29" t="str">
        <x:f>IF(W46=X46,"通过","失败")</x:f>
        <x:v>通过</x:v>
      </x:c>
      <x:c r="Z46" s="29" t="n">
        <x:f>VLOOKUP(G46,'03_灵植表'!$B$5:$S$52,10,FALSE)*VLOOKUP(H46,'04_参数字典'!$A$5:$D$7,2,FALSE)*I46+VLOOKUP(J46,'03_灵植表'!$B$5:$S$52,10,FALSE)*VLOOKUP(K46,'04_参数字典'!$A$5:$D$7,2,FALSE)*L46+VLOOKUP(M46,'03_灵植表'!$B$5:$S$52,10,FALSE)*VLOOKUP(N46,'04_参数字典'!$A$5:$D$7,2,FALSE)*O46+VLOOKUP(P46,'03_灵植表'!$B$5:$S$52,10,FALSE)*VLOOKUP(Q46,'04_参数字典'!$A$5:$D$7,2,FALSE)*R46</x:f>
        <x:v>46.8</x:v>
      </x:c>
      <x:c r="AA46" s="29" t="n">
        <x:f>VLOOKUP(C46,'01_丹方主表'!$B$5:$AF$19,14,FALSE)</x:f>
        <x:v>24</x:v>
      </x:c>
      <x:c r="AB46" s="29" t="str">
        <x:f>IF(Z46&gt;=AA46,"通过","失败")</x:f>
        <x:v>通过</x:v>
      </x:c>
      <x:c r="AC46" s="29" t="n">
        <x:f>VLOOKUP(G46,'03_灵植表'!$B$5:$S$52,10,FALSE)*VLOOKUP(H46,'04_参数字典'!$A$5:$D$7,2,FALSE)*I46</x:f>
        <x:v>18</x:v>
      </x:c>
      <x:c r="AD46" s="29" t="n">
        <x:f>VLOOKUP(C46,'01_丹方主表'!$B$5:$AF$19,16,FALSE)</x:f>
        <x:v>8</x:v>
      </x:c>
      <x:c r="AE46" s="29" t="str">
        <x:f>IF(AC46&gt;=AD46,"通过","失败")</x:f>
        <x:v>通过</x:v>
      </x:c>
      <x:c r="AF46" s="29" t="n">
        <x:f>I46+L46+O46+R46</x:f>
        <x:v>5</x:v>
      </x:c>
      <x:c r="AG46" s="29" t="n">
        <x:f>VLOOKUP(C46,'01_丹方主表'!$B$5:$AF$19,17,FALSE)</x:f>
        <x:v>8</x:v>
      </x:c>
      <x:c r="AH46" s="29" t="str">
        <x:f>IF(AF46&lt;=AG46,"通过","失败")</x:f>
        <x:v>通过</x:v>
      </x:c>
      <x:c r="AI46" s="32" t="n">
        <x:f>VLOOKUP(G46,'03_灵植表'!$B$5:$S$52,12,FALSE)*VLOOKUP(H46,'04_参数字典'!$A$5:$D$7,3,FALSE)*I46+VLOOKUP(J46,'03_灵植表'!$B$5:$S$52,12,FALSE)*VLOOKUP(K46,'04_参数字典'!$A$5:$D$7,3,FALSE)*L46+VLOOKUP(M46,'03_灵植表'!$B$5:$S$52,12,FALSE)*VLOOKUP(N46,'04_参数字典'!$A$5:$D$7,3,FALSE)*O46+VLOOKUP(P46,'03_灵植表'!$B$5:$S$52,12,FALSE)*VLOOKUP(Q46,'04_参数字典'!$A$5:$D$7,3,FALSE)*R46</x:f>
        <x:v>475</x:v>
      </x:c>
      <x:c r="AJ46" s="32" t="n">
        <x:f>VLOOKUP(C46,'01_丹方主表'!$B$5:$AF$19,21,FALSE)*VLOOKUP(AL46,'04_参数字典'!$A$5:$D$7,4,FALSE)</x:f>
        <x:v>1000</x:v>
      </x:c>
      <x:c r="AK46" s="32" t="n">
        <x:f>AJ46-AI46</x:f>
        <x:v>525</x:v>
      </x:c>
      <x:c r="AL46" s="29" t="str">
        <x:v>玄</x:v>
      </x:c>
      <x:c r="AM46" s="29" t="str">
        <x:f>VLOOKUP(C46,'01_丹方主表'!$B$5:$AF$19,23,FALSE)</x:f>
        <x:v>perception_bonus</x:v>
      </x:c>
      <x:c r="AN46" s="33" t="n">
        <x:f>VLOOKUP(C46,'01_丹方主表'!$B$5:$AF$19,24,FALSE)</x:f>
        <x:v>0.15</x:v>
      </x:c>
      <x:c r="AO46" s="33" t="str">
        <x:f>VLOOKUP(C46,'01_丹方主表'!$B$5:$AF$19,25,FALSE)</x:f>
        <x:v>critical_bonus</x:v>
      </x:c>
      <x:c r="AP46" s="33" t="n">
        <x:f>VLOOKUP(C46,'01_丹方主表'!$B$5:$AF$19,26,FALSE)</x:f>
        <x:v>0.08</x:v>
      </x:c>
      <x:c r="AQ46" s="29" t="n">
        <x:f>VLOOKUP(C46,'01_丹方主表'!$B$5:$AF$19,22,FALSE)</x:f>
        <x:v>5</x:v>
      </x:c>
      <x:c r="AR46" s="29" t="str">
        <x:f>C46&amp;"|"&amp;G46&amp;"|"&amp;J46&amp;"|"&amp;M46&amp;"|"&amp;P46</x:f>
        <x:v>F-ZJ-14|J-ZJ-14|M-ZJ-HUO-P|A-ZJ-W|E-ZJ-KU-S</x:v>
      </x:c>
      <x:c r="AS46" s="29" t="str">
        <x:f>IF(AND(T46="通过",V46="通过",Y46="通过",AB46="通过",AE46="通过",AH46="通过",AK46&gt;=0),"通过","失败")</x:f>
        <x:v>通过</x:v>
      </x:c>
      <x:c r="AT46" s="16" t="str">
        <x:v>精炼方：高品质材料与药力余量，适合冲击高品丹。</x:v>
      </x:c>
    </x:row>
    <x:row r="47">
      <x:c r="A47" s="23" t="n">
        <x:v>43</x:v>
      </x:c>
      <x:c r="B47" s="23" t="str">
        <x:v>TS-F-ZJ-15-D</x:v>
      </x:c>
      <x:c r="C47" s="23" t="str">
        <x:v>F-ZJ-15</x:v>
      </x:c>
      <x:c r="D47" s="23" t="str">
        <x:f>VLOOKUP(C47,'01_丹方主表'!$B$5:$AF$19,2,FALSE)</x:f>
        <x:v>续元丹</x:v>
      </x:c>
      <x:c r="E47" s="23" t="str">
        <x:v>默认</x:v>
      </x:c>
      <x:c r="F47" s="23" t="str">
        <x:v>是</x:v>
      </x:c>
      <x:c r="G47" s="23" t="str">
        <x:v>J-ZJ-15</x:v>
      </x:c>
      <x:c r="H47" s="23" t="str">
        <x:v>灵</x:v>
      </x:c>
      <x:c r="I47" s="23" t="n">
        <x:v>2</x:v>
      </x:c>
      <x:c r="J47" s="23" t="str">
        <x:v>M-ZJ-SHUI-P</x:v>
      </x:c>
      <x:c r="K47" s="23" t="str">
        <x:v>灵</x:v>
      </x:c>
      <x:c r="L47" s="23" t="n">
        <x:v>1</x:v>
      </x:c>
      <x:c r="M47" s="23" t="str">
        <x:v>A-ZJ-P</x:v>
      </x:c>
      <x:c r="N47" s="23" t="str">
        <x:v>灵</x:v>
      </x:c>
      <x:c r="O47" s="23" t="n">
        <x:v>1</x:v>
      </x:c>
      <x:c r="P47" s="23" t="str">
        <x:v>E-ZJ-XIAN-P</x:v>
      </x:c>
      <x:c r="Q47" s="23" t="str">
        <x:v>灵</x:v>
      </x:c>
      <x:c r="R47" s="23" t="n">
        <x:v>1</x:v>
      </x:c>
      <x:c r="S47" s="29" t="str">
        <x:f>VLOOKUP(J47,'03_灵植表'!$B$5:$S$52,6,FALSE)</x:f>
        <x:v>水</x:v>
      </x:c>
      <x:c r="T47" s="29" t="str">
        <x:f>IF(S47=VLOOKUP(C47,'01_丹方主表'!$B$5:$AF$19,10,FALSE),"通过","失败")</x:f>
        <x:v>通过</x:v>
      </x:c>
      <x:c r="U47" s="29" t="str">
        <x:f>VLOOKUP(P47,'03_灵植表'!$B$5:$S$52,7,FALSE)</x:f>
        <x:v>咸</x:v>
      </x:c>
      <x:c r="V47" s="29" t="str">
        <x:f>IF(U47=VLOOKUP(C47,'01_丹方主表'!$B$5:$AF$19,11,FALSE),"通过","失败")</x:f>
        <x:v>通过</x:v>
      </x:c>
      <x:c r="W47" s="29" t="n">
        <x:f>VLOOKUP(C47,'01_丹方主表'!$B$5:$AF$19,13,FALSE)</x:f>
        <x:v>0</x:v>
      </x:c>
      <x:c r="X47" s="29" t="n">
        <x:f>VLOOKUP(G47,'03_灵植表'!$B$5:$S$52,9,FALSE)+VLOOKUP(J47,'03_灵植表'!$B$5:$S$52,9,FALSE)+VLOOKUP(M47,'03_灵植表'!$B$5:$S$52,9,FALSE)+VLOOKUP(P47,'03_灵植表'!$B$5:$S$52,9,FALSE)</x:f>
        <x:v>0</x:v>
      </x:c>
      <x:c r="Y47" s="29" t="str">
        <x:f>IF(W47=X47,"通过","失败")</x:f>
        <x:v>通过</x:v>
      </x:c>
      <x:c r="Z47" s="29" t="n">
        <x:f>VLOOKUP(G47,'03_灵植表'!$B$5:$S$52,10,FALSE)*VLOOKUP(H47,'04_参数字典'!$A$5:$D$7,2,FALSE)*I47+VLOOKUP(J47,'03_灵植表'!$B$5:$S$52,10,FALSE)*VLOOKUP(K47,'04_参数字典'!$A$5:$D$7,2,FALSE)*L47+VLOOKUP(M47,'03_灵植表'!$B$5:$S$52,10,FALSE)*VLOOKUP(N47,'04_参数字典'!$A$5:$D$7,2,FALSE)*O47+VLOOKUP(P47,'03_灵植表'!$B$5:$S$52,10,FALSE)*VLOOKUP(Q47,'04_参数字典'!$A$5:$D$7,2,FALSE)*R47</x:f>
        <x:v>33.6</x:v>
      </x:c>
      <x:c r="AA47" s="29" t="n">
        <x:f>VLOOKUP(C47,'01_丹方主表'!$B$5:$AF$19,14,FALSE)</x:f>
        <x:v>24</x:v>
      </x:c>
      <x:c r="AB47" s="29" t="str">
        <x:f>IF(Z47&gt;=AA47,"通过","失败")</x:f>
        <x:v>通过</x:v>
      </x:c>
      <x:c r="AC47" s="29" t="n">
        <x:f>VLOOKUP(G47,'03_灵植表'!$B$5:$S$52,10,FALSE)*VLOOKUP(H47,'04_参数字典'!$A$5:$D$7,2,FALSE)*I47</x:f>
        <x:v>12</x:v>
      </x:c>
      <x:c r="AD47" s="29" t="n">
        <x:f>VLOOKUP(C47,'01_丹方主表'!$B$5:$AF$19,16,FALSE)</x:f>
        <x:v>8</x:v>
      </x:c>
      <x:c r="AE47" s="29" t="str">
        <x:f>IF(AC47&gt;=AD47,"通过","失败")</x:f>
        <x:v>通过</x:v>
      </x:c>
      <x:c r="AF47" s="29" t="n">
        <x:f>I47+L47+O47+R47</x:f>
        <x:v>5</x:v>
      </x:c>
      <x:c r="AG47" s="29" t="n">
        <x:f>VLOOKUP(C47,'01_丹方主表'!$B$5:$AF$19,17,FALSE)</x:f>
        <x:v>8</x:v>
      </x:c>
      <x:c r="AH47" s="29" t="str">
        <x:f>IF(AF47&lt;=AG47,"通过","失败")</x:f>
        <x:v>通过</x:v>
      </x:c>
      <x:c r="AI47" s="32" t="n">
        <x:f>VLOOKUP(G47,'03_灵植表'!$B$5:$S$52,12,FALSE)*VLOOKUP(H47,'04_参数字典'!$A$5:$D$7,3,FALSE)*I47+VLOOKUP(J47,'03_灵植表'!$B$5:$S$52,12,FALSE)*VLOOKUP(K47,'04_参数字典'!$A$5:$D$7,3,FALSE)*L47+VLOOKUP(M47,'03_灵植表'!$B$5:$S$52,12,FALSE)*VLOOKUP(N47,'04_参数字典'!$A$5:$D$7,3,FALSE)*O47+VLOOKUP(P47,'03_灵植表'!$B$5:$S$52,12,FALSE)*VLOOKUP(Q47,'04_参数字典'!$A$5:$D$7,3,FALSE)*R47</x:f>
        <x:v>627</x:v>
      </x:c>
      <x:c r="AJ47" s="32" t="n">
        <x:f>VLOOKUP(C47,'01_丹方主表'!$B$5:$AF$19,21,FALSE)*VLOOKUP(AL47,'04_参数字典'!$A$5:$D$7,4,FALSE)</x:f>
        <x:v>3600</x:v>
      </x:c>
      <x:c r="AK47" s="32" t="n">
        <x:f>AJ47-AI47</x:f>
        <x:v>2973</x:v>
      </x:c>
      <x:c r="AL47" s="29" t="str">
        <x:v>灵</x:v>
      </x:c>
      <x:c r="AM47" s="29" t="str">
        <x:f>VLOOKUP(C47,'01_丹方主表'!$B$5:$AF$19,23,FALSE)</x:f>
        <x:v>lifespan_gain</x:v>
      </x:c>
      <x:c r="AN47" s="33" t="n">
        <x:f>VLOOKUP(C47,'01_丹方主表'!$B$5:$AF$19,24,FALSE)</x:f>
        <x:v>10</x:v>
      </x:c>
      <x:c r="AO47" s="33" t="str">
        <x:f>VLOOKUP(C47,'01_丹方主表'!$B$5:$AF$19,25,FALSE)</x:f>
      </x:c>
      <x:c r="AP47" s="33" t="n">
        <x:f>VLOOKUP(C47,'01_丹方主表'!$B$5:$AF$19,26,FALSE)</x:f>
        <x:v>0</x:v>
      </x:c>
      <x:c r="AQ47" s="29" t="n">
        <x:f>VLOOKUP(C47,'01_丹方主表'!$B$5:$AF$19,22,FALSE)</x:f>
        <x:v>50</x:v>
      </x:c>
      <x:c r="AR47" s="29" t="str">
        <x:f>C47&amp;"|"&amp;G47&amp;"|"&amp;J47&amp;"|"&amp;M47&amp;"|"&amp;P47</x:f>
        <x:v>F-ZJ-15|J-ZJ-15|M-ZJ-SHUI-P|A-ZJ-P|E-ZJ-XIAN-P</x:v>
      </x:c>
      <x:c r="AS47" s="29" t="str">
        <x:f>IF(AND(T47="通过",V47="通过",Y47="通过",AB47="通过",AE47="通过",AH47="通过",AK47&gt;=0),"通过","失败")</x:f>
        <x:v>通过</x:v>
      </x:c>
      <x:c r="AT47" s="16" t="str">
        <x:v>师承标准方：材料常见、方性直观，获得丹方即自动填入。</x:v>
      </x:c>
    </x:row>
    <x:row r="48">
      <x:c r="A48" s="23" t="n">
        <x:v>44</x:v>
      </x:c>
      <x:c r="B48" s="23" t="str">
        <x:v>TS-F-ZJ-15-C</x:v>
      </x:c>
      <x:c r="C48" s="23" t="str">
        <x:v>F-ZJ-15</x:v>
      </x:c>
      <x:c r="D48" s="23" t="str">
        <x:f>VLOOKUP(C48,'01_丹方主表'!$B$5:$AF$19,2,FALSE)</x:f>
        <x:v>续元丹</x:v>
      </x:c>
      <x:c r="E48" s="23" t="str">
        <x:v>廉价</x:v>
      </x:c>
      <x:c r="F48" s="23" t="str">
        <x:v>否</x:v>
      </x:c>
      <x:c r="G48" s="23" t="str">
        <x:v>J-ZJ-15</x:v>
      </x:c>
      <x:c r="H48" s="23" t="str">
        <x:v>灵</x:v>
      </x:c>
      <x:c r="I48" s="23" t="n">
        <x:v>2</x:v>
      </x:c>
      <x:c r="J48" s="23" t="str">
        <x:v>M-ZJ-SHUI-S</x:v>
      </x:c>
      <x:c r="K48" s="23" t="str">
        <x:v>凡</x:v>
      </x:c>
      <x:c r="L48" s="23" t="n">
        <x:v>2</x:v>
      </x:c>
      <x:c r="M48" s="23" t="str">
        <x:v>A-ZJ-T</x:v>
      </x:c>
      <x:c r="N48" s="23" t="str">
        <x:v>凡</x:v>
      </x:c>
      <x:c r="O48" s="23" t="n">
        <x:v>2</x:v>
      </x:c>
      <x:c r="P48" s="23" t="str">
        <x:v>E-ZJ-XIAN-C</x:v>
      </x:c>
      <x:c r="Q48" s="23" t="str">
        <x:v>凡</x:v>
      </x:c>
      <x:c r="R48" s="23" t="n">
        <x:v>1</x:v>
      </x:c>
      <x:c r="S48" s="29" t="str">
        <x:f>VLOOKUP(J48,'03_灵植表'!$B$5:$S$52,6,FALSE)</x:f>
        <x:v>水</x:v>
      </x:c>
      <x:c r="T48" s="29" t="str">
        <x:f>IF(S48=VLOOKUP(C48,'01_丹方主表'!$B$5:$AF$19,10,FALSE),"通过","失败")</x:f>
        <x:v>通过</x:v>
      </x:c>
      <x:c r="U48" s="29" t="str">
        <x:f>VLOOKUP(P48,'03_灵植表'!$B$5:$S$52,7,FALSE)</x:f>
        <x:v>咸</x:v>
      </x:c>
      <x:c r="V48" s="29" t="str">
        <x:f>IF(U48=VLOOKUP(C48,'01_丹方主表'!$B$5:$AF$19,11,FALSE),"通过","失败")</x:f>
        <x:v>通过</x:v>
      </x:c>
      <x:c r="W48" s="29" t="n">
        <x:f>VLOOKUP(C48,'01_丹方主表'!$B$5:$AF$19,13,FALSE)</x:f>
        <x:v>0</x:v>
      </x:c>
      <x:c r="X48" s="29" t="n">
        <x:f>VLOOKUP(G48,'03_灵植表'!$B$5:$S$52,9,FALSE)+VLOOKUP(J48,'03_灵植表'!$B$5:$S$52,9,FALSE)+VLOOKUP(M48,'03_灵植表'!$B$5:$S$52,9,FALSE)+VLOOKUP(P48,'03_灵植表'!$B$5:$S$52,9,FALSE)</x:f>
        <x:v>0</x:v>
      </x:c>
      <x:c r="Y48" s="29" t="str">
        <x:f>IF(W48=X48,"通过","失败")</x:f>
        <x:v>通过</x:v>
      </x:c>
      <x:c r="Z48" s="29" t="n">
        <x:f>VLOOKUP(G48,'03_灵植表'!$B$5:$S$52,10,FALSE)*VLOOKUP(H48,'04_参数字典'!$A$5:$D$7,2,FALSE)*I48+VLOOKUP(J48,'03_灵植表'!$B$5:$S$52,10,FALSE)*VLOOKUP(K48,'04_参数字典'!$A$5:$D$7,2,FALSE)*L48+VLOOKUP(M48,'03_灵植表'!$B$5:$S$52,10,FALSE)*VLOOKUP(N48,'04_参数字典'!$A$5:$D$7,2,FALSE)*O48+VLOOKUP(P48,'03_灵植表'!$B$5:$S$52,10,FALSE)*VLOOKUP(Q48,'04_参数字典'!$A$5:$D$7,2,FALSE)*R48</x:f>
        <x:v>26.4</x:v>
      </x:c>
      <x:c r="AA48" s="29" t="n">
        <x:f>VLOOKUP(C48,'01_丹方主表'!$B$5:$AF$19,14,FALSE)</x:f>
        <x:v>24</x:v>
      </x:c>
      <x:c r="AB48" s="29" t="str">
        <x:f>IF(Z48&gt;=AA48,"通过","失败")</x:f>
        <x:v>通过</x:v>
      </x:c>
      <x:c r="AC48" s="29" t="n">
        <x:f>VLOOKUP(G48,'03_灵植表'!$B$5:$S$52,10,FALSE)*VLOOKUP(H48,'04_参数字典'!$A$5:$D$7,2,FALSE)*I48</x:f>
        <x:v>12</x:v>
      </x:c>
      <x:c r="AD48" s="29" t="n">
        <x:f>VLOOKUP(C48,'01_丹方主表'!$B$5:$AF$19,16,FALSE)</x:f>
        <x:v>8</x:v>
      </x:c>
      <x:c r="AE48" s="29" t="str">
        <x:f>IF(AC48&gt;=AD48,"通过","失败")</x:f>
        <x:v>通过</x:v>
      </x:c>
      <x:c r="AF48" s="29" t="n">
        <x:f>I48+L48+O48+R48</x:f>
        <x:v>7</x:v>
      </x:c>
      <x:c r="AG48" s="29" t="n">
        <x:f>VLOOKUP(C48,'01_丹方主表'!$B$5:$AF$19,17,FALSE)</x:f>
        <x:v>8</x:v>
      </x:c>
      <x:c r="AH48" s="29" t="str">
        <x:f>IF(AF48&lt;=AG48,"通过","失败")</x:f>
        <x:v>通过</x:v>
      </x:c>
      <x:c r="AI48" s="32" t="n">
        <x:f>VLOOKUP(G48,'03_灵植表'!$B$5:$S$52,12,FALSE)*VLOOKUP(H48,'04_参数字典'!$A$5:$D$7,3,FALSE)*I48+VLOOKUP(J48,'03_灵植表'!$B$5:$S$52,12,FALSE)*VLOOKUP(K48,'04_参数字典'!$A$5:$D$7,3,FALSE)*L48+VLOOKUP(M48,'03_灵植表'!$B$5:$S$52,12,FALSE)*VLOOKUP(N48,'04_参数字典'!$A$5:$D$7,3,FALSE)*O48+VLOOKUP(P48,'03_灵植表'!$B$5:$S$52,12,FALSE)*VLOOKUP(Q48,'04_参数字典'!$A$5:$D$7,3,FALSE)*R48</x:f>
        <x:v>571</x:v>
      </x:c>
      <x:c r="AJ48" s="32" t="n">
        <x:f>VLOOKUP(C48,'01_丹方主表'!$B$5:$AF$19,21,FALSE)*VLOOKUP(AL48,'04_参数字典'!$A$5:$D$7,4,FALSE)</x:f>
        <x:v>1800</x:v>
      </x:c>
      <x:c r="AK48" s="32" t="n">
        <x:f>AJ48-AI48</x:f>
        <x:v>1229</x:v>
      </x:c>
      <x:c r="AL48" s="29" t="str">
        <x:v>凡</x:v>
      </x:c>
      <x:c r="AM48" s="29" t="str">
        <x:f>VLOOKUP(C48,'01_丹方主表'!$B$5:$AF$19,23,FALSE)</x:f>
        <x:v>lifespan_gain</x:v>
      </x:c>
      <x:c r="AN48" s="33" t="n">
        <x:f>VLOOKUP(C48,'01_丹方主表'!$B$5:$AF$19,24,FALSE)</x:f>
        <x:v>10</x:v>
      </x:c>
      <x:c r="AO48" s="33" t="str">
        <x:f>VLOOKUP(C48,'01_丹方主表'!$B$5:$AF$19,25,FALSE)</x:f>
      </x:c>
      <x:c r="AP48" s="33" t="n">
        <x:f>VLOOKUP(C48,'01_丹方主表'!$B$5:$AF$19,26,FALSE)</x:f>
        <x:v>0</x:v>
      </x:c>
      <x:c r="AQ48" s="29" t="n">
        <x:f>VLOOKUP(C48,'01_丹方主表'!$B$5:$AF$19,22,FALSE)</x:f>
        <x:v>50</x:v>
      </x:c>
      <x:c r="AR48" s="29" t="str">
        <x:f>C48&amp;"|"&amp;G48&amp;"|"&amp;J48&amp;"|"&amp;M48&amp;"|"&amp;P48</x:f>
        <x:v>F-ZJ-15|J-ZJ-15|M-ZJ-SHUI-S|A-ZJ-T|E-ZJ-XIAN-C</x:v>
      </x:c>
      <x:c r="AS48" s="29" t="str">
        <x:f>IF(AND(T48="通过",V48="通过",Y48="通过",AB48="通过",AE48="通过",AH48="通过",AK48&gt;=0),"通过","失败")</x:f>
        <x:v>通过</x:v>
      </x:c>
      <x:c r="AT48" s="16" t="str">
        <x:v>低成本方：辅材便宜但多占份数，适合卖药与资源紧张时。</x:v>
      </x:c>
    </x:row>
    <x:row r="49">
      <x:c r="A49" s="23" t="n">
        <x:v>45</x:v>
      </x:c>
      <x:c r="B49" s="23" t="str">
        <x:v>TS-F-ZJ-15-R</x:v>
      </x:c>
      <x:c r="C49" s="23" t="str">
        <x:v>F-ZJ-15</x:v>
      </x:c>
      <x:c r="D49" s="23" t="str">
        <x:f>VLOOKUP(C49,'01_丹方主表'!$B$5:$AF$19,2,FALSE)</x:f>
        <x:v>续元丹</x:v>
      </x:c>
      <x:c r="E49" s="23" t="str">
        <x:v>精炼</x:v>
      </x:c>
      <x:c r="F49" s="23" t="str">
        <x:v>否</x:v>
      </x:c>
      <x:c r="G49" s="23" t="str">
        <x:v>J-ZJ-15</x:v>
      </x:c>
      <x:c r="H49" s="23" t="str">
        <x:v>玄</x:v>
      </x:c>
      <x:c r="I49" s="23" t="n">
        <x:v>2</x:v>
      </x:c>
      <x:c r="J49" s="23" t="str">
        <x:v>M-ZJ-SHUI-S</x:v>
      </x:c>
      <x:c r="K49" s="23" t="str">
        <x:v>玄</x:v>
      </x:c>
      <x:c r="L49" s="23" t="n">
        <x:v>1</x:v>
      </x:c>
      <x:c r="M49" s="23" t="str">
        <x:v>A-ZJ-W</x:v>
      </x:c>
      <x:c r="N49" s="23" t="str">
        <x:v>玄</x:v>
      </x:c>
      <x:c r="O49" s="23" t="n">
        <x:v>1</x:v>
      </x:c>
      <x:c r="P49" s="23" t="str">
        <x:v>E-ZJ-XIAN-P</x:v>
      </x:c>
      <x:c r="Q49" s="23" t="str">
        <x:v>玄</x:v>
      </x:c>
      <x:c r="R49" s="23" t="n">
        <x:v>1</x:v>
      </x:c>
      <x:c r="S49" s="29" t="str">
        <x:f>VLOOKUP(J49,'03_灵植表'!$B$5:$S$52,6,FALSE)</x:f>
        <x:v>水</x:v>
      </x:c>
      <x:c r="T49" s="29" t="str">
        <x:f>IF(S49=VLOOKUP(C49,'01_丹方主表'!$B$5:$AF$19,10,FALSE),"通过","失败")</x:f>
        <x:v>通过</x:v>
      </x:c>
      <x:c r="U49" s="29" t="str">
        <x:f>VLOOKUP(P49,'03_灵植表'!$B$5:$S$52,7,FALSE)</x:f>
        <x:v>咸</x:v>
      </x:c>
      <x:c r="V49" s="29" t="str">
        <x:f>IF(U49=VLOOKUP(C49,'01_丹方主表'!$B$5:$AF$19,11,FALSE),"通过","失败")</x:f>
        <x:v>通过</x:v>
      </x:c>
      <x:c r="W49" s="29" t="n">
        <x:f>VLOOKUP(C49,'01_丹方主表'!$B$5:$AF$19,13,FALSE)</x:f>
        <x:v>0</x:v>
      </x:c>
      <x:c r="X49" s="29" t="n">
        <x:f>VLOOKUP(G49,'03_灵植表'!$B$5:$S$52,9,FALSE)+VLOOKUP(J49,'03_灵植表'!$B$5:$S$52,9,FALSE)+VLOOKUP(M49,'03_灵植表'!$B$5:$S$52,9,FALSE)+VLOOKUP(P49,'03_灵植表'!$B$5:$S$52,9,FALSE)</x:f>
        <x:v>0</x:v>
      </x:c>
      <x:c r="Y49" s="29" t="str">
        <x:f>IF(W49=X49,"通过","失败")</x:f>
        <x:v>通过</x:v>
      </x:c>
      <x:c r="Z49" s="29" t="n">
        <x:f>VLOOKUP(G49,'03_灵植表'!$B$5:$S$52,10,FALSE)*VLOOKUP(H49,'04_参数字典'!$A$5:$D$7,2,FALSE)*I49+VLOOKUP(J49,'03_灵植表'!$B$5:$S$52,10,FALSE)*VLOOKUP(K49,'04_参数字典'!$A$5:$D$7,2,FALSE)*L49+VLOOKUP(M49,'03_灵植表'!$B$5:$S$52,10,FALSE)*VLOOKUP(N49,'04_参数字典'!$A$5:$D$7,2,FALSE)*O49+VLOOKUP(P49,'03_灵植表'!$B$5:$S$52,10,FALSE)*VLOOKUP(Q49,'04_参数字典'!$A$5:$D$7,2,FALSE)*R49</x:f>
        <x:v>46.8</x:v>
      </x:c>
      <x:c r="AA49" s="29" t="n">
        <x:f>VLOOKUP(C49,'01_丹方主表'!$B$5:$AF$19,14,FALSE)</x:f>
        <x:v>24</x:v>
      </x:c>
      <x:c r="AB49" s="29" t="str">
        <x:f>IF(Z49&gt;=AA49,"通过","失败")</x:f>
        <x:v>通过</x:v>
      </x:c>
      <x:c r="AC49" s="29" t="n">
        <x:f>VLOOKUP(G49,'03_灵植表'!$B$5:$S$52,10,FALSE)*VLOOKUP(H49,'04_参数字典'!$A$5:$D$7,2,FALSE)*I49</x:f>
        <x:v>18</x:v>
      </x:c>
      <x:c r="AD49" s="29" t="n">
        <x:f>VLOOKUP(C49,'01_丹方主表'!$B$5:$AF$19,16,FALSE)</x:f>
        <x:v>8</x:v>
      </x:c>
      <x:c r="AE49" s="29" t="str">
        <x:f>IF(AC49&gt;=AD49,"通过","失败")</x:f>
        <x:v>通过</x:v>
      </x:c>
      <x:c r="AF49" s="29" t="n">
        <x:f>I49+L49+O49+R49</x:f>
        <x:v>5</x:v>
      </x:c>
      <x:c r="AG49" s="29" t="n">
        <x:f>VLOOKUP(C49,'01_丹方主表'!$B$5:$AF$19,17,FALSE)</x:f>
        <x:v>8</x:v>
      </x:c>
      <x:c r="AH49" s="29" t="str">
        <x:f>IF(AF49&lt;=AG49,"通过","失败")</x:f>
        <x:v>通过</x:v>
      </x:c>
      <x:c r="AI49" s="32" t="n">
        <x:f>VLOOKUP(G49,'03_灵植表'!$B$5:$S$52,12,FALSE)*VLOOKUP(H49,'04_参数字典'!$A$5:$D$7,3,FALSE)*I49+VLOOKUP(J49,'03_灵植表'!$B$5:$S$52,12,FALSE)*VLOOKUP(K49,'04_参数字典'!$A$5:$D$7,3,FALSE)*L49+VLOOKUP(M49,'03_灵植表'!$B$5:$S$52,12,FALSE)*VLOOKUP(N49,'04_参数字典'!$A$5:$D$7,3,FALSE)*O49+VLOOKUP(P49,'03_灵植表'!$B$5:$S$52,12,FALSE)*VLOOKUP(Q49,'04_参数字典'!$A$5:$D$7,3,FALSE)*R49</x:f>
        <x:v>1375</x:v>
      </x:c>
      <x:c r="AJ49" s="32" t="n">
        <x:f>VLOOKUP(C49,'01_丹方主表'!$B$5:$AF$19,21,FALSE)*VLOOKUP(AL49,'04_参数字典'!$A$5:$D$7,4,FALSE)</x:f>
        <x:v>7200</x:v>
      </x:c>
      <x:c r="AK49" s="32" t="n">
        <x:f>AJ49-AI49</x:f>
        <x:v>5825</x:v>
      </x:c>
      <x:c r="AL49" s="29" t="str">
        <x:v>玄</x:v>
      </x:c>
      <x:c r="AM49" s="29" t="str">
        <x:f>VLOOKUP(C49,'01_丹方主表'!$B$5:$AF$19,23,FALSE)</x:f>
        <x:v>lifespan_gain</x:v>
      </x:c>
      <x:c r="AN49" s="33" t="n">
        <x:f>VLOOKUP(C49,'01_丹方主表'!$B$5:$AF$19,24,FALSE)</x:f>
        <x:v>10</x:v>
      </x:c>
      <x:c r="AO49" s="33" t="str">
        <x:f>VLOOKUP(C49,'01_丹方主表'!$B$5:$AF$19,25,FALSE)</x:f>
      </x:c>
      <x:c r="AP49" s="33" t="n">
        <x:f>VLOOKUP(C49,'01_丹方主表'!$B$5:$AF$19,26,FALSE)</x:f>
        <x:v>0</x:v>
      </x:c>
      <x:c r="AQ49" s="29" t="n">
        <x:f>VLOOKUP(C49,'01_丹方主表'!$B$5:$AF$19,22,FALSE)</x:f>
        <x:v>50</x:v>
      </x:c>
      <x:c r="AR49" s="29" t="str">
        <x:f>C49&amp;"|"&amp;G49&amp;"|"&amp;J49&amp;"|"&amp;M49&amp;"|"&amp;P49</x:f>
        <x:v>F-ZJ-15|J-ZJ-15|M-ZJ-SHUI-S|A-ZJ-W|E-ZJ-XIAN-P</x:v>
      </x:c>
      <x:c r="AS49" s="29" t="str">
        <x:f>IF(AND(T49="通过",V49="通过",Y49="通过",AB49="通过",AE49="通过",AH49="通过",AK49&gt;=0),"通过","失败")</x:f>
        <x:v>通过</x:v>
      </x:c>
      <x:c r="AT49" s="16" t="str">
        <x:v>精炼方：高品质材料与药力余量，适合冲击高品丹。</x:v>
      </x:c>
    </x:row>
  </x:sheetData>
  <x:mergeCells>
    <x:mergeCell ref="A1:AT1"/>
    <x:mergeCell ref="A2:AT2"/>
  </x:mergeCells>
  <x:conditionalFormatting sqref="AS5:AS49">
    <x:cfRule type="containsText" dxfId="0" priority="1" operator="containsText" text="失败"/>
  </x:conditionalFormatting>
  <x:dataValidations count="7">
    <x:dataValidation type="list" sqref="E5:E49">
      <x:formula1>"默认,廉价,精炼"</x:formula1>
    </x:dataValidation>
    <x:dataValidation type="list" sqref="F5:F49">
      <x:formula1>"是,否"</x:formula1>
    </x:dataValidation>
    <x:dataValidation type="list" sqref="H5:H49">
      <x:formula1>"凡,灵,玄"</x:formula1>
    </x:dataValidation>
    <x:dataValidation type="list" sqref="K5:K49">
      <x:formula1>"凡,灵,玄"</x:formula1>
    </x:dataValidation>
    <x:dataValidation type="list" sqref="N5:N49">
      <x:formula1>"凡,灵,玄"</x:formula1>
    </x:dataValidation>
    <x:dataValidation type="list" sqref="Q5:Q49">
      <x:formula1>"凡,灵,玄"</x:formula1>
    </x:dataValidation>
    <x:dataValidation type="list" sqref="AL5:AL49">
      <x:formula1>"凡,灵,玄"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8" hidden="0" customWidth="1"/>
    <x:col min="3" max="3" width="16" hidden="0" customWidth="1"/>
    <x:col min="4" max="4" width="9" hidden="0" customWidth="1"/>
    <x:col min="5" max="5" width="10" hidden="0" customWidth="1"/>
    <x:col min="6" max="6" width="22" hidden="0" customWidth="1"/>
    <x:col min="7" max="7" width="9" hidden="0" customWidth="1"/>
    <x:col min="8" max="8" width="9" hidden="0" customWidth="1"/>
    <x:col min="9" max="9" width="9" hidden="0" customWidth="1"/>
    <x:col min="10" max="10" width="8" hidden="0" customWidth="1"/>
    <x:col min="11" max="11" width="12" hidden="0" customWidth="1"/>
    <x:col min="12" max="12" width="14" hidden="0" customWidth="1"/>
    <x:col min="13" max="13" width="12" hidden="0" customWidth="1"/>
    <x:col min="14" max="14" width="16" hidden="0" customWidth="1"/>
    <x:col min="15" max="15" width="12" hidden="0" customWidth="1"/>
    <x:col min="16" max="16" width="16" hidden="0" customWidth="1"/>
    <x:col min="17" max="17" width="22" hidden="0" customWidth="1"/>
    <x:col min="18" max="18" width="16" hidden="0" customWidth="1"/>
    <x:col min="19" max="19" width="46" hidden="0" customWidth="1"/>
    <x:col min="20" max="20" width="58" hidden="0" customWidth="1"/>
  </x:cols>
  <x:sheetData>
    <x:row r="1" ht="30" customHeight="1">
      <x:c r="A1" s="3" t="str">
        <x:v>筑基灵植表｜48株，一行一物种，两类说明分列</x:v>
      </x:c>
      <x:c r="B1" s="3" t="str">
        <x:v>筑基灵植表｜48株，一行一物种</x:v>
      </x:c>
      <x:c r="C1" s="3" t="str">
        <x:v>筑基灵植表｜48株，一行一物种</x:v>
      </x:c>
      <x:c r="D1" s="3" t="str">
        <x:v>筑基灵植表｜48株，一行一物种</x:v>
      </x:c>
      <x:c r="E1" s="3" t="str">
        <x:v>筑基灵植表｜48株，一行一物种</x:v>
      </x:c>
      <x:c r="F1" s="3" t="str">
        <x:v>筑基灵植表｜48株，一行一物种</x:v>
      </x:c>
      <x:c r="G1" s="3" t="str">
        <x:v>筑基灵植表｜48株，一行一物种</x:v>
      </x:c>
      <x:c r="H1" s="3" t="str">
        <x:v>筑基灵植表｜48株，一行一物种</x:v>
      </x:c>
      <x:c r="I1" s="3" t="str">
        <x:v>筑基灵植表｜48株，一行一物种</x:v>
      </x:c>
      <x:c r="J1" s="3" t="str">
        <x:v>筑基灵植表｜48株，一行一物种</x:v>
      </x:c>
      <x:c r="K1" s="3" t="str">
        <x:v>筑基灵植表｜48株，一行一物种</x:v>
      </x:c>
      <x:c r="L1" s="3" t="str">
        <x:v>筑基灵植表｜48株，一行一物种</x:v>
      </x:c>
      <x:c r="M1" s="3" t="str">
        <x:v>筑基灵植表｜48株，一行一物种</x:v>
      </x:c>
      <x:c r="N1" s="3" t="str">
        <x:v>筑基灵植表｜48株，一行一物种</x:v>
      </x:c>
      <x:c r="O1" s="3" t="str">
        <x:v>筑基灵植表｜48株，一行一物种</x:v>
      </x:c>
      <x:c r="P1" s="3" t="str">
        <x:v>筑基灵植表｜48株，一行一物种</x:v>
      </x:c>
      <x:c r="Q1" s="3" t="str">
        <x:v>筑基灵植表｜48株，一行一物种</x:v>
      </x:c>
      <x:c r="R1" s="3" t="str">
        <x:v>筑基灵植表｜48株，一行一物种</x:v>
      </x:c>
      <x:c r="S1" s="3" t="str">
        <x:v>筑基灵植表｜48株，一行一物种</x:v>
      </x:c>
    </x:row>
    <x:row r="2" ht="25" customHeight="1">
      <x:c r="A2" s="7" t="str">
        <x:v>本体描述回答‘它在世界里是什么样’；炼丹药性说明回答‘它进丹炉后凭什么、主什么、干什么’</x:v>
      </x:c>
      <x:c r="B2" s="7" t="str">
        <x:v>君13＋臣15＋佐5＋使15；分类没有的属性明确留空，不给玩家无效字段</x:v>
      </x:c>
      <x:c r="C2" s="7" t="str">
        <x:v>君13＋臣15＋佐5＋使15；分类没有的属性明确留空，不给玩家无效字段</x:v>
      </x:c>
      <x:c r="D2" s="7" t="str">
        <x:v>君13＋臣15＋佐5＋使15；分类没有的属性明确留空，不给玩家无效字段</x:v>
      </x:c>
      <x:c r="E2" s="7" t="str">
        <x:v>君13＋臣15＋佐5＋使15；分类没有的属性明确留空，不给玩家无效字段</x:v>
      </x:c>
      <x:c r="F2" s="7" t="str">
        <x:v>君13＋臣15＋佐5＋使15；分类没有的属性明确留空，不给玩家无效字段</x:v>
      </x:c>
      <x:c r="G2" s="7" t="str">
        <x:v>君13＋臣15＋佐5＋使15；分类没有的属性明确留空，不给玩家无效字段</x:v>
      </x:c>
      <x:c r="H2" s="7" t="str">
        <x:v>君13＋臣15＋佐5＋使15；分类没有的属性明确留空，不给玩家无效字段</x:v>
      </x:c>
      <x:c r="I2" s="7" t="str">
        <x:v>君13＋臣15＋佐5＋使15；分类没有的属性明确留空，不给玩家无效字段</x:v>
      </x:c>
      <x:c r="J2" s="7" t="str">
        <x:v>君13＋臣15＋佐5＋使15；分类没有的属性明确留空，不给玩家无效字段</x:v>
      </x:c>
      <x:c r="K2" s="7" t="str">
        <x:v>君13＋臣15＋佐5＋使15；分类没有的属性明确留空，不给玩家无效字段</x:v>
      </x:c>
      <x:c r="L2" s="7" t="str">
        <x:v>君13＋臣15＋佐5＋使15；分类没有的属性明确留空，不给玩家无效字段</x:v>
      </x:c>
      <x:c r="M2" s="7" t="str">
        <x:v>君13＋臣15＋佐5＋使15；分类没有的属性明确留空，不给玩家无效字段</x:v>
      </x:c>
      <x:c r="N2" s="7" t="str">
        <x:v>君13＋臣15＋佐5＋使15；分类没有的属性明确留空，不给玩家无效字段</x:v>
      </x:c>
      <x:c r="O2" s="7" t="str">
        <x:v>君13＋臣15＋佐5＋使15；分类没有的属性明确留空，不给玩家无效字段</x:v>
      </x:c>
      <x:c r="P2" s="7" t="str">
        <x:v>君13＋臣15＋佐5＋使15；分类没有的属性明确留空，不给玩家无效字段</x:v>
      </x:c>
      <x:c r="Q2" s="7" t="str">
        <x:v>君13＋臣15＋佐5＋使15；分类没有的属性明确留空，不给玩家无效字段</x:v>
      </x:c>
      <x:c r="R2" s="7" t="str">
        <x:v>君13＋臣15＋佐5＋使15；分类没有的属性明确留空，不给玩家无效字段</x:v>
      </x:c>
      <x:c r="S2" s="7" t="str">
        <x:v>君13＋臣15＋佐5＋使15；分类没有的属性明确留空，不给玩家无效字段</x:v>
      </x:c>
    </x:row>
    <x:row r="4">
      <x:c r="A4" s="12" t="str">
        <x:v>序号</x:v>
      </x:c>
      <x:c r="B4" s="12" t="str">
        <x:v>灵植ID</x:v>
      </x:c>
      <x:c r="C4" s="12" t="str">
        <x:v>名称</x:v>
      </x:c>
      <x:c r="D4" s="12" t="str">
        <x:v>分类</x:v>
      </x:c>
      <x:c r="E4" s="12" t="str">
        <x:v>境界</x:v>
      </x:c>
      <x:c r="F4" s="12" t="str">
        <x:v>丹核ID/释义</x:v>
      </x:c>
      <x:c r="G4" s="12" t="str">
        <x:v>五行</x:v>
      </x:c>
      <x:c r="H4" s="12" t="str">
        <x:v>五味</x:v>
      </x:c>
      <x:c r="I4" s="12" t="str">
        <x:v>药性</x:v>
      </x:c>
      <x:c r="J4" s="12" t="str">
        <x:v>性值</x:v>
      </x:c>
      <x:c r="K4" s="12" t="str">
        <x:v>基础药力</x:v>
      </x:c>
      <x:c r="L4" s="12" t="str">
        <x:v>内部经济档</x:v>
      </x:c>
      <x:c r="M4" s="12" t="str">
        <x:v>基础价格</x:v>
      </x:c>
      <x:c r="N4" s="12" t="str">
        <x:v>品质范围</x:v>
      </x:c>
      <x:c r="O4" s="12" t="str">
        <x:v>稀有度</x:v>
      </x:c>
      <x:c r="P4" s="12" t="str">
        <x:v>产区ID</x:v>
      </x:c>
      <x:c r="Q4" s="12" t="str">
        <x:v>微生境</x:v>
      </x:c>
      <x:c r="R4" s="12" t="str">
        <x:v>获取方式</x:v>
      </x:c>
      <x:c r="S4" s="12" t="str">
        <x:v>灵植本体描述</x:v>
      </x:c>
      <x:c r="T4" s="34" t="str">
        <x:v>炼丹药性说明</x:v>
      </x:c>
    </x:row>
    <x:row r="5" ht="54" customHeight="1">
      <x:c r="A5" s="23" t="n">
        <x:v>1</x:v>
      </x:c>
      <x:c r="B5" s="23" t="str">
        <x:v>J-ZJ-01</x:v>
      </x:c>
      <x:c r="C5" s="23" t="str">
        <x:v>聚元芝</x:v>
      </x:c>
      <x:c r="D5" s="23" t="str">
        <x:v>君</x:v>
      </x:c>
      <x:c r="E5" s="23" t="str">
        <x:v>筑基</x:v>
      </x:c>
      <x:c r="F5" s="23" t="str">
        <x:v>修为（土·甘）</x:v>
      </x:c>
      <x:c r="G5" s="23" t="str"/>
      <x:c r="H5" s="23" t="str"/>
      <x:c r="I5" s="23" t="str">
        <x:v>平</x:v>
      </x:c>
      <x:c r="J5" s="23" t="n">
        <x:v>0</x:v>
      </x:c>
      <x:c r="K5" s="25" t="n">
        <x:v>3</x:v>
      </x:c>
      <x:c r="L5" s="25" t="str">
        <x:v>—</x:v>
      </x:c>
      <x:c r="M5" s="25" t="n">
        <x:v>20</x:v>
      </x:c>
      <x:c r="N5" s="23" t="str">
        <x:v>凡/灵/玄</x:v>
      </x:c>
      <x:c r="O5" s="23" t="str">
        <x:v>较稀有</x:v>
      </x:c>
      <x:c r="P5" s="23" t="str">
        <x:v>R-ZJ-01</x:v>
      </x:c>
      <x:c r="Q5" s="23" t="str">
        <x:v>谷地灵壤</x:v>
      </x:c>
      <x:c r="R5" s="23" t="str">
        <x:v>采集</x:v>
      </x:c>
      <x:c r="S5" s="40" t="str">
        <x:v>生于谷地灵壤，菌盖厚圆，暗纹层层如聚拢的土轮；成熟时根部会把四周浮散灵气缓缓收拢，须连同一圈宿土整株采下。</x:v>
      </x:c>
      <x:c r="T5" s="41" t="str">
        <x:v>君材，丹核为“修为”；此材本身无行无味，入炉先定此炉所成之丹。性平，单份药力3；丹方所需土行由臣材补定，甘味由使材引归，四材共同计算方性与总药力。</x:v>
      </x:c>
    </x:row>
    <x:row r="6" ht="54" customHeight="1">
      <x:c r="A6" s="23" t="n">
        <x:v>2</x:v>
      </x:c>
      <x:c r="B6" s="23" t="str">
        <x:v>J-ZJ-02</x:v>
      </x:c>
      <x:c r="C6" s="23" t="str">
        <x:v>涌泉参</x:v>
      </x:c>
      <x:c r="D6" s="23" t="str">
        <x:v>君</x:v>
      </x:c>
      <x:c r="E6" s="23" t="str">
        <x:v>筑基</x:v>
      </x:c>
      <x:c r="F6" s="23" t="str">
        <x:v>回灵（水·辛）</x:v>
      </x:c>
      <x:c r="G6" s="23" t="str"/>
      <x:c r="H6" s="23" t="str"/>
      <x:c r="I6" s="23" t="str">
        <x:v>温</x:v>
      </x:c>
      <x:c r="J6" s="23" t="n">
        <x:v>1</x:v>
      </x:c>
      <x:c r="K6" s="25" t="n">
        <x:v>3</x:v>
      </x:c>
      <x:c r="L6" s="25" t="str">
        <x:v>—</x:v>
      </x:c>
      <x:c r="M6" s="25" t="n">
        <x:v>18</x:v>
      </x:c>
      <x:c r="N6" s="23" t="str">
        <x:v>凡/灵/玄</x:v>
      </x:c>
      <x:c r="O6" s="23" t="str">
        <x:v>较稀有</x:v>
      </x:c>
      <x:c r="P6" s="23" t="str">
        <x:v>R-ZJ-02</x:v>
      </x:c>
      <x:c r="Q6" s="23" t="str">
        <x:v>泉眼湿土</x:v>
      </x:c>
      <x:c r="R6" s="23" t="str">
        <x:v>采集</x:v>
      </x:c>
      <x:c r="S6" s="40" t="str">
        <x:v>生于泉眼湿土，根体半透，节间常有清液涌动；离土后仍会渗出细小水珠，鲜采者以玉匣封存。</x:v>
      </x:c>
      <x:c r="T6" s="41" t="str">
        <x:v>君材，丹核为“回灵”；此材本身无行无味，入炉先定此炉所成之丹。性温，单份药力3；丹方所需水行由臣材补定，辛味由使材引归，四材共同计算方性与总药力。</x:v>
      </x:c>
    </x:row>
    <x:row r="7" ht="54" customHeight="1">
      <x:c r="A7" s="23" t="n">
        <x:v>3</x:v>
      </x:c>
      <x:c r="B7" s="23" t="str">
        <x:v>J-ZJ-04</x:v>
      </x:c>
      <x:c r="C7" s="23" t="str">
        <x:v>抽芽草</x:v>
      </x:c>
      <x:c r="D7" s="23" t="str">
        <x:v>君</x:v>
      </x:c>
      <x:c r="E7" s="23" t="str">
        <x:v>筑基</x:v>
      </x:c>
      <x:c r="F7" s="23" t="str">
        <x:v>小破（木·甘）</x:v>
      </x:c>
      <x:c r="G7" s="23" t="str"/>
      <x:c r="H7" s="23" t="str"/>
      <x:c r="I7" s="23" t="str">
        <x:v>温</x:v>
      </x:c>
      <x:c r="J7" s="23" t="n">
        <x:v>1</x:v>
      </x:c>
      <x:c r="K7" s="25" t="n">
        <x:v>3</x:v>
      </x:c>
      <x:c r="L7" s="25" t="str">
        <x:v>—</x:v>
      </x:c>
      <x:c r="M7" s="25" t="n">
        <x:v>35</x:v>
      </x:c>
      <x:c r="N7" s="23" t="str">
        <x:v>凡/灵/玄</x:v>
      </x:c>
      <x:c r="O7" s="23" t="str">
        <x:v>稀有</x:v>
      </x:c>
      <x:c r="P7" s="23" t="str">
        <x:v>R-ZJ-03</x:v>
      </x:c>
      <x:c r="Q7" s="23" t="str">
        <x:v>春雷坡</x:v>
      </x:c>
      <x:c r="R7" s="23" t="str">
        <x:v>采集</x:v>
      </x:c>
      <x:c r="S7" s="40" t="str">
        <x:v>长在春雷坡背风处，叶尖每逢雷动便抽出一节新芽；植株细小却生机极盛，采摘时不可折损最内层嫩芽。</x:v>
      </x:c>
      <x:c r="T7" s="41" t="str">
        <x:v>君材，丹核为“小破”；此材本身无行无味，入炉先定此炉所成之丹。性温，单份药力3；丹方所需木行由臣材补定，甘味由使材引归，四材共同计算方性与总药力。</x:v>
      </x:c>
    </x:row>
    <x:row r="8" ht="54" customHeight="1">
      <x:c r="A8" s="23" t="n">
        <x:v>4</x:v>
      </x:c>
      <x:c r="B8" s="23" t="str">
        <x:v>J-ZJ-05</x:v>
      </x:c>
      <x:c r="C8" s="23" t="str">
        <x:v>破关莲</x:v>
      </x:c>
      <x:c r="D8" s="23" t="str">
        <x:v>君</x:v>
      </x:c>
      <x:c r="E8" s="23" t="str">
        <x:v>筑基</x:v>
      </x:c>
      <x:c r="F8" s="23" t="str">
        <x:v>大破（木·甘）</x:v>
      </x:c>
      <x:c r="G8" s="23" t="str"/>
      <x:c r="H8" s="23" t="str"/>
      <x:c r="I8" s="23" t="str">
        <x:v>热</x:v>
      </x:c>
      <x:c r="J8" s="23" t="n">
        <x:v>2</x:v>
      </x:c>
      <x:c r="K8" s="25" t="n">
        <x:v>3</x:v>
      </x:c>
      <x:c r="L8" s="25" t="str">
        <x:v>—</x:v>
      </x:c>
      <x:c r="M8" s="25" t="n">
        <x:v>60</x:v>
      </x:c>
      <x:c r="N8" s="23" t="str">
        <x:v>凡/灵/玄</x:v>
      </x:c>
      <x:c r="O8" s="23" t="str">
        <x:v>珍稀</x:v>
      </x:c>
      <x:c r="P8" s="23" t="str">
        <x:v>R-ZJ-04</x:v>
      </x:c>
      <x:c r="Q8" s="23" t="str">
        <x:v>断层灵池</x:v>
      </x:c>
      <x:c r="R8" s="23" t="str">
        <x:v>守护采集</x:v>
      </x:c>
      <x:c r="S8" s="40" t="str">
        <x:v>浮生于断层灵池，莲瓣合若重门，盛放时层层向外崩开；花期极短，池中常有异兽守候，故多由守护采集取得。</x:v>
      </x:c>
      <x:c r="T8" s="41" t="str">
        <x:v>君材，丹核为“大破”；此材本身无行无味，入炉先定此炉所成之丹。性热，单份药力3；丹方所需木行由臣材补定，甘味由使材引归，四材共同计算方性与总药力。</x:v>
      </x:c>
    </x:row>
    <x:row r="9" ht="54" customHeight="1">
      <x:c r="A9" s="23" t="n">
        <x:v>5</x:v>
      </x:c>
      <x:c r="B9" s="23" t="str">
        <x:v>J-ZJ-06</x:v>
      </x:c>
      <x:c r="C9" s="23" t="str">
        <x:v>续断芝</x:v>
      </x:c>
      <x:c r="D9" s="23" t="str">
        <x:v>君</x:v>
      </x:c>
      <x:c r="E9" s="23" t="str">
        <x:v>筑基</x:v>
      </x:c>
      <x:c r="F9" s="23" t="str">
        <x:v>疗伤（木·酸）</x:v>
      </x:c>
      <x:c r="G9" s="23" t="str"/>
      <x:c r="H9" s="23" t="str"/>
      <x:c r="I9" s="23" t="str">
        <x:v>平</x:v>
      </x:c>
      <x:c r="J9" s="23" t="n">
        <x:v>0</x:v>
      </x:c>
      <x:c r="K9" s="25" t="n">
        <x:v>3</x:v>
      </x:c>
      <x:c r="L9" s="25" t="str">
        <x:v>—</x:v>
      </x:c>
      <x:c r="M9" s="25" t="n">
        <x:v>20</x:v>
      </x:c>
      <x:c r="N9" s="23" t="str">
        <x:v>凡/灵/玄</x:v>
      </x:c>
      <x:c r="O9" s="23" t="str">
        <x:v>较稀有</x:v>
      </x:c>
      <x:c r="P9" s="23" t="str">
        <x:v>R-ZJ-05</x:v>
      </x:c>
      <x:c r="Q9" s="23" t="str">
        <x:v>林下腐木</x:v>
      </x:c>
      <x:c r="R9" s="23" t="str">
        <x:v>采集</x:v>
      </x:c>
      <x:c r="S9" s="40" t="str">
        <x:v>附生林下腐木，菌丝会沿木材裂处重新缝合生长；伞缘乳白而富韧性，完整揭取时可见细丝不断。</x:v>
      </x:c>
      <x:c r="T9" s="41" t="str">
        <x:v>君材，丹核为“疗伤”；此材本身无行无味，入炉先定此炉所成之丹。性平，单份药力3；丹方所需木行由臣材补定，酸味由使材引归，四材共同计算方性与总药力。</x:v>
      </x:c>
    </x:row>
    <x:row r="10" ht="54" customHeight="1">
      <x:c r="A10" s="23" t="n">
        <x:v>6</x:v>
      </x:c>
      <x:c r="B10" s="23" t="str">
        <x:v>J-ZJ-08</x:v>
      </x:c>
      <x:c r="C10" s="23" t="str">
        <x:v>澄泥草</x:v>
      </x:c>
      <x:c r="D10" s="23" t="str">
        <x:v>君</x:v>
      </x:c>
      <x:c r="E10" s="23" t="str">
        <x:v>筑基</x:v>
      </x:c>
      <x:c r="F10" s="23" t="str">
        <x:v>修毒（金·甘）</x:v>
      </x:c>
      <x:c r="G10" s="23" t="str"/>
      <x:c r="H10" s="23" t="str"/>
      <x:c r="I10" s="23" t="str">
        <x:v>凉</x:v>
      </x:c>
      <x:c r="J10" s="23" t="n">
        <x:v>-1</x:v>
      </x:c>
      <x:c r="K10" s="25" t="n">
        <x:v>3</x:v>
      </x:c>
      <x:c r="L10" s="25" t="str">
        <x:v>—</x:v>
      </x:c>
      <x:c r="M10" s="25" t="n">
        <x:v>40</x:v>
      </x:c>
      <x:c r="N10" s="23" t="str">
        <x:v>凡/灵/玄</x:v>
      </x:c>
      <x:c r="O10" s="23" t="str">
        <x:v>稀有</x:v>
      </x:c>
      <x:c r="P10" s="23" t="str">
        <x:v>R-ZJ-06</x:v>
      </x:c>
      <x:c r="Q10" s="23" t="str">
        <x:v>沉淀泥湾</x:v>
      </x:c>
      <x:c r="R10" s="23" t="str">
        <x:v>采集</x:v>
      </x:c>
      <x:c r="S10" s="40" t="str">
        <x:v>生于沉淀泥湾，叶面覆有一层澄亮薄膜，能使浑水在其周围分层沉清；采后须反复净泥，保留完整根须。</x:v>
      </x:c>
      <x:c r="T10" s="41" t="str">
        <x:v>君材，丹核为“修毒”；此材本身无行无味，入炉先定此炉所成之丹。性凉，单份药力3；丹方所需金行由臣材补定，甘味由使材引归，四材共同计算方性与总药力。</x:v>
      </x:c>
    </x:row>
    <x:row r="11" ht="54" customHeight="1">
      <x:c r="A11" s="23" t="n">
        <x:v>7</x:v>
      </x:c>
      <x:c r="B11" s="23" t="str">
        <x:v>J-ZJ-09</x:v>
      </x:c>
      <x:c r="C11" s="23" t="str">
        <x:v>磐骨薯</x:v>
      </x:c>
      <x:c r="D11" s="23" t="str">
        <x:v>君</x:v>
      </x:c>
      <x:c r="E11" s="23" t="str">
        <x:v>筑基</x:v>
      </x:c>
      <x:c r="F11" s="23" t="str">
        <x:v>固本（土·咸）</x:v>
      </x:c>
      <x:c r="G11" s="23" t="str"/>
      <x:c r="H11" s="23" t="str"/>
      <x:c r="I11" s="23" t="str">
        <x:v>温</x:v>
      </x:c>
      <x:c r="J11" s="23" t="n">
        <x:v>1</x:v>
      </x:c>
      <x:c r="K11" s="25" t="n">
        <x:v>3</x:v>
      </x:c>
      <x:c r="L11" s="25" t="str">
        <x:v>—</x:v>
      </x:c>
      <x:c r="M11" s="25" t="n">
        <x:v>50</x:v>
      </x:c>
      <x:c r="N11" s="23" t="str">
        <x:v>凡/灵/玄</x:v>
      </x:c>
      <x:c r="O11" s="23" t="str">
        <x:v>珍稀</x:v>
      </x:c>
      <x:c r="P11" s="23" t="str">
        <x:v>R-ZJ-07</x:v>
      </x:c>
      <x:c r="Q11" s="23" t="str">
        <x:v>石骨层</x:v>
      </x:c>
      <x:c r="R11" s="23" t="str">
        <x:v>采挖</x:v>
      </x:c>
      <x:c r="S11" s="40" t="str">
        <x:v>深埋石骨层，块根坚沉，表皮有岩纹，敲击声近似玉石；采挖时须避开主根裂纹，否则灵性迅速散失。</x:v>
      </x:c>
      <x:c r="T11" s="41" t="str">
        <x:v>君材，丹核为“固本”；此材本身无行无味，入炉先定此炉所成之丹。性温，单份药力3；丹方所需土行由臣材补定，咸味由使材引归，四材共同计算方性与总药力。</x:v>
      </x:c>
    </x:row>
    <x:row r="12" ht="54" customHeight="1">
      <x:c r="A12" s="23" t="n">
        <x:v>8</x:v>
      </x:c>
      <x:c r="B12" s="23" t="str">
        <x:v>J-ZJ-10</x:v>
      </x:c>
      <x:c r="C12" s="23" t="str">
        <x:v>安神芝</x:v>
      </x:c>
      <x:c r="D12" s="23" t="str">
        <x:v>君</x:v>
      </x:c>
      <x:c r="E12" s="23" t="str">
        <x:v>筑基</x:v>
      </x:c>
      <x:c r="F12" s="23" t="str">
        <x:v>养神（土·苦）</x:v>
      </x:c>
      <x:c r="G12" s="23" t="str"/>
      <x:c r="H12" s="23" t="str"/>
      <x:c r="I12" s="23" t="str">
        <x:v>平</x:v>
      </x:c>
      <x:c r="J12" s="23" t="n">
        <x:v>0</x:v>
      </x:c>
      <x:c r="K12" s="25" t="n">
        <x:v>3</x:v>
      </x:c>
      <x:c r="L12" s="25" t="str">
        <x:v>—</x:v>
      </x:c>
      <x:c r="M12" s="25" t="n">
        <x:v>50</x:v>
      </x:c>
      <x:c r="N12" s="23" t="str">
        <x:v>凡/灵/玄</x:v>
      </x:c>
      <x:c r="O12" s="23" t="str">
        <x:v>珍稀</x:v>
      </x:c>
      <x:c r="P12" s="23" t="str">
        <x:v>R-ZJ-08</x:v>
      </x:c>
      <x:c r="Q12" s="23" t="str">
        <x:v>幽静古木</x:v>
      </x:c>
      <x:c r="R12" s="23" t="str">
        <x:v>采集</x:v>
      </x:c>
      <x:c r="S12" s="40" t="str">
        <x:v>生于幽静古木阴面，菌盖柔暗，夜间会散出极淡清香；周遭虫鸣靠近后渐息，常以薄刃贴木取下。</x:v>
      </x:c>
      <x:c r="T12" s="41" t="str">
        <x:v>君材，丹核为“养神”；此材本身无行无味，入炉先定此炉所成之丹。性平，单份药力3；丹方所需土行由臣材补定，苦味由使材引归，四材共同计算方性与总药力。</x:v>
      </x:c>
    </x:row>
    <x:row r="13" ht="54" customHeight="1">
      <x:c r="A13" s="23" t="n">
        <x:v>9</x:v>
      </x:c>
      <x:c r="B13" s="23" t="str">
        <x:v>J-ZJ-11</x:v>
      </x:c>
      <x:c r="C13" s="23" t="str">
        <x:v>烈阳花</x:v>
      </x:c>
      <x:c r="D13" s="23" t="str">
        <x:v>君</x:v>
      </x:c>
      <x:c r="E13" s="23" t="str">
        <x:v>筑基</x:v>
      </x:c>
      <x:c r="F13" s="23" t="str">
        <x:v>爆发（火·辛）</x:v>
      </x:c>
      <x:c r="G13" s="23" t="str"/>
      <x:c r="H13" s="23" t="str"/>
      <x:c r="I13" s="23" t="str">
        <x:v>热</x:v>
      </x:c>
      <x:c r="J13" s="23" t="n">
        <x:v>2</x:v>
      </x:c>
      <x:c r="K13" s="25" t="n">
        <x:v>3</x:v>
      </x:c>
      <x:c r="L13" s="25" t="str">
        <x:v>—</x:v>
      </x:c>
      <x:c r="M13" s="25" t="n">
        <x:v>30</x:v>
      </x:c>
      <x:c r="N13" s="23" t="str">
        <x:v>凡/灵/玄</x:v>
      </x:c>
      <x:c r="O13" s="23" t="str">
        <x:v>稀有</x:v>
      </x:c>
      <x:c r="P13" s="23" t="str">
        <x:v>R-ZJ-09</x:v>
      </x:c>
      <x:c r="Q13" s="23" t="str">
        <x:v>向阳火坡</x:v>
      </x:c>
      <x:c r="R13" s="23" t="str">
        <x:v>采集</x:v>
      </x:c>
      <x:c r="S13" s="40" t="str">
        <x:v>长在向阳火坡，花心常带赤金微光，正午开放最盛；摘下后余温经久不散，需以隔火叶包裹。</x:v>
      </x:c>
      <x:c r="T13" s="41" t="str">
        <x:v>君材，丹核为“爆发”；此材本身无行无味，入炉先定此炉所成之丹。性热，单份药力3；丹方所需火行由臣材补定，辛味由使材引归，四材共同计算方性与总药力。</x:v>
      </x:c>
    </x:row>
    <x:row r="14" ht="54" customHeight="1">
      <x:c r="A14" s="23" t="n">
        <x:v>10</x:v>
      </x:c>
      <x:c r="B14" s="23" t="str">
        <x:v>J-ZJ-12</x:v>
      </x:c>
      <x:c r="C14" s="23" t="str">
        <x:v>铁甲藓</x:v>
      </x:c>
      <x:c r="D14" s="23" t="str">
        <x:v>君</x:v>
      </x:c>
      <x:c r="E14" s="23" t="str">
        <x:v>筑基</x:v>
      </x:c>
      <x:c r="F14" s="23" t="str">
        <x:v>抗性（金·辛）</x:v>
      </x:c>
      <x:c r="G14" s="23" t="str"/>
      <x:c r="H14" s="23" t="str"/>
      <x:c r="I14" s="23" t="str">
        <x:v>凉</x:v>
      </x:c>
      <x:c r="J14" s="23" t="n">
        <x:v>-1</x:v>
      </x:c>
      <x:c r="K14" s="25" t="n">
        <x:v>3</x:v>
      </x:c>
      <x:c r="L14" s="25" t="str">
        <x:v>—</x:v>
      </x:c>
      <x:c r="M14" s="25" t="n">
        <x:v>30</x:v>
      </x:c>
      <x:c r="N14" s="23" t="str">
        <x:v>凡/灵/玄</x:v>
      </x:c>
      <x:c r="O14" s="23" t="str">
        <x:v>稀有</x:v>
      </x:c>
      <x:c r="P14" s="23" t="str">
        <x:v>R-ZJ-10</x:v>
      </x:c>
      <x:c r="Q14" s="23" t="str">
        <x:v>铁矿岩壁</x:v>
      </x:c>
      <x:c r="R14" s="23" t="str">
        <x:v>采集</x:v>
      </x:c>
      <x:c r="S14" s="40" t="str">
        <x:v>贴生铁矿岩壁，叶片层叠如细小甲鳞，受击时会迅速收紧；采集须从石缝下整片铲起，碎叶价值大减。</x:v>
      </x:c>
      <x:c r="T14" s="41" t="str">
        <x:v>君材，丹核为“抗性”；此材本身无行无味，入炉先定此炉所成之丹。性凉，单份药力3；丹方所需金行由臣材补定，辛味由使材引归，四材共同计算方性与总药力。</x:v>
      </x:c>
    </x:row>
    <x:row r="15" ht="54" customHeight="1">
      <x:c r="A15" s="23" t="n">
        <x:v>11</x:v>
      </x:c>
      <x:c r="B15" s="23" t="str">
        <x:v>J-ZJ-13</x:v>
      </x:c>
      <x:c r="C15" s="23" t="str">
        <x:v>疾风藤</x:v>
      </x:c>
      <x:c r="D15" s="23" t="str">
        <x:v>君</x:v>
      </x:c>
      <x:c r="E15" s="23" t="str">
        <x:v>筑基</x:v>
      </x:c>
      <x:c r="F15" s="23" t="str">
        <x:v>行遁（木·辛）</x:v>
      </x:c>
      <x:c r="G15" s="23" t="str"/>
      <x:c r="H15" s="23" t="str"/>
      <x:c r="I15" s="23" t="str">
        <x:v>温</x:v>
      </x:c>
      <x:c r="J15" s="23" t="n">
        <x:v>1</x:v>
      </x:c>
      <x:c r="K15" s="25" t="n">
        <x:v>3</x:v>
      </x:c>
      <x:c r="L15" s="25" t="str">
        <x:v>—</x:v>
      </x:c>
      <x:c r="M15" s="25" t="n">
        <x:v>25</x:v>
      </x:c>
      <x:c r="N15" s="23" t="str">
        <x:v>凡/灵/玄</x:v>
      </x:c>
      <x:c r="O15" s="23" t="str">
        <x:v>稀有</x:v>
      </x:c>
      <x:c r="P15" s="23" t="str">
        <x:v>R-ZJ-11</x:v>
      </x:c>
      <x:c r="Q15" s="23" t="str">
        <x:v>高崖风口</x:v>
      </x:c>
      <x:c r="R15" s="23" t="str">
        <x:v>采集</x:v>
      </x:c>
      <x:c r="S15" s="40" t="str">
        <x:v>攀附高崖风口，藤身轻韧，强风中仍能顺势疾摆而不断；成熟藤节会发出低哨声，采时需先固定根蔓。</x:v>
      </x:c>
      <x:c r="T15" s="41" t="str">
        <x:v>君材，丹核为“行遁”；此材本身无行无味，入炉先定此炉所成之丹。性温，单份药力3；丹方所需木行由臣材补定，辛味由使材引归，四材共同计算方性与总药力。</x:v>
      </x:c>
    </x:row>
    <x:row r="16" ht="54" customHeight="1">
      <x:c r="A16" s="23" t="n">
        <x:v>12</x:v>
      </x:c>
      <x:c r="B16" s="23" t="str">
        <x:v>J-ZJ-14</x:v>
      </x:c>
      <x:c r="C16" s="23" t="str">
        <x:v>明目菌</x:v>
      </x:c>
      <x:c r="D16" s="23" t="str">
        <x:v>君</x:v>
      </x:c>
      <x:c r="E16" s="23" t="str">
        <x:v>筑基</x:v>
      </x:c>
      <x:c r="F16" s="23" t="str">
        <x:v>感知（火·苦）</x:v>
      </x:c>
      <x:c r="G16" s="23" t="str"/>
      <x:c r="H16" s="23" t="str"/>
      <x:c r="I16" s="23" t="str">
        <x:v>温</x:v>
      </x:c>
      <x:c r="J16" s="23" t="n">
        <x:v>1</x:v>
      </x:c>
      <x:c r="K16" s="25" t="n">
        <x:v>3</x:v>
      </x:c>
      <x:c r="L16" s="25" t="str">
        <x:v>—</x:v>
      </x:c>
      <x:c r="M16" s="25" t="n">
        <x:v>30</x:v>
      </x:c>
      <x:c r="N16" s="23" t="str">
        <x:v>凡/灵/玄</x:v>
      </x:c>
      <x:c r="O16" s="23" t="str">
        <x:v>稀有</x:v>
      </x:c>
      <x:c r="P16" s="23" t="str">
        <x:v>R-ZJ-12</x:v>
      </x:c>
      <x:c r="Q16" s="23" t="str">
        <x:v>夜光洞穴</x:v>
      </x:c>
      <x:c r="R16" s="23" t="str">
        <x:v>采集</x:v>
      </x:c>
      <x:c r="S16" s="40" t="str">
        <x:v>生于夜光洞穴，菌盖中央有一圈银亮眼纹，黑暗中随动静明灭；宜在闭光状态下采集，以免纹光消退。</x:v>
      </x:c>
      <x:c r="T16" s="41" t="str">
        <x:v>君材，丹核为“感知”；此材本身无行无味，入炉先定此炉所成之丹。性温，单份药力3；丹方所需火行由臣材补定，苦味由使材引归，四材共同计算方性与总药力。</x:v>
      </x:c>
    </x:row>
    <x:row r="17" ht="54" customHeight="1">
      <x:c r="A17" s="23" t="n">
        <x:v>13</x:v>
      </x:c>
      <x:c r="B17" s="23" t="str">
        <x:v>J-ZJ-15</x:v>
      </x:c>
      <x:c r="C17" s="23" t="str">
        <x:v>龟纹苔</x:v>
      </x:c>
      <x:c r="D17" s="23" t="str">
        <x:v>君</x:v>
      </x:c>
      <x:c r="E17" s="23" t="str">
        <x:v>筑基</x:v>
      </x:c>
      <x:c r="F17" s="23" t="str">
        <x:v>延寿（水·咸）</x:v>
      </x:c>
      <x:c r="G17" s="23" t="str"/>
      <x:c r="H17" s="23" t="str"/>
      <x:c r="I17" s="23" t="str">
        <x:v>平</x:v>
      </x:c>
      <x:c r="J17" s="23" t="n">
        <x:v>0</x:v>
      </x:c>
      <x:c r="K17" s="25" t="n">
        <x:v>3</x:v>
      </x:c>
      <x:c r="L17" s="25" t="str">
        <x:v>—</x:v>
      </x:c>
      <x:c r="M17" s="25" t="n">
        <x:v>120</x:v>
      </x:c>
      <x:c r="N17" s="23" t="str">
        <x:v>凡/灵/玄</x:v>
      </x:c>
      <x:c r="O17" s="23" t="str">
        <x:v>极稀有</x:v>
      </x:c>
      <x:c r="P17" s="23" t="str">
        <x:v>R-ZJ-13</x:v>
      </x:c>
      <x:c r="Q17" s="23" t="str">
        <x:v>古泉龟石</x:v>
      </x:c>
      <x:c r="R17" s="23" t="str">
        <x:v>秘境采集</x:v>
      </x:c>
      <x:c r="S17" s="40" t="str">
        <x:v>伏生古泉龟石，苔纹缓慢扩成龟甲状，一寸往往需数十年；质地温润而含水不腐，只在秘境老泉中偶见。</x:v>
      </x:c>
      <x:c r="T17" s="41" t="str">
        <x:v>君材，丹核为“延寿”；此材本身无行无味，入炉先定此炉所成之丹。性平，单份药力3；丹方所需水行由臣材补定，咸味由使材引归，四材共同计算方性与总药力。</x:v>
      </x:c>
    </x:row>
    <x:row r="18" ht="54" customHeight="1">
      <x:c r="A18" s="17" t="n">
        <x:v>14</x:v>
      </x:c>
      <x:c r="B18" s="17" t="str">
        <x:v>M-ZJ-MU-P</x:v>
      </x:c>
      <x:c r="C18" s="17" t="str">
        <x:v>青玉藤</x:v>
      </x:c>
      <x:c r="D18" s="17" t="str">
        <x:v>臣</x:v>
      </x:c>
      <x:c r="E18" s="17" t="str">
        <x:v>筑基</x:v>
      </x:c>
      <x:c r="F18" s="17" t="str"/>
      <x:c r="G18" s="17" t="str">
        <x:v>木</x:v>
      </x:c>
      <x:c r="H18" s="17" t="str"/>
      <x:c r="I18" s="17" t="str">
        <x:v>平</x:v>
      </x:c>
      <x:c r="J18" s="17" t="n">
        <x:v>0</x:v>
      </x:c>
      <x:c r="K18" s="26" t="n">
        <x:v>3.6</x:v>
      </x:c>
      <x:c r="L18" s="26" t="str">
        <x:v>省心</x:v>
      </x:c>
      <x:c r="M18" s="26" t="n">
        <x:v>15</x:v>
      </x:c>
      <x:c r="N18" s="17" t="str">
        <x:v>凡/灵/玄</x:v>
      </x:c>
      <x:c r="O18" s="17" t="str">
        <x:v>常见</x:v>
      </x:c>
      <x:c r="P18" s="17" t="str">
        <x:v>R-ZJ-M</x:v>
      </x:c>
      <x:c r="Q18" s="17" t="str">
        <x:v>筑基区·青翠林缘</x:v>
      </x:c>
      <x:c r="R18" s="17" t="str">
        <x:v>采集</x:v>
      </x:c>
      <x:c r="S18" s="42" t="str">
        <x:v>缠生青翠林缘，藤皮如青玉，折而不脆，断口会很快抽出细丝相连；老藤颜色愈深，通常沿根逐段采下。</x:v>
      </x:c>
      <x:c r="T18" s="41" t="str">
        <x:v>臣材，无味；五行属木，木主生，接断续脉、长新成环。性平，单份药力3.6；入炉专定丹效“如何施行”，并与诸材共同计算方性与总药力。</x:v>
      </x:c>
    </x:row>
    <x:row r="19" ht="54" customHeight="1">
      <x:c r="A19" s="17" t="n">
        <x:v>15</x:v>
      </x:c>
      <x:c r="B19" s="17" t="str">
        <x:v>M-ZJ-MU-S</x:v>
      </x:c>
      <x:c r="C19" s="17" t="str">
        <x:v>青蔓草</x:v>
      </x:c>
      <x:c r="D19" s="17" t="str">
        <x:v>臣</x:v>
      </x:c>
      <x:c r="E19" s="17" t="str">
        <x:v>筑基</x:v>
      </x:c>
      <x:c r="F19" s="17" t="str"/>
      <x:c r="G19" s="17" t="str">
        <x:v>木</x:v>
      </x:c>
      <x:c r="H19" s="17" t="str"/>
      <x:c r="I19" s="17" t="str">
        <x:v>温</x:v>
      </x:c>
      <x:c r="J19" s="17" t="n">
        <x:v>1</x:v>
      </x:c>
      <x:c r="K19" s="26" t="n">
        <x:v>3</x:v>
      </x:c>
      <x:c r="L19" s="26" t="str">
        <x:v>常用</x:v>
      </x:c>
      <x:c r="M19" s="26" t="n">
        <x:v>10</x:v>
      </x:c>
      <x:c r="N19" s="17" t="str">
        <x:v>凡/灵/玄</x:v>
      </x:c>
      <x:c r="O19" s="17" t="str">
        <x:v>常见</x:v>
      </x:c>
      <x:c r="P19" s="17" t="str">
        <x:v>R-ZJ-M</x:v>
      </x:c>
      <x:c r="Q19" s="17" t="str">
        <x:v>筑基区·温湿林地</x:v>
      </x:c>
      <x:c r="R19" s="17" t="str">
        <x:v>采集</x:v>
      </x:c>
      <x:c r="S19" s="42" t="str">
        <x:v>生于温湿林地，细蔓贴地成片，雨后一天便可延长数寸；嫩叶青亮，采集容易，是筑基区常见草材。</x:v>
      </x:c>
      <x:c r="T19" s="41" t="str">
        <x:v>臣材，无味；五行属木，木主生，接断续脉、长新成环。性温，单份药力3；入炉专定丹效“如何施行”，并与诸材共同计算方性与总药力。</x:v>
      </x:c>
    </x:row>
    <x:row r="20" ht="54" customHeight="1">
      <x:c r="A20" s="17" t="n">
        <x:v>16</x:v>
      </x:c>
      <x:c r="B20" s="17" t="str">
        <x:v>M-ZJ-MU-C</x:v>
      </x:c>
      <x:c r="C20" s="17" t="str">
        <x:v>燥木藤</x:v>
      </x:c>
      <x:c r="D20" s="17" t="str">
        <x:v>臣</x:v>
      </x:c>
      <x:c r="E20" s="17" t="str">
        <x:v>筑基</x:v>
      </x:c>
      <x:c r="F20" s="17" t="str"/>
      <x:c r="G20" s="17" t="str">
        <x:v>木</x:v>
      </x:c>
      <x:c r="H20" s="17" t="str"/>
      <x:c r="I20" s="17" t="str">
        <x:v>热</x:v>
      </x:c>
      <x:c r="J20" s="17" t="n">
        <x:v>2</x:v>
      </x:c>
      <x:c r="K20" s="26" t="n">
        <x:v>2.4</x:v>
      </x:c>
      <x:c r="L20" s="26" t="str">
        <x:v>省钱</x:v>
      </x:c>
      <x:c r="M20" s="26" t="n">
        <x:v>7</x:v>
      </x:c>
      <x:c r="N20" s="17" t="str">
        <x:v>凡/灵/玄</x:v>
      </x:c>
      <x:c r="O20" s="17" t="str">
        <x:v>常见</x:v>
      </x:c>
      <x:c r="P20" s="17" t="str">
        <x:v>R-ZJ-M</x:v>
      </x:c>
      <x:c r="Q20" s="17" t="str">
        <x:v>筑基区·干燥坡地</x:v>
      </x:c>
      <x:c r="R20" s="17" t="str">
        <x:v>采集</x:v>
      </x:c>
      <x:c r="S20" s="42" t="str">
        <x:v>长在干燥坡地，藤身枯黄却内含活丝，遇水会短暂返青；外皮易裂，通常在清晨尚有露气时采收。</x:v>
      </x:c>
      <x:c r="T20" s="41" t="str">
        <x:v>臣材，无味；五行属木，木主生，接断续脉、长新成环。性热，单份药力2.4；入炉专定丹效“如何施行”，并与诸材共同计算方性与总药力。</x:v>
      </x:c>
    </x:row>
    <x:row r="21" ht="54" customHeight="1">
      <x:c r="A21" s="17" t="n">
        <x:v>17</x:v>
      </x:c>
      <x:c r="B21" s="17" t="str">
        <x:v>M-ZJ-HUO-P</x:v>
      </x:c>
      <x:c r="C21" s="17" t="str">
        <x:v>温阳花</x:v>
      </x:c>
      <x:c r="D21" s="17" t="str">
        <x:v>臣</x:v>
      </x:c>
      <x:c r="E21" s="17" t="str">
        <x:v>筑基</x:v>
      </x:c>
      <x:c r="F21" s="17" t="str"/>
      <x:c r="G21" s="17" t="str">
        <x:v>火</x:v>
      </x:c>
      <x:c r="H21" s="17" t="str"/>
      <x:c r="I21" s="17" t="str">
        <x:v>平</x:v>
      </x:c>
      <x:c r="J21" s="17" t="n">
        <x:v>0</x:v>
      </x:c>
      <x:c r="K21" s="26" t="n">
        <x:v>3.6</x:v>
      </x:c>
      <x:c r="L21" s="26" t="str">
        <x:v>省心</x:v>
      </x:c>
      <x:c r="M21" s="26" t="n">
        <x:v>15</x:v>
      </x:c>
      <x:c r="N21" s="17" t="str">
        <x:v>凡/灵/玄</x:v>
      </x:c>
      <x:c r="O21" s="17" t="str">
        <x:v>常见</x:v>
      </x:c>
      <x:c r="P21" s="17" t="str">
        <x:v>R-ZJ-M</x:v>
      </x:c>
      <x:c r="Q21" s="17" t="str">
        <x:v>筑基区·温泉边</x:v>
      </x:c>
      <x:c r="R21" s="17" t="str">
        <x:v>采集</x:v>
      </x:c>
      <x:c r="S21" s="42" t="str">
        <x:v>生于温泉边，花瓣暖黄，触之微温而不灼手；花蕊昼夜缓慢开合，盛放时可见淡金雾气。</x:v>
      </x:c>
      <x:c r="T21" s="41" t="str">
        <x:v>臣材，无味；五行属火，火主化，点燃催动、拆旧激发。性平，单份药力3.6；入炉专定丹效“如何施行”，并与诸材共同计算方性与总药力。</x:v>
      </x:c>
    </x:row>
    <x:row r="22" ht="54" customHeight="1">
      <x:c r="A22" s="17" t="n">
        <x:v>18</x:v>
      </x:c>
      <x:c r="B22" s="17" t="str">
        <x:v>M-ZJ-HUO-S</x:v>
      </x:c>
      <x:c r="C22" s="17" t="str">
        <x:v>焰心草</x:v>
      </x:c>
      <x:c r="D22" s="17" t="str">
        <x:v>臣</x:v>
      </x:c>
      <x:c r="E22" s="17" t="str">
        <x:v>筑基</x:v>
      </x:c>
      <x:c r="F22" s="17" t="str"/>
      <x:c r="G22" s="17" t="str">
        <x:v>火</x:v>
      </x:c>
      <x:c r="H22" s="17" t="str"/>
      <x:c r="I22" s="17" t="str">
        <x:v>热</x:v>
      </x:c>
      <x:c r="J22" s="17" t="n">
        <x:v>2</x:v>
      </x:c>
      <x:c r="K22" s="26" t="n">
        <x:v>3</x:v>
      </x:c>
      <x:c r="L22" s="26" t="str">
        <x:v>常用</x:v>
      </x:c>
      <x:c r="M22" s="26" t="n">
        <x:v>10</x:v>
      </x:c>
      <x:c r="N22" s="17" t="str">
        <x:v>凡/灵/玄</x:v>
      </x:c>
      <x:c r="O22" s="17" t="str">
        <x:v>常见</x:v>
      </x:c>
      <x:c r="P22" s="17" t="str">
        <x:v>R-ZJ-M</x:v>
      </x:c>
      <x:c r="Q22" s="17" t="str">
        <x:v>筑基区·火岩地</x:v>
      </x:c>
      <x:c r="R22" s="17" t="str">
        <x:v>采集</x:v>
      </x:c>
      <x:c r="S22" s="42" t="str">
        <x:v>扎根火岩地，草芯赤红如小焰，风吹不灭；成熟株附近石面常留焦痕，须以耐热工具割取。</x:v>
      </x:c>
      <x:c r="T22" s="41" t="str">
        <x:v>臣材，无味；五行属火，火主化，点燃催动、拆旧激发。性热，单份药力3；入炉专定丹效“如何施行”，并与诸材共同计算方性与总药力。</x:v>
      </x:c>
    </x:row>
    <x:row r="23" ht="54" customHeight="1">
      <x:c r="A23" s="17" t="n">
        <x:v>19</x:v>
      </x:c>
      <x:c r="B23" s="17" t="str">
        <x:v>M-ZJ-HUO-C</x:v>
      </x:c>
      <x:c r="C23" s="17" t="str">
        <x:v>微焰苔</x:v>
      </x:c>
      <x:c r="D23" s="17" t="str">
        <x:v>臣</x:v>
      </x:c>
      <x:c r="E23" s="17" t="str">
        <x:v>筑基</x:v>
      </x:c>
      <x:c r="F23" s="17" t="str"/>
      <x:c r="G23" s="17" t="str">
        <x:v>火</x:v>
      </x:c>
      <x:c r="H23" s="17" t="str"/>
      <x:c r="I23" s="17" t="str">
        <x:v>温</x:v>
      </x:c>
      <x:c r="J23" s="17" t="n">
        <x:v>1</x:v>
      </x:c>
      <x:c r="K23" s="26" t="n">
        <x:v>2.4</x:v>
      </x:c>
      <x:c r="L23" s="26" t="str">
        <x:v>省钱</x:v>
      </x:c>
      <x:c r="M23" s="26" t="n">
        <x:v>7</x:v>
      </x:c>
      <x:c r="N23" s="17" t="str">
        <x:v>凡/灵/玄</x:v>
      </x:c>
      <x:c r="O23" s="17" t="str">
        <x:v>常见</x:v>
      </x:c>
      <x:c r="P23" s="17" t="str">
        <x:v>R-ZJ-M</x:v>
      </x:c>
      <x:c r="Q23" s="17" t="str">
        <x:v>筑基区·暖岩缝</x:v>
      </x:c>
      <x:c r="R23" s="17" t="str">
        <x:v>采集</x:v>
      </x:c>
      <x:c r="S23" s="42" t="str">
        <x:v>贴生暖岩缝，苔点细碎如余烬，夜里泛出暗红微光；耐旱易得，但离开暖石后需密封保温。</x:v>
      </x:c>
      <x:c r="T23" s="41" t="str">
        <x:v>臣材，无味；五行属火，火主化，点燃催动、拆旧激发。性温，单份药力2.4；入炉专定丹效“如何施行”，并与诸材共同计算方性与总药力。</x:v>
      </x:c>
    </x:row>
    <x:row r="24" ht="54" customHeight="1">
      <x:c r="A24" s="17" t="n">
        <x:v>20</x:v>
      </x:c>
      <x:c r="B24" s="17" t="str">
        <x:v>M-ZJ-TU-P</x:v>
      </x:c>
      <x:c r="C24" s="17" t="str">
        <x:v>磐岩苔</x:v>
      </x:c>
      <x:c r="D24" s="17" t="str">
        <x:v>臣</x:v>
      </x:c>
      <x:c r="E24" s="17" t="str">
        <x:v>筑基</x:v>
      </x:c>
      <x:c r="F24" s="17" t="str"/>
      <x:c r="G24" s="17" t="str">
        <x:v>土</x:v>
      </x:c>
      <x:c r="H24" s="17" t="str"/>
      <x:c r="I24" s="17" t="str">
        <x:v>平</x:v>
      </x:c>
      <x:c r="J24" s="17" t="n">
        <x:v>0</x:v>
      </x:c>
      <x:c r="K24" s="26" t="n">
        <x:v>3.6</x:v>
      </x:c>
      <x:c r="L24" s="26" t="str">
        <x:v>省心</x:v>
      </x:c>
      <x:c r="M24" s="26" t="n">
        <x:v>15</x:v>
      </x:c>
      <x:c r="N24" s="17" t="str">
        <x:v>凡/灵/玄</x:v>
      </x:c>
      <x:c r="O24" s="17" t="str">
        <x:v>常见</x:v>
      </x:c>
      <x:c r="P24" s="17" t="str">
        <x:v>R-ZJ-M</x:v>
      </x:c>
      <x:c r="Q24" s="17" t="str">
        <x:v>筑基区·厚土石面</x:v>
      </x:c>
      <x:c r="R24" s="17" t="str">
        <x:v>采集</x:v>
      </x:c>
      <x:c r="S24" s="42" t="str">
        <x:v>铺生厚土石面，苔层紧实如毡，连石屑一同凝成薄壳；生长缓慢却极耐践踏，通常成片铲取。</x:v>
      </x:c>
      <x:c r="T24" s="41" t="str">
        <x:v>臣材，无味；五行属土，土主藏，承载压实、积蓄留存。性平，单份药力3.6；入炉专定丹效“如何施行”，并与诸材共同计算方性与总药力。</x:v>
      </x:c>
    </x:row>
    <x:row r="25" ht="54" customHeight="1">
      <x:c r="A25" s="17" t="n">
        <x:v>21</x:v>
      </x:c>
      <x:c r="B25" s="17" t="str">
        <x:v>M-ZJ-TU-S</x:v>
      </x:c>
      <x:c r="C25" s="17" t="str">
        <x:v>厚元苔</x:v>
      </x:c>
      <x:c r="D25" s="17" t="str">
        <x:v>臣</x:v>
      </x:c>
      <x:c r="E25" s="17" t="str">
        <x:v>筑基</x:v>
      </x:c>
      <x:c r="F25" s="17" t="str"/>
      <x:c r="G25" s="17" t="str">
        <x:v>土</x:v>
      </x:c>
      <x:c r="H25" s="17" t="str"/>
      <x:c r="I25" s="17" t="str">
        <x:v>温</x:v>
      </x:c>
      <x:c r="J25" s="17" t="n">
        <x:v>1</x:v>
      </x:c>
      <x:c r="K25" s="26" t="n">
        <x:v>3</x:v>
      </x:c>
      <x:c r="L25" s="26" t="str">
        <x:v>常用</x:v>
      </x:c>
      <x:c r="M25" s="26" t="n">
        <x:v>10</x:v>
      </x:c>
      <x:c r="N25" s="17" t="str">
        <x:v>凡/灵/玄</x:v>
      </x:c>
      <x:c r="O25" s="17" t="str">
        <x:v>常见</x:v>
      </x:c>
      <x:c r="P25" s="17" t="str">
        <x:v>R-ZJ-M</x:v>
      </x:c>
      <x:c r="Q25" s="17" t="str">
        <x:v>筑基区·灵田垄边</x:v>
      </x:c>
      <x:c r="R25" s="17" t="str">
        <x:v>采集</x:v>
      </x:c>
      <x:c r="S25" s="42" t="str">
        <x:v>常见于灵田垄边，苔体肥厚，根须会把松土结成小团；农户整田时即可收得，是稳定的常用草材。</x:v>
      </x:c>
      <x:c r="T25" s="41" t="str">
        <x:v>臣材，无味；五行属土，土主藏，承载压实、积蓄留存。性温，单份药力3；入炉专定丹效“如何施行”，并与诸材共同计算方性与总药力。</x:v>
      </x:c>
    </x:row>
    <x:row r="26" ht="54" customHeight="1">
      <x:c r="A26" s="17" t="n">
        <x:v>22</x:v>
      </x:c>
      <x:c r="B26" s="17" t="str">
        <x:v>M-ZJ-TU-C</x:v>
      </x:c>
      <x:c r="C26" s="17" t="str">
        <x:v>沙参</x:v>
      </x:c>
      <x:c r="D26" s="17" t="str">
        <x:v>臣</x:v>
      </x:c>
      <x:c r="E26" s="17" t="str">
        <x:v>筑基</x:v>
      </x:c>
      <x:c r="F26" s="17" t="str"/>
      <x:c r="G26" s="17" t="str">
        <x:v>土</x:v>
      </x:c>
      <x:c r="H26" s="17" t="str"/>
      <x:c r="I26" s="17" t="str">
        <x:v>凉</x:v>
      </x:c>
      <x:c r="J26" s="17" t="n">
        <x:v>-1</x:v>
      </x:c>
      <x:c r="K26" s="26" t="n">
        <x:v>2.4</x:v>
      </x:c>
      <x:c r="L26" s="26" t="str">
        <x:v>省钱</x:v>
      </x:c>
      <x:c r="M26" s="26" t="n">
        <x:v>7</x:v>
      </x:c>
      <x:c r="N26" s="17" t="str">
        <x:v>凡/灵/玄</x:v>
      </x:c>
      <x:c r="O26" s="17" t="str">
        <x:v>常见</x:v>
      </x:c>
      <x:c r="P26" s="17" t="str">
        <x:v>R-ZJ-M</x:v>
      </x:c>
      <x:c r="Q26" s="17" t="str">
        <x:v>筑基区·砂地</x:v>
      </x:c>
      <x:c r="R26" s="17" t="str">
        <x:v>采集</x:v>
      </x:c>
      <x:c r="S26" s="42" t="str">
        <x:v>生于砂地，根体修长，能在流沙下牢牢扎定；表皮浅黄、肉质细密，采挖时须沿根向下掘取。</x:v>
      </x:c>
      <x:c r="T26" s="41" t="str">
        <x:v>臣材，无味；五行属土，土主藏，承载压实、积蓄留存。性凉，单份药力2.4；入炉专定丹效“如何施行”，并与诸材共同计算方性与总药力。</x:v>
      </x:c>
    </x:row>
    <x:row r="27" ht="54" customHeight="1">
      <x:c r="A27" s="17" t="n">
        <x:v>23</x:v>
      </x:c>
      <x:c r="B27" s="17" t="str">
        <x:v>M-ZJ-JIN-P</x:v>
      </x:c>
      <x:c r="C27" s="17" t="str">
        <x:v>素英花</x:v>
      </x:c>
      <x:c r="D27" s="17" t="str">
        <x:v>臣</x:v>
      </x:c>
      <x:c r="E27" s="17" t="str">
        <x:v>筑基</x:v>
      </x:c>
      <x:c r="F27" s="17" t="str"/>
      <x:c r="G27" s="17" t="str">
        <x:v>金</x:v>
      </x:c>
      <x:c r="H27" s="17" t="str"/>
      <x:c r="I27" s="17" t="str">
        <x:v>平</x:v>
      </x:c>
      <x:c r="J27" s="17" t="n">
        <x:v>0</x:v>
      </x:c>
      <x:c r="K27" s="26" t="n">
        <x:v>3.6</x:v>
      </x:c>
      <x:c r="L27" s="26" t="str">
        <x:v>省心</x:v>
      </x:c>
      <x:c r="M27" s="26" t="n">
        <x:v>15</x:v>
      </x:c>
      <x:c r="N27" s="17" t="str">
        <x:v>凡/灵/玄</x:v>
      </x:c>
      <x:c r="O27" s="17" t="str">
        <x:v>常见</x:v>
      </x:c>
      <x:c r="P27" s="17" t="str">
        <x:v>R-ZJ-M</x:v>
      </x:c>
      <x:c r="Q27" s="17" t="str">
        <x:v>筑基区·白石坡</x:v>
      </x:c>
      <x:c r="R27" s="17" t="str">
        <x:v>采集</x:v>
      </x:c>
      <x:c r="S27" s="42" t="str">
        <x:v>开于白石坡，花瓣素白而边缘锋整，露水落上会分成均匀小珠；花期齐整，适合整株剪取。</x:v>
      </x:c>
      <x:c r="T27" s="41" t="str">
        <x:v>臣材，无味；五行属金，金主离，分邪正、去沉滓、守边界。性平，单份药力3.6；入炉专定丹效“如何施行”，并与诸材共同计算方性与总药力。</x:v>
      </x:c>
    </x:row>
    <x:row r="28" ht="54" customHeight="1">
      <x:c r="A28" s="17" t="n">
        <x:v>24</x:v>
      </x:c>
      <x:c r="B28" s="17" t="str">
        <x:v>M-ZJ-JIN-S</x:v>
      </x:c>
      <x:c r="C28" s="17" t="str">
        <x:v>铁线蕨</x:v>
      </x:c>
      <x:c r="D28" s="17" t="str">
        <x:v>臣</x:v>
      </x:c>
      <x:c r="E28" s="17" t="str">
        <x:v>筑基</x:v>
      </x:c>
      <x:c r="F28" s="17" t="str"/>
      <x:c r="G28" s="17" t="str">
        <x:v>金</x:v>
      </x:c>
      <x:c r="H28" s="17" t="str"/>
      <x:c r="I28" s="17" t="str">
        <x:v>凉</x:v>
      </x:c>
      <x:c r="J28" s="17" t="n">
        <x:v>-1</x:v>
      </x:c>
      <x:c r="K28" s="26" t="n">
        <x:v>3</x:v>
      </x:c>
      <x:c r="L28" s="26" t="str">
        <x:v>常用</x:v>
      </x:c>
      <x:c r="M28" s="26" t="n">
        <x:v>10</x:v>
      </x:c>
      <x:c r="N28" s="17" t="str">
        <x:v>凡/灵/玄</x:v>
      </x:c>
      <x:c r="O28" s="17" t="str">
        <x:v>常见</x:v>
      </x:c>
      <x:c r="P28" s="17" t="str">
        <x:v>R-ZJ-M</x:v>
      </x:c>
      <x:c r="Q28" s="17" t="str">
        <x:v>筑基区·铁矿阴壁</x:v>
      </x:c>
      <x:c r="R28" s="17" t="str">
        <x:v>采集</x:v>
      </x:c>
      <x:c r="S28" s="42" t="str">
        <x:v>附生铁矿阴壁，叶梗黑亮如细铁线，羽叶排列分明；韧而不折，需贴根剪断后卷束保存。</x:v>
      </x:c>
      <x:c r="T28" s="41" t="str">
        <x:v>臣材，无味；五行属金，金主离，分邪正、去沉滓、守边界。性凉，单份药力3；入炉专定丹效“如何施行”，并与诸材共同计算方性与总药力。</x:v>
      </x:c>
    </x:row>
    <x:row r="29" ht="54" customHeight="1">
      <x:c r="A29" s="17" t="n">
        <x:v>25</x:v>
      </x:c>
      <x:c r="B29" s="17" t="str">
        <x:v>M-ZJ-JIN-C</x:v>
      </x:c>
      <x:c r="C29" s="17" t="str">
        <x:v>霜刃草</x:v>
      </x:c>
      <x:c r="D29" s="17" t="str">
        <x:v>臣</x:v>
      </x:c>
      <x:c r="E29" s="17" t="str">
        <x:v>筑基</x:v>
      </x:c>
      <x:c r="F29" s="17" t="str"/>
      <x:c r="G29" s="17" t="str">
        <x:v>金</x:v>
      </x:c>
      <x:c r="H29" s="17" t="str"/>
      <x:c r="I29" s="17" t="str">
        <x:v>寒</x:v>
      </x:c>
      <x:c r="J29" s="17" t="n">
        <x:v>-2</x:v>
      </x:c>
      <x:c r="K29" s="26" t="n">
        <x:v>2.4</x:v>
      </x:c>
      <x:c r="L29" s="26" t="str">
        <x:v>省钱</x:v>
      </x:c>
      <x:c r="M29" s="26" t="n">
        <x:v>7</x:v>
      </x:c>
      <x:c r="N29" s="17" t="str">
        <x:v>凡/灵/玄</x:v>
      </x:c>
      <x:c r="O29" s="17" t="str">
        <x:v>常见</x:v>
      </x:c>
      <x:c r="P29" s="17" t="str">
        <x:v>R-ZJ-M</x:v>
      </x:c>
      <x:c r="Q29" s="17" t="str">
        <x:v>筑基区·寒铁裂隙</x:v>
      </x:c>
      <x:c r="R29" s="17" t="str">
        <x:v>采集</x:v>
      </x:c>
      <x:c r="S29" s="42" t="str">
        <x:v>生于寒铁裂隙，叶形狭长如霜刃，边缘凝有细白晶霜；徒手久触会麻木，宜戴皮套采收。</x:v>
      </x:c>
      <x:c r="T29" s="41" t="str">
        <x:v>臣材，无味；五行属金，金主离，分邪正、去沉滓、守边界。性寒，单份药力2.4；入炉专定丹效“如何施行”，并与诸材共同计算方性与总药力。</x:v>
      </x:c>
    </x:row>
    <x:row r="30" ht="54" customHeight="1">
      <x:c r="A30" s="17" t="n">
        <x:v>26</x:v>
      </x:c>
      <x:c r="B30" s="17" t="str">
        <x:v>M-ZJ-SHUI-P</x:v>
      </x:c>
      <x:c r="C30" s="17" t="str">
        <x:v>玄溟苔</x:v>
      </x:c>
      <x:c r="D30" s="17" t="str">
        <x:v>臣</x:v>
      </x:c>
      <x:c r="E30" s="17" t="str">
        <x:v>筑基</x:v>
      </x:c>
      <x:c r="F30" s="17" t="str"/>
      <x:c r="G30" s="17" t="str">
        <x:v>水</x:v>
      </x:c>
      <x:c r="H30" s="17" t="str"/>
      <x:c r="I30" s="17" t="str">
        <x:v>平</x:v>
      </x:c>
      <x:c r="J30" s="17" t="n">
        <x:v>0</x:v>
      </x:c>
      <x:c r="K30" s="26" t="n">
        <x:v>3.6</x:v>
      </x:c>
      <x:c r="L30" s="26" t="str">
        <x:v>省心</x:v>
      </x:c>
      <x:c r="M30" s="26" t="n">
        <x:v>15</x:v>
      </x:c>
      <x:c r="N30" s="17" t="str">
        <x:v>凡/灵/玄</x:v>
      </x:c>
      <x:c r="O30" s="17" t="str">
        <x:v>常见</x:v>
      </x:c>
      <x:c r="P30" s="17" t="str">
        <x:v>R-ZJ-M</x:v>
      </x:c>
      <x:c r="Q30" s="17" t="str">
        <x:v>筑基区·深潭石面</x:v>
      </x:c>
      <x:c r="R30" s="17" t="str">
        <x:v>采集</x:v>
      </x:c>
      <x:c r="S30" s="42" t="str">
        <x:v>伏生深潭石面，苔色玄青，离水后仍保持湿润光泽；水流经过时苔层会缓缓起伏，须潜入整片揭取。</x:v>
      </x:c>
      <x:c r="T30" s="41" t="str">
        <x:v>臣材，无味；五行属水，水主行，导送药力、化开铺匀。性平，单份药力3.6；入炉专定丹效“如何施行”，并与诸材共同计算方性与总药力。</x:v>
      </x:c>
    </x:row>
    <x:row r="31" ht="54" customHeight="1">
      <x:c r="A31" s="17" t="n">
        <x:v>27</x:v>
      </x:c>
      <x:c r="B31" s="17" t="str">
        <x:v>M-ZJ-SHUI-S</x:v>
      </x:c>
      <x:c r="C31" s="17" t="str">
        <x:v>清露藻</x:v>
      </x:c>
      <x:c r="D31" s="17" t="str">
        <x:v>臣</x:v>
      </x:c>
      <x:c r="E31" s="17" t="str">
        <x:v>筑基</x:v>
      </x:c>
      <x:c r="F31" s="17" t="str"/>
      <x:c r="G31" s="17" t="str">
        <x:v>水</x:v>
      </x:c>
      <x:c r="H31" s="17" t="str"/>
      <x:c r="I31" s="17" t="str">
        <x:v>凉</x:v>
      </x:c>
      <x:c r="J31" s="17" t="n">
        <x:v>-1</x:v>
      </x:c>
      <x:c r="K31" s="26" t="n">
        <x:v>3</x:v>
      </x:c>
      <x:c r="L31" s="26" t="str">
        <x:v>常用</x:v>
      </x:c>
      <x:c r="M31" s="26" t="n">
        <x:v>10</x:v>
      </x:c>
      <x:c r="N31" s="17" t="str">
        <x:v>凡/灵/玄</x:v>
      </x:c>
      <x:c r="O31" s="17" t="str">
        <x:v>常见</x:v>
      </x:c>
      <x:c r="P31" s="17" t="str">
        <x:v>R-ZJ-M</x:v>
      </x:c>
      <x:c r="Q31" s="17" t="str">
        <x:v>筑基区·清溪浅水</x:v>
      </x:c>
      <x:c r="R31" s="17" t="str">
        <x:v>采集</x:v>
      </x:c>
      <x:c r="S31" s="42" t="str">
        <x:v>漂生清溪浅水，细叶承露如串珠，水一动便沿流舒展；容易繁殖，多以细网在清晨捞取。</x:v>
      </x:c>
      <x:c r="T31" s="41" t="str">
        <x:v>臣材，无味；五行属水，水主行，导送药力、化开铺匀。性凉，单份药力3；入炉专定丹效“如何施行”，并与诸材共同计算方性与总药力。</x:v>
      </x:c>
    </x:row>
    <x:row r="32" ht="54" customHeight="1">
      <x:c r="A32" s="17" t="n">
        <x:v>28</x:v>
      </x:c>
      <x:c r="B32" s="17" t="str">
        <x:v>M-ZJ-SHUI-C</x:v>
      </x:c>
      <x:c r="C32" s="17" t="str">
        <x:v>流泉苔</x:v>
      </x:c>
      <x:c r="D32" s="17" t="str">
        <x:v>臣</x:v>
      </x:c>
      <x:c r="E32" s="17" t="str">
        <x:v>筑基</x:v>
      </x:c>
      <x:c r="F32" s="17" t="str"/>
      <x:c r="G32" s="17" t="str">
        <x:v>水</x:v>
      </x:c>
      <x:c r="H32" s="17" t="str"/>
      <x:c r="I32" s="17" t="str">
        <x:v>寒</x:v>
      </x:c>
      <x:c r="J32" s="17" t="n">
        <x:v>-2</x:v>
      </x:c>
      <x:c r="K32" s="26" t="n">
        <x:v>2.4</x:v>
      </x:c>
      <x:c r="L32" s="26" t="str">
        <x:v>省钱</x:v>
      </x:c>
      <x:c r="M32" s="26" t="n">
        <x:v>7</x:v>
      </x:c>
      <x:c r="N32" s="17" t="str">
        <x:v>凡/灵/玄</x:v>
      </x:c>
      <x:c r="O32" s="17" t="str">
        <x:v>常见</x:v>
      </x:c>
      <x:c r="P32" s="17" t="str">
        <x:v>R-ZJ-M</x:v>
      </x:c>
      <x:c r="Q32" s="17" t="str">
        <x:v>筑基区·冷泉口</x:v>
      </x:c>
      <x:c r="R32" s="17" t="str">
        <x:v>采集</x:v>
      </x:c>
      <x:c r="S32" s="42" t="str">
        <x:v>贴在冷泉口石缝，苔丝细长，终年随泉水同向摆动；出水即覆薄霜，采后需浸在原泉中封存。</x:v>
      </x:c>
      <x:c r="T32" s="41" t="str">
        <x:v>臣材，无味；五行属水，水主行，导送药力、化开铺匀。性寒，单份药力2.4；入炉专定丹效“如何施行”，并与诸材共同计算方性与总药力。</x:v>
      </x:c>
    </x:row>
    <x:row r="33" ht="54" customHeight="1">
      <x:c r="A33" s="22" t="n">
        <x:v>29</x:v>
      </x:c>
      <x:c r="B33" s="22" t="str">
        <x:v>E-ZJ-GAN-P</x:v>
      </x:c>
      <x:c r="C33" s="22" t="str">
        <x:v>灵蜜</x:v>
      </x:c>
      <x:c r="D33" s="22" t="str">
        <x:v>使</x:v>
      </x:c>
      <x:c r="E33" s="22" t="str">
        <x:v>筑基</x:v>
      </x:c>
      <x:c r="F33" s="22" t="str"/>
      <x:c r="G33" s="22" t="str"/>
      <x:c r="H33" s="22" t="str">
        <x:v>甘</x:v>
      </x:c>
      <x:c r="I33" s="22" t="str">
        <x:v>平</x:v>
      </x:c>
      <x:c r="J33" s="22" t="n">
        <x:v>0</x:v>
      </x:c>
      <x:c r="K33" s="27" t="n">
        <x:v>3.6</x:v>
      </x:c>
      <x:c r="L33" s="27" t="str">
        <x:v>省心</x:v>
      </x:c>
      <x:c r="M33" s="27" t="n">
        <x:v>15</x:v>
      </x:c>
      <x:c r="N33" s="22" t="str">
        <x:v>凡/灵/玄</x:v>
      </x:c>
      <x:c r="O33" s="22" t="str">
        <x:v>常见</x:v>
      </x:c>
      <x:c r="P33" s="22" t="str">
        <x:v>R-ZJ-E</x:v>
      </x:c>
      <x:c r="Q33" s="22" t="str">
        <x:v>筑基区·灵蜂巢</x:v>
      </x:c>
      <x:c r="R33" s="22" t="str">
        <x:v>采集</x:v>
      </x:c>
      <x:c r="S33" s="43" t="str">
        <x:v>由筑基区灵蜂采百花灵蕊酿成，色泽淡金、黏而不腻；成熟蜜会在巢脾中形成细密同心纹，取蜜须留足蜂粮。</x:v>
      </x:c>
      <x:c r="T33" s="41" t="str">
        <x:v>使材，无行；五味属甘，甘主丹田，和中聚元，使药力归于境界根基。性平，单份药力3.6；入炉专定药力“往何处去”，并与诸材共同计算方性与总药力。</x:v>
      </x:c>
    </x:row>
    <x:row r="34" ht="54" customHeight="1">
      <x:c r="A34" s="22" t="n">
        <x:v>30</x:v>
      </x:c>
      <x:c r="B34" s="22" t="str">
        <x:v>E-ZJ-GAN-S</x:v>
      </x:c>
      <x:c r="C34" s="22" t="str">
        <x:v>甘露</x:v>
      </x:c>
      <x:c r="D34" s="22" t="str">
        <x:v>使</x:v>
      </x:c>
      <x:c r="E34" s="22" t="str">
        <x:v>筑基</x:v>
      </x:c>
      <x:c r="F34" s="22" t="str"/>
      <x:c r="G34" s="22" t="str"/>
      <x:c r="H34" s="22" t="str">
        <x:v>甘</x:v>
      </x:c>
      <x:c r="I34" s="22" t="str">
        <x:v>凉</x:v>
      </x:c>
      <x:c r="J34" s="22" t="n">
        <x:v>-1</x:v>
      </x:c>
      <x:c r="K34" s="27" t="n">
        <x:v>3</x:v>
      </x:c>
      <x:c r="L34" s="27" t="str">
        <x:v>常用</x:v>
      </x:c>
      <x:c r="M34" s="27" t="n">
        <x:v>10</x:v>
      </x:c>
      <x:c r="N34" s="22" t="str">
        <x:v>凡/灵/玄</x:v>
      </x:c>
      <x:c r="O34" s="22" t="str">
        <x:v>常见</x:v>
      </x:c>
      <x:c r="P34" s="22" t="str">
        <x:v>R-ZJ-E</x:v>
      </x:c>
      <x:c r="Q34" s="22" t="str">
        <x:v>筑基区·晨露花叶</x:v>
      </x:c>
      <x:c r="R34" s="22" t="str">
        <x:v>采集</x:v>
      </x:c>
      <x:c r="S34" s="43" t="str">
        <x:v>凝在晨露花叶尖端，日出前呈圆润清珠，稍见强光便会散失；多用冷玉瓶逐滴收取。</x:v>
      </x:c>
      <x:c r="T34" s="41" t="str">
        <x:v>使材，无行；五味属甘，甘主丹田，和中聚元，使药力归于境界根基。性凉，单份药力3；入炉专定药力“往何处去”，并与诸材共同计算方性与总药力。</x:v>
      </x:c>
    </x:row>
    <x:row r="35" ht="54" customHeight="1">
      <x:c r="A35" s="22" t="n">
        <x:v>31</x:v>
      </x:c>
      <x:c r="B35" s="22" t="str">
        <x:v>E-ZJ-GAN-C</x:v>
      </x:c>
      <x:c r="C35" s="22" t="str">
        <x:v>蜜藤</x:v>
      </x:c>
      <x:c r="D35" s="22" t="str">
        <x:v>使</x:v>
      </x:c>
      <x:c r="E35" s="22" t="str">
        <x:v>筑基</x:v>
      </x:c>
      <x:c r="F35" s="22" t="str"/>
      <x:c r="G35" s="22" t="str"/>
      <x:c r="H35" s="22" t="str">
        <x:v>甘</x:v>
      </x:c>
      <x:c r="I35" s="22" t="str">
        <x:v>温</x:v>
      </x:c>
      <x:c r="J35" s="22" t="n">
        <x:v>1</x:v>
      </x:c>
      <x:c r="K35" s="27" t="n">
        <x:v>2.4</x:v>
      </x:c>
      <x:c r="L35" s="27" t="str">
        <x:v>省钱</x:v>
      </x:c>
      <x:c r="M35" s="27" t="n">
        <x:v>7</x:v>
      </x:c>
      <x:c r="N35" s="22" t="str">
        <x:v>凡/灵/玄</x:v>
      </x:c>
      <x:c r="O35" s="22" t="str">
        <x:v>常见</x:v>
      </x:c>
      <x:c r="P35" s="22" t="str">
        <x:v>R-ZJ-E</x:v>
      </x:c>
      <x:c r="Q35" s="22" t="str">
        <x:v>筑基区·低地藤丛</x:v>
      </x:c>
      <x:c r="R35" s="22" t="str">
        <x:v>采集</x:v>
      </x:c>
      <x:c r="S35" s="43" t="str">
        <x:v>攀生低地藤丛，藤节会渗出带甜香的稠汁；生长快、产量高，割开表皮即可反复采收。</x:v>
      </x:c>
      <x:c r="T35" s="41" t="str">
        <x:v>使材，无行；五味属甘，甘主丹田，和中聚元，使药力归于境界根基。性温，单份药力2.4；入炉专定药力“往何处去”，并与诸材共同计算方性与总药力。</x:v>
      </x:c>
    </x:row>
    <x:row r="36" ht="54" customHeight="1">
      <x:c r="A36" s="22" t="n">
        <x:v>32</x:v>
      </x:c>
      <x:c r="B36" s="22" t="str">
        <x:v>E-ZJ-XIN-P</x:v>
      </x:c>
      <x:c r="C36" s="22" t="str">
        <x:v>素辛草</x:v>
      </x:c>
      <x:c r="D36" s="22" t="str">
        <x:v>使</x:v>
      </x:c>
      <x:c r="E36" s="22" t="str">
        <x:v>筑基</x:v>
      </x:c>
      <x:c r="F36" s="22" t="str"/>
      <x:c r="G36" s="22" t="str"/>
      <x:c r="H36" s="22" t="str">
        <x:v>辛</x:v>
      </x:c>
      <x:c r="I36" s="22" t="str">
        <x:v>平</x:v>
      </x:c>
      <x:c r="J36" s="22" t="n">
        <x:v>0</x:v>
      </x:c>
      <x:c r="K36" s="27" t="n">
        <x:v>3.6</x:v>
      </x:c>
      <x:c r="L36" s="27" t="str">
        <x:v>省心</x:v>
      </x:c>
      <x:c r="M36" s="27" t="n">
        <x:v>15</x:v>
      </x:c>
      <x:c r="N36" s="22" t="str">
        <x:v>凡/灵/玄</x:v>
      </x:c>
      <x:c r="O36" s="22" t="str">
        <x:v>常见</x:v>
      </x:c>
      <x:c r="P36" s="22" t="str">
        <x:v>R-ZJ-E</x:v>
      </x:c>
      <x:c r="Q36" s="22" t="str">
        <x:v>筑基区·风口草甸</x:v>
      </x:c>
      <x:c r="R36" s="22" t="str">
        <x:v>采集</x:v>
      </x:c>
      <x:c r="S36" s="43" t="str">
        <x:v>生于风口草甸，叶色素青，揉碎后清辛之气直冲鼻窍；整株纤细挺立，通常在起风时连根拔取。</x:v>
      </x:c>
      <x:c r="T36" s="41" t="str">
        <x:v>使材，无行；五味属辛，辛主气脉，行散开通，使药力遍达周流。性平，单份药力3.6；入炉专定药力“往何处去”，并与诸材共同计算方性与总药力。</x:v>
      </x:c>
    </x:row>
    <x:row r="37" ht="54" customHeight="1">
      <x:c r="A37" s="22" t="n">
        <x:v>33</x:v>
      </x:c>
      <x:c r="B37" s="22" t="str">
        <x:v>E-ZJ-XIN-S</x:v>
      </x:c>
      <x:c r="C37" s="22" t="str">
        <x:v>辛夷</x:v>
      </x:c>
      <x:c r="D37" s="22" t="str">
        <x:v>使</x:v>
      </x:c>
      <x:c r="E37" s="22" t="str">
        <x:v>筑基</x:v>
      </x:c>
      <x:c r="F37" s="22" t="str"/>
      <x:c r="G37" s="22" t="str"/>
      <x:c r="H37" s="22" t="str">
        <x:v>辛</x:v>
      </x:c>
      <x:c r="I37" s="22" t="str">
        <x:v>温</x:v>
      </x:c>
      <x:c r="J37" s="22" t="n">
        <x:v>1</x:v>
      </x:c>
      <x:c r="K37" s="27" t="n">
        <x:v>3</x:v>
      </x:c>
      <x:c r="L37" s="27" t="str">
        <x:v>常用</x:v>
      </x:c>
      <x:c r="M37" s="27" t="n">
        <x:v>10</x:v>
      </x:c>
      <x:c r="N37" s="22" t="str">
        <x:v>凡/灵/玄</x:v>
      </x:c>
      <x:c r="O37" s="22" t="str">
        <x:v>常见</x:v>
      </x:c>
      <x:c r="P37" s="22" t="str">
        <x:v>R-ZJ-E</x:v>
      </x:c>
      <x:c r="Q37" s="22" t="str">
        <x:v>筑基区·暖林</x:v>
      </x:c>
      <x:c r="R37" s="22" t="str">
        <x:v>采集</x:v>
      </x:c>
      <x:c r="S37" s="43" t="str">
        <x:v>长在暖林疏处，花蕾外覆细绒，初开时辛香最盛；香气散得快，采下后需立即密封。</x:v>
      </x:c>
      <x:c r="T37" s="41" t="str">
        <x:v>使材，无行；五味属辛，辛主气脉，行散开通，使药力遍达周流。性温，单份药力3；入炉专定药力“往何处去”，并与诸材共同计算方性与总药力。</x:v>
      </x:c>
    </x:row>
    <x:row r="38" ht="54" customHeight="1">
      <x:c r="A38" s="22" t="n">
        <x:v>34</x:v>
      </x:c>
      <x:c r="B38" s="22" t="str">
        <x:v>E-ZJ-XIN-C</x:v>
      </x:c>
      <x:c r="C38" s="22" t="str">
        <x:v>薄荷露</x:v>
      </x:c>
      <x:c r="D38" s="22" t="str">
        <x:v>使</x:v>
      </x:c>
      <x:c r="E38" s="22" t="str">
        <x:v>筑基</x:v>
      </x:c>
      <x:c r="F38" s="22" t="str"/>
      <x:c r="G38" s="22" t="str"/>
      <x:c r="H38" s="22" t="str">
        <x:v>辛</x:v>
      </x:c>
      <x:c r="I38" s="22" t="str">
        <x:v>凉</x:v>
      </x:c>
      <x:c r="J38" s="22" t="n">
        <x:v>-1</x:v>
      </x:c>
      <x:c r="K38" s="27" t="n">
        <x:v>2.4</x:v>
      </x:c>
      <x:c r="L38" s="27" t="str">
        <x:v>省钱</x:v>
      </x:c>
      <x:c r="M38" s="27" t="n">
        <x:v>7</x:v>
      </x:c>
      <x:c r="N38" s="22" t="str">
        <x:v>凡/灵/玄</x:v>
      </x:c>
      <x:c r="O38" s="22" t="str">
        <x:v>常见</x:v>
      </x:c>
      <x:c r="P38" s="22" t="str">
        <x:v>R-ZJ-E</x:v>
      </x:c>
      <x:c r="Q38" s="22" t="str">
        <x:v>筑基区·溪边</x:v>
      </x:c>
      <x:c r="R38" s="22" t="str">
        <x:v>采集</x:v>
      </x:c>
      <x:c r="S38" s="43" t="str">
        <x:v>取溪边薄荷类灵草之叶露冷凝而成，液色近无，入口先凉后辛；可量产，但久置容易走气。</x:v>
      </x:c>
      <x:c r="T38" s="41" t="str">
        <x:v>使材，无行；五味属辛，辛主气脉，行散开通，使药力遍达周流。性凉，单份药力2.4；入炉专定药力“往何处去”，并与诸材共同计算方性与总药力。</x:v>
      </x:c>
    </x:row>
    <x:row r="39" ht="54" customHeight="1">
      <x:c r="A39" s="22" t="n">
        <x:v>35</x:v>
      </x:c>
      <x:c r="B39" s="22" t="str">
        <x:v>E-ZJ-XIAN-P</x:v>
      </x:c>
      <x:c r="C39" s="22" t="str">
        <x:v>海砂苔</x:v>
      </x:c>
      <x:c r="D39" s="22" t="str">
        <x:v>使</x:v>
      </x:c>
      <x:c r="E39" s="22" t="str">
        <x:v>筑基</x:v>
      </x:c>
      <x:c r="F39" s="22" t="str"/>
      <x:c r="G39" s="22" t="str"/>
      <x:c r="H39" s="22" t="str">
        <x:v>咸</x:v>
      </x:c>
      <x:c r="I39" s="22" t="str">
        <x:v>平</x:v>
      </x:c>
      <x:c r="J39" s="22" t="n">
        <x:v>0</x:v>
      </x:c>
      <x:c r="K39" s="27" t="n">
        <x:v>3.6</x:v>
      </x:c>
      <x:c r="L39" s="27" t="str">
        <x:v>省心</x:v>
      </x:c>
      <x:c r="M39" s="27" t="n">
        <x:v>15</x:v>
      </x:c>
      <x:c r="N39" s="22" t="str">
        <x:v>凡/灵/玄</x:v>
      </x:c>
      <x:c r="O39" s="22" t="str">
        <x:v>常见</x:v>
      </x:c>
      <x:c r="P39" s="22" t="str">
        <x:v>R-ZJ-E</x:v>
      </x:c>
      <x:c r="Q39" s="22" t="str">
        <x:v>筑基区·盐砂滩</x:v>
      </x:c>
      <x:c r="R39" s="22" t="str">
        <x:v>采集</x:v>
      </x:c>
      <x:c r="S39" s="43" t="str">
        <x:v>生在盐砂滩潮线，苔体夹着细白盐晶，潮退后仍保持柔韧；采集时连同附着盐砂一并刮取。</x:v>
      </x:c>
      <x:c r="T39" s="41" t="str">
        <x:v>使材，无行；五味属咸，咸主骨底，软坚入深，使药力沉至先天根基。性平，单份药力3.6；入炉专定药力“往何处去”，并与诸材共同计算方性与总药力。</x:v>
      </x:c>
    </x:row>
    <x:row r="40" ht="54" customHeight="1">
      <x:c r="A40" s="22" t="n">
        <x:v>36</x:v>
      </x:c>
      <x:c r="B40" s="22" t="str">
        <x:v>E-ZJ-XIAN-S</x:v>
      </x:c>
      <x:c r="C40" s="22" t="str">
        <x:v>鲛盐花</x:v>
      </x:c>
      <x:c r="D40" s="22" t="str">
        <x:v>使</x:v>
      </x:c>
      <x:c r="E40" s="22" t="str">
        <x:v>筑基</x:v>
      </x:c>
      <x:c r="F40" s="22" t="str"/>
      <x:c r="G40" s="22" t="str"/>
      <x:c r="H40" s="22" t="str">
        <x:v>咸</x:v>
      </x:c>
      <x:c r="I40" s="22" t="str">
        <x:v>寒</x:v>
      </x:c>
      <x:c r="J40" s="22" t="n">
        <x:v>-2</x:v>
      </x:c>
      <x:c r="K40" s="27" t="n">
        <x:v>3</x:v>
      </x:c>
      <x:c r="L40" s="27" t="str">
        <x:v>常用</x:v>
      </x:c>
      <x:c r="M40" s="27" t="n">
        <x:v>10</x:v>
      </x:c>
      <x:c r="N40" s="22" t="str">
        <x:v>凡/灵/玄</x:v>
      </x:c>
      <x:c r="O40" s="22" t="str">
        <x:v>常见</x:v>
      </x:c>
      <x:c r="P40" s="22" t="str">
        <x:v>R-ZJ-E</x:v>
      </x:c>
      <x:c r="Q40" s="22" t="str">
        <x:v>筑基区·寒潮礁</x:v>
      </x:c>
      <x:c r="R40" s="22" t="str">
        <x:v>采集</x:v>
      </x:c>
      <x:c r="S40" s="43" t="str">
        <x:v>开于寒潮礁石，花瓣半透如薄鳞，花心凝着蓝白盐粒；只在寒潮最高处盛放，采集颇费脚力。</x:v>
      </x:c>
      <x:c r="T40" s="41" t="str">
        <x:v>使材，无行；五味属咸，咸主骨底，软坚入深，使药力沉至先天根基。性寒，单份药力3；入炉专定药力“往何处去”，并与诸材共同计算方性与总药力。</x:v>
      </x:c>
    </x:row>
    <x:row r="41" ht="54" customHeight="1">
      <x:c r="A41" s="22" t="n">
        <x:v>37</x:v>
      </x:c>
      <x:c r="B41" s="22" t="str">
        <x:v>E-ZJ-XIAN-C</x:v>
      </x:c>
      <x:c r="C41" s="22" t="str">
        <x:v>玄盐草</x:v>
      </x:c>
      <x:c r="D41" s="22" t="str">
        <x:v>使</x:v>
      </x:c>
      <x:c r="E41" s="22" t="str">
        <x:v>筑基</x:v>
      </x:c>
      <x:c r="F41" s="22" t="str"/>
      <x:c r="G41" s="22" t="str"/>
      <x:c r="H41" s="22" t="str">
        <x:v>咸</x:v>
      </x:c>
      <x:c r="I41" s="22" t="str">
        <x:v>凉</x:v>
      </x:c>
      <x:c r="J41" s="22" t="n">
        <x:v>-1</x:v>
      </x:c>
      <x:c r="K41" s="27" t="n">
        <x:v>2.4</x:v>
      </x:c>
      <x:c r="L41" s="27" t="str">
        <x:v>省钱</x:v>
      </x:c>
      <x:c r="M41" s="27" t="n">
        <x:v>7</x:v>
      </x:c>
      <x:c r="N41" s="22" t="str">
        <x:v>凡/灵/玄</x:v>
      </x:c>
      <x:c r="O41" s="22" t="str">
        <x:v>常见</x:v>
      </x:c>
      <x:c r="P41" s="22" t="str">
        <x:v>R-ZJ-E</x:v>
      </x:c>
      <x:c r="Q41" s="22" t="str">
        <x:v>筑基区·盐碱地</x:v>
      </x:c>
      <x:c r="R41" s="22" t="str">
        <x:v>采集</x:v>
      </x:c>
      <x:c r="S41" s="43" t="str">
        <x:v>扎根盐碱地，草茎灰紫，叶面会析出细盐霜；耐贫瘠、易栽培，成片割取即可。</x:v>
      </x:c>
      <x:c r="T41" s="41" t="str">
        <x:v>使材，无行；五味属咸，咸主骨底，软坚入深，使药力沉至先天根基。性凉，单份药力2.4；入炉专定药力“往何处去”，并与诸材共同计算方性与总药力。</x:v>
      </x:c>
    </x:row>
    <x:row r="42" ht="54" customHeight="1">
      <x:c r="A42" s="22" t="n">
        <x:v>38</x:v>
      </x:c>
      <x:c r="B42" s="22" t="str">
        <x:v>E-ZJ-KU-P</x:v>
      </x:c>
      <x:c r="C42" s="22" t="str">
        <x:v>净心叶</x:v>
      </x:c>
      <x:c r="D42" s="22" t="str">
        <x:v>使</x:v>
      </x:c>
      <x:c r="E42" s="22" t="str">
        <x:v>筑基</x:v>
      </x:c>
      <x:c r="F42" s="22" t="str"/>
      <x:c r="G42" s="22" t="str"/>
      <x:c r="H42" s="22" t="str">
        <x:v>苦</x:v>
      </x:c>
      <x:c r="I42" s="22" t="str">
        <x:v>平</x:v>
      </x:c>
      <x:c r="J42" s="22" t="n">
        <x:v>0</x:v>
      </x:c>
      <x:c r="K42" s="27" t="n">
        <x:v>3.6</x:v>
      </x:c>
      <x:c r="L42" s="27" t="str">
        <x:v>省心</x:v>
      </x:c>
      <x:c r="M42" s="27" t="n">
        <x:v>15</x:v>
      </x:c>
      <x:c r="N42" s="22" t="str">
        <x:v>凡/灵/玄</x:v>
      </x:c>
      <x:c r="O42" s="22" t="str">
        <x:v>常见</x:v>
      </x:c>
      <x:c r="P42" s="22" t="str">
        <x:v>R-ZJ-E</x:v>
      </x:c>
      <x:c r="Q42" s="22" t="str">
        <x:v>筑基区·静林</x:v>
      </x:c>
      <x:c r="R42" s="22" t="str">
        <x:v>采集</x:v>
      </x:c>
      <x:c r="S42" s="43" t="str">
        <x:v>长在静林深处，叶面平整无虫噬，折断后先有清香、继而回苦；成熟叶脉呈淡银色，宜逐叶采下。</x:v>
      </x:c>
      <x:c r="T42" s="41" t="str">
        <x:v>使材，无行；五味属苦，苦主心神，清降泄浊，使药力入识海并导浊下行。性平，单份药力3.6；入炉专定药力“往何处去”，并与诸材共同计算方性与总药力。</x:v>
      </x:c>
    </x:row>
    <x:row r="43" ht="54" customHeight="1">
      <x:c r="A43" s="22" t="n">
        <x:v>39</x:v>
      </x:c>
      <x:c r="B43" s="22" t="str">
        <x:v>E-ZJ-KU-S</x:v>
      </x:c>
      <x:c r="C43" s="22" t="str">
        <x:v>黄连芽</x:v>
      </x:c>
      <x:c r="D43" s="22" t="str">
        <x:v>使</x:v>
      </x:c>
      <x:c r="E43" s="22" t="str">
        <x:v>筑基</x:v>
      </x:c>
      <x:c r="F43" s="22" t="str"/>
      <x:c r="G43" s="22" t="str"/>
      <x:c r="H43" s="22" t="str">
        <x:v>苦</x:v>
      </x:c>
      <x:c r="I43" s="22" t="str">
        <x:v>凉</x:v>
      </x:c>
      <x:c r="J43" s="22" t="n">
        <x:v>-1</x:v>
      </x:c>
      <x:c r="K43" s="27" t="n">
        <x:v>3</x:v>
      </x:c>
      <x:c r="L43" s="27" t="str">
        <x:v>常用</x:v>
      </x:c>
      <x:c r="M43" s="27" t="n">
        <x:v>10</x:v>
      </x:c>
      <x:c r="N43" s="22" t="str">
        <x:v>凡/灵/玄</x:v>
      </x:c>
      <x:c r="O43" s="22" t="str">
        <x:v>常见</x:v>
      </x:c>
      <x:c r="P43" s="22" t="str">
        <x:v>R-ZJ-E</x:v>
      </x:c>
      <x:c r="Q43" s="22" t="str">
        <x:v>筑基区·阴湿坡</x:v>
      </x:c>
      <x:c r="R43" s="22" t="str">
        <x:v>采集</x:v>
      </x:c>
      <x:c r="S43" s="43" t="str">
        <x:v>生于阴湿坡地，嫩芽黄绿，根旁常积冷露；味苦而气清，生命力强，是常见的引经草材。</x:v>
      </x:c>
      <x:c r="T43" s="41" t="str">
        <x:v>使材，无行；五味属苦，苦主心神，清降泄浊，使药力入识海并导浊下行。性凉，单份药力3；入炉专定药力“往何处去”，并与诸材共同计算方性与总药力。</x:v>
      </x:c>
    </x:row>
    <x:row r="44" ht="54" customHeight="1">
      <x:c r="A44" s="22" t="n">
        <x:v>40</x:v>
      </x:c>
      <x:c r="B44" s="22" t="str">
        <x:v>E-ZJ-KU-C</x:v>
      </x:c>
      <x:c r="C44" s="22" t="str">
        <x:v>苦参汁</x:v>
      </x:c>
      <x:c r="D44" s="22" t="str">
        <x:v>使</x:v>
      </x:c>
      <x:c r="E44" s="22" t="str">
        <x:v>筑基</x:v>
      </x:c>
      <x:c r="F44" s="22" t="str"/>
      <x:c r="G44" s="22" t="str"/>
      <x:c r="H44" s="22" t="str">
        <x:v>苦</x:v>
      </x:c>
      <x:c r="I44" s="22" t="str">
        <x:v>寒</x:v>
      </x:c>
      <x:c r="J44" s="22" t="n">
        <x:v>-2</x:v>
      </x:c>
      <x:c r="K44" s="27" t="n">
        <x:v>2.4</x:v>
      </x:c>
      <x:c r="L44" s="27" t="str">
        <x:v>省钱</x:v>
      </x:c>
      <x:c r="M44" s="27" t="n">
        <x:v>7</x:v>
      </x:c>
      <x:c r="N44" s="22" t="str">
        <x:v>凡/灵/玄</x:v>
      </x:c>
      <x:c r="O44" s="22" t="str">
        <x:v>常见</x:v>
      </x:c>
      <x:c r="P44" s="22" t="str">
        <x:v>R-ZJ-E</x:v>
      </x:c>
      <x:c r="Q44" s="22" t="str">
        <x:v>筑基区·石隙根部</x:v>
      </x:c>
      <x:c r="R44" s="22" t="str">
        <x:v>采集</x:v>
      </x:c>
      <x:c r="S44" s="43" t="str">
        <x:v>从石隙深根中压取，汁液深褐而稠，久置会沉成细屑；原植难整株拔出，故多就地取汁封装。</x:v>
      </x:c>
      <x:c r="T44" s="41" t="str">
        <x:v>使材，无行；五味属苦，苦主心神，清降泄浊，使药力入识海并导浊下行。性寒，单份药力2.4；入炉专定药力“往何处去”，并与诸材共同计算方性与总药力。</x:v>
      </x:c>
    </x:row>
    <x:row r="45" ht="54" customHeight="1">
      <x:c r="A45" s="22" t="n">
        <x:v>41</x:v>
      </x:c>
      <x:c r="B45" s="22" t="str">
        <x:v>E-ZJ-SUAN-P</x:v>
      </x:c>
      <x:c r="C45" s="22" t="str">
        <x:v>乌梅露</x:v>
      </x:c>
      <x:c r="D45" s="22" t="str">
        <x:v>使</x:v>
      </x:c>
      <x:c r="E45" s="22" t="str">
        <x:v>筑基</x:v>
      </x:c>
      <x:c r="F45" s="22" t="str"/>
      <x:c r="G45" s="22" t="str"/>
      <x:c r="H45" s="22" t="str">
        <x:v>酸</x:v>
      </x:c>
      <x:c r="I45" s="22" t="str">
        <x:v>平</x:v>
      </x:c>
      <x:c r="J45" s="22" t="n">
        <x:v>0</x:v>
      </x:c>
      <x:c r="K45" s="27" t="n">
        <x:v>3.6</x:v>
      </x:c>
      <x:c r="L45" s="27" t="str">
        <x:v>省心</x:v>
      </x:c>
      <x:c r="M45" s="27" t="n">
        <x:v>15</x:v>
      </x:c>
      <x:c r="N45" s="22" t="str">
        <x:v>凡/灵/玄</x:v>
      </x:c>
      <x:c r="O45" s="22" t="str">
        <x:v>常见</x:v>
      </x:c>
      <x:c r="P45" s="22" t="str">
        <x:v>R-ZJ-E</x:v>
      </x:c>
      <x:c r="Q45" s="22" t="str">
        <x:v>筑基区·梅林</x:v>
      </x:c>
      <x:c r="R45" s="22" t="str">
        <x:v>采集</x:v>
      </x:c>
      <x:c r="S45" s="43" t="str">
        <x:v>采自筑基区老梅林，成熟果皮乌润，晨间会自然沁出酸香清露；露液需以竹槽承接，不伤果核。</x:v>
      </x:c>
      <x:c r="T45" s="41" t="str">
        <x:v>使材，无行；五味属酸，酸主血肉，收敛固摄，使药力归于筋血肌理。性平，单份药力3.6；入炉专定药力“往何处去”，并与诸材共同计算方性与总药力。</x:v>
      </x:c>
    </x:row>
    <x:row r="46" ht="54" customHeight="1">
      <x:c r="A46" s="22" t="n">
        <x:v>42</x:v>
      </x:c>
      <x:c r="B46" s="22" t="str">
        <x:v>E-ZJ-SUAN-S</x:v>
      </x:c>
      <x:c r="C46" s="22" t="str">
        <x:v>山楂膏</x:v>
      </x:c>
      <x:c r="D46" s="22" t="str">
        <x:v>使</x:v>
      </x:c>
      <x:c r="E46" s="22" t="str">
        <x:v>筑基</x:v>
      </x:c>
      <x:c r="F46" s="22" t="str"/>
      <x:c r="G46" s="22" t="str"/>
      <x:c r="H46" s="22" t="str">
        <x:v>酸</x:v>
      </x:c>
      <x:c r="I46" s="22" t="str">
        <x:v>温</x:v>
      </x:c>
      <x:c r="J46" s="22" t="n">
        <x:v>1</x:v>
      </x:c>
      <x:c r="K46" s="27" t="n">
        <x:v>3</x:v>
      </x:c>
      <x:c r="L46" s="27" t="str">
        <x:v>常用</x:v>
      </x:c>
      <x:c r="M46" s="27" t="n">
        <x:v>10</x:v>
      </x:c>
      <x:c r="N46" s="22" t="str">
        <x:v>凡/灵/玄</x:v>
      </x:c>
      <x:c r="O46" s="22" t="str">
        <x:v>常见</x:v>
      </x:c>
      <x:c r="P46" s="22" t="str">
        <x:v>R-ZJ-E</x:v>
      </x:c>
      <x:c r="Q46" s="22" t="str">
        <x:v>筑基区·山坡果林</x:v>
      </x:c>
      <x:c r="R46" s="22" t="str">
        <x:v>采集</x:v>
      </x:c>
      <x:c r="S46" s="43" t="str">
        <x:v>由山坡果林灵山楂慢火收成膏体，色赤褐、质黏稠，带清锐果香；原果产量高，便于作坊批制。</x:v>
      </x:c>
      <x:c r="T46" s="41" t="str">
        <x:v>使材，无行；五味属酸，酸主血肉，收敛固摄，使药力归于筋血肌理。性温，单份药力3；入炉专定药力“往何处去”，并与诸材共同计算方性与总药力。</x:v>
      </x:c>
    </x:row>
    <x:row r="47" ht="54" customHeight="1">
      <x:c r="A47" s="22" t="n">
        <x:v>43</x:v>
      </x:c>
      <x:c r="B47" s="22" t="str">
        <x:v>E-ZJ-SUAN-C</x:v>
      </x:c>
      <x:c r="C47" s="22" t="str">
        <x:v>酸枝髓</x:v>
      </x:c>
      <x:c r="D47" s="22" t="str">
        <x:v>使</x:v>
      </x:c>
      <x:c r="E47" s="22" t="str">
        <x:v>筑基</x:v>
      </x:c>
      <x:c r="F47" s="22" t="str"/>
      <x:c r="G47" s="22" t="str"/>
      <x:c r="H47" s="22" t="str">
        <x:v>酸</x:v>
      </x:c>
      <x:c r="I47" s="22" t="str">
        <x:v>凉</x:v>
      </x:c>
      <x:c r="J47" s="22" t="n">
        <x:v>-1</x:v>
      </x:c>
      <x:c r="K47" s="27" t="n">
        <x:v>2.4</x:v>
      </x:c>
      <x:c r="L47" s="27" t="str">
        <x:v>省钱</x:v>
      </x:c>
      <x:c r="M47" s="27" t="n">
        <x:v>7</x:v>
      </x:c>
      <x:c r="N47" s="22" t="str">
        <x:v>凡/灵/玄</x:v>
      </x:c>
      <x:c r="O47" s="22" t="str">
        <x:v>常见</x:v>
      </x:c>
      <x:c r="P47" s="22" t="str">
        <x:v>R-ZJ-E</x:v>
      </x:c>
      <x:c r="Q47" s="22" t="str">
        <x:v>筑基区·老木心材</x:v>
      </x:c>
      <x:c r="R47" s="22" t="str">
        <x:v>采集</x:v>
      </x:c>
      <x:c r="S47" s="43" t="str">
        <x:v>取自老木心材的酸润髓液，颜色浅褐，离木后渐凝如果冻；须从自然裂隙导出，不宜大伤树身。</x:v>
      </x:c>
      <x:c r="T47" s="41" t="str">
        <x:v>使材，无行；五味属酸，酸主血肉，收敛固摄，使药力归于筋血肌理。性凉，单份药力2.4；入炉专定药力“往何处去”，并与诸材共同计算方性与总药力。</x:v>
      </x:c>
    </x:row>
    <x:row r="48" ht="54" customHeight="1">
      <x:c r="A48" s="24" t="n">
        <x:v>44</x:v>
      </x:c>
      <x:c r="B48" s="24" t="str">
        <x:v>A-ZJ-H</x:v>
      </x:c>
      <x:c r="C48" s="24" t="str">
        <x:v>冰髓苔</x:v>
      </x:c>
      <x:c r="D48" s="24" t="str">
        <x:v>佐</x:v>
      </x:c>
      <x:c r="E48" s="24" t="str">
        <x:v>筑基</x:v>
      </x:c>
      <x:c r="F48" s="24" t="str"/>
      <x:c r="G48" s="24" t="str"/>
      <x:c r="H48" s="24" t="str"/>
      <x:c r="I48" s="24" t="str">
        <x:v>寒</x:v>
      </x:c>
      <x:c r="J48" s="24" t="n">
        <x:v>-2</x:v>
      </x:c>
      <x:c r="K48" s="28" t="n">
        <x:v>3</x:v>
      </x:c>
      <x:c r="L48" s="28" t="str">
        <x:v>常用</x:v>
      </x:c>
      <x:c r="M48" s="28" t="n">
        <x:v>8</x:v>
      </x:c>
      <x:c r="N48" s="24" t="str">
        <x:v>凡/灵/玄</x:v>
      </x:c>
      <x:c r="O48" s="24" t="str">
        <x:v>常见</x:v>
      </x:c>
      <x:c r="P48" s="24" t="str">
        <x:v>R-ZJ-A</x:v>
      </x:c>
      <x:c r="Q48" s="24" t="str">
        <x:v>筑基区·寒泉底</x:v>
      </x:c>
      <x:c r="R48" s="24" t="str">
        <x:v>采集</x:v>
      </x:c>
      <x:c r="S48" s="44" t="str">
        <x:v>生于寒泉底部，苔层中夹有针状冰晶，离水后仍冷雾缭绕；采者需以骨铲连底泥轻轻揭取。</x:v>
      </x:c>
      <x:c r="T48" s="41" t="str">
        <x:v>佐材，无行无味；性寒，单份药力3。入炉专司调和，以-2性值校准全炉寒热，使方性达到目标，同时补足总药力。</x:v>
      </x:c>
    </x:row>
    <x:row r="49" ht="54" customHeight="1">
      <x:c r="A49" s="24" t="n">
        <x:v>45</x:v>
      </x:c>
      <x:c r="B49" s="24" t="str">
        <x:v>A-ZJ-C</x:v>
      </x:c>
      <x:c r="C49" s="24" t="str">
        <x:v>清凉藓</x:v>
      </x:c>
      <x:c r="D49" s="24" t="str">
        <x:v>佐</x:v>
      </x:c>
      <x:c r="E49" s="24" t="str">
        <x:v>筑基</x:v>
      </x:c>
      <x:c r="F49" s="24" t="str"/>
      <x:c r="G49" s="24" t="str"/>
      <x:c r="H49" s="24" t="str"/>
      <x:c r="I49" s="24" t="str">
        <x:v>凉</x:v>
      </x:c>
      <x:c r="J49" s="24" t="n">
        <x:v>-1</x:v>
      </x:c>
      <x:c r="K49" s="28" t="n">
        <x:v>3</x:v>
      </x:c>
      <x:c r="L49" s="28" t="str">
        <x:v>常用</x:v>
      </x:c>
      <x:c r="M49" s="28" t="n">
        <x:v>10</x:v>
      </x:c>
      <x:c r="N49" s="24" t="str">
        <x:v>凡/灵/玄</x:v>
      </x:c>
      <x:c r="O49" s="24" t="str">
        <x:v>常见</x:v>
      </x:c>
      <x:c r="P49" s="24" t="str">
        <x:v>R-ZJ-A</x:v>
      </x:c>
      <x:c r="Q49" s="24" t="str">
        <x:v>筑基区·阴湿岩面</x:v>
      </x:c>
      <x:c r="R49" s="24" t="str">
        <x:v>采集</x:v>
      </x:c>
      <x:c r="S49" s="44" t="str">
        <x:v>贴生阴湿岩面，叶片薄软，触手清凉而不结霜；繁殖快、分布广，雨后最易整片收集。</x:v>
      </x:c>
      <x:c r="T49" s="41" t="str">
        <x:v>佐材，无行无味；性凉，单份药力3。入炉专司调和，以-1性值校准全炉寒热，使方性达到目标，同时补足总药力。</x:v>
      </x:c>
    </x:row>
    <x:row r="50" ht="54" customHeight="1">
      <x:c r="A50" s="24" t="n">
        <x:v>46</x:v>
      </x:c>
      <x:c r="B50" s="24" t="str">
        <x:v>A-ZJ-P</x:v>
      </x:c>
      <x:c r="C50" s="24" t="str">
        <x:v>中和草</x:v>
      </x:c>
      <x:c r="D50" s="24" t="str">
        <x:v>佐</x:v>
      </x:c>
      <x:c r="E50" s="24" t="str">
        <x:v>筑基</x:v>
      </x:c>
      <x:c r="F50" s="24" t="str"/>
      <x:c r="G50" s="24" t="str"/>
      <x:c r="H50" s="24" t="str"/>
      <x:c r="I50" s="24" t="str">
        <x:v>平</x:v>
      </x:c>
      <x:c r="J50" s="24" t="n">
        <x:v>0</x:v>
      </x:c>
      <x:c r="K50" s="28" t="n">
        <x:v>3.6</x:v>
      </x:c>
      <x:c r="L50" s="28" t="str">
        <x:v>省心</x:v>
      </x:c>
      <x:c r="M50" s="28" t="n">
        <x:v>15</x:v>
      </x:c>
      <x:c r="N50" s="24" t="str">
        <x:v>凡/灵/玄</x:v>
      </x:c>
      <x:c r="O50" s="24" t="str">
        <x:v>常见</x:v>
      </x:c>
      <x:c r="P50" s="24" t="str">
        <x:v>R-ZJ-A</x:v>
      </x:c>
      <x:c r="Q50" s="24" t="str">
        <x:v>筑基区·灵田边</x:v>
      </x:c>
      <x:c r="R50" s="24" t="str">
        <x:v>采集</x:v>
      </x:c>
      <x:c r="S50" s="44" t="str">
        <x:v>常见于灵田边界，草茎青灰，寒暑间形色少变；不争肥土、极易移栽，是最稳定的调和草材。</x:v>
      </x:c>
      <x:c r="T50" s="41" t="str">
        <x:v>佐材，无行无味；性平，单份药力3.6。入炉专司调和，以0性值校准全炉寒热，使方性达到目标，同时补足总药力。</x:v>
      </x:c>
    </x:row>
    <x:row r="51" ht="54" customHeight="1">
      <x:c r="A51" s="24" t="n">
        <x:v>47</x:v>
      </x:c>
      <x:c r="B51" s="24" t="str">
        <x:v>A-ZJ-W</x:v>
      </x:c>
      <x:c r="C51" s="24" t="str">
        <x:v>暖阳苔</x:v>
      </x:c>
      <x:c r="D51" s="24" t="str">
        <x:v>佐</x:v>
      </x:c>
      <x:c r="E51" s="24" t="str">
        <x:v>筑基</x:v>
      </x:c>
      <x:c r="F51" s="24" t="str"/>
      <x:c r="G51" s="24" t="str"/>
      <x:c r="H51" s="24" t="str"/>
      <x:c r="I51" s="24" t="str">
        <x:v>温</x:v>
      </x:c>
      <x:c r="J51" s="24" t="n">
        <x:v>1</x:v>
      </x:c>
      <x:c r="K51" s="28" t="n">
        <x:v>3</x:v>
      </x:c>
      <x:c r="L51" s="28" t="str">
        <x:v>常用</x:v>
      </x:c>
      <x:c r="M51" s="28" t="n">
        <x:v>10</x:v>
      </x:c>
      <x:c r="N51" s="24" t="str">
        <x:v>凡/灵/玄</x:v>
      </x:c>
      <x:c r="O51" s="24" t="str">
        <x:v>常见</x:v>
      </x:c>
      <x:c r="P51" s="24" t="str">
        <x:v>R-ZJ-A</x:v>
      </x:c>
      <x:c r="Q51" s="24" t="str">
        <x:v>筑基区·向阳石面</x:v>
      </x:c>
      <x:c r="R51" s="24" t="str">
        <x:v>采集</x:v>
      </x:c>
      <x:c r="S51" s="44" t="str">
        <x:v>贴生向阳石面，苔色暖黄，晨昏均带柔和余温；日照越足长势越厚，可周期性刮取。</x:v>
      </x:c>
      <x:c r="T51" s="41" t="str">
        <x:v>佐材，无行无味；性温，单份药力3。入炉专司调和，以+1性值校准全炉寒热，使方性达到目标，同时补足总药力。</x:v>
      </x:c>
    </x:row>
    <x:row r="52" ht="54" customHeight="1">
      <x:c r="A52" s="24" t="n">
        <x:v>48</x:v>
      </x:c>
      <x:c r="B52" s="24" t="str">
        <x:v>A-ZJ-T</x:v>
      </x:c>
      <x:c r="C52" s="24" t="str">
        <x:v>焰髓砂</x:v>
      </x:c>
      <x:c r="D52" s="24" t="str">
        <x:v>佐</x:v>
      </x:c>
      <x:c r="E52" s="24" t="str">
        <x:v>筑基</x:v>
      </x:c>
      <x:c r="F52" s="24" t="str"/>
      <x:c r="G52" s="24" t="str"/>
      <x:c r="H52" s="24" t="str"/>
      <x:c r="I52" s="24" t="str">
        <x:v>热</x:v>
      </x:c>
      <x:c r="J52" s="24" t="n">
        <x:v>2</x:v>
      </x:c>
      <x:c r="K52" s="28" t="n">
        <x:v>3</x:v>
      </x:c>
      <x:c r="L52" s="28" t="str">
        <x:v>常用</x:v>
      </x:c>
      <x:c r="M52" s="28" t="n">
        <x:v>8</x:v>
      </x:c>
      <x:c r="N52" s="24" t="str">
        <x:v>凡/灵/玄</x:v>
      </x:c>
      <x:c r="O52" s="24" t="str">
        <x:v>常见</x:v>
      </x:c>
      <x:c r="P52" s="24" t="str">
        <x:v>R-ZJ-A</x:v>
      </x:c>
      <x:c r="Q52" s="24" t="str">
        <x:v>筑基区·火岩砂层</x:v>
      </x:c>
      <x:c r="R52" s="24" t="str">
        <x:v>采集</x:v>
      </x:c>
      <x:c r="S52" s="44" t="str">
        <x:v>凝在火岩砂层，颗粒赤红，外壳似砂，碾开可见暗亮髓心；多在岩浆退潮后筛取，需隔热封装。</x:v>
      </x:c>
      <x:c r="T52" s="41" t="str">
        <x:v>佐材，无行无味；性热，单份药力3。入炉专司调和，以+2性值校准全炉寒热，使方性达到目标，同时补足总药力。</x:v>
      </x:c>
    </x:row>
  </x:sheetData>
  <x:mergeCells>
    <x:mergeCell ref="A1:T1"/>
    <x:mergeCell ref="A2:T2"/>
  </x:mergeCells>
  <x:dataValidations count="3">
    <x:dataValidation type="list" sqref="D5:D52">
      <x:formula1>"君,臣,佐,使"</x:formula1>
    </x:dataValidation>
    <x:dataValidation type="list" sqref="I5:I52">
      <x:formula1>"寒,凉,平,温,热"</x:formula1>
    </x:dataValidation>
    <x:dataValidation type="list" sqref="L5:L52">
      <x:formula1>"—,省心,常用,省钱"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6" hidden="0" customWidth="1"/>
    <x:col min="5" max="5" width="4" hidden="0" customWidth="1"/>
    <x:col min="6" max="6" width="14" hidden="0" customWidth="1"/>
    <x:col min="7" max="7" width="12" hidden="0" customWidth="1"/>
    <x:col min="8" max="8" width="12" hidden="0" customWidth="1"/>
    <x:col min="9" max="9" width="12" hidden="0" customWidth="1"/>
    <x:col min="10" max="10" width="4" hidden="0" customWidth="1"/>
    <x:col min="11" max="11" width="14" hidden="0" customWidth="1"/>
    <x:col min="12" max="12" width="12" hidden="0" customWidth="1"/>
    <x:col min="13" max="13" width="12" hidden="0" customWidth="1"/>
    <x:col min="14" max="14" width="12" hidden="0" customWidth="1"/>
    <x:col min="15" max="15" width="4" hidden="0" customWidth="1"/>
    <x:col min="16" max="16" width="14" hidden="0" customWidth="1"/>
    <x:col min="17" max="17" width="18" hidden="0" customWidth="1"/>
  </x:cols>
  <x:sheetData>
    <x:row r="1" ht="30" customHeight="1">
      <x:c r="A1" s="3" t="str">
        <x:v>参数字典｜品质系数、五行五味性池与枚举</x:v>
      </x:c>
      <x:c r="B1" s="3" t="str">
        <x:v>参数字典｜品质系数、五行五味性池与枚举</x:v>
      </x:c>
      <x:c r="C1" s="3" t="str">
        <x:v>参数字典｜品质系数、五行五味性池与枚举</x:v>
      </x:c>
      <x:c r="D1" s="3" t="str">
        <x:v>参数字典｜品质系数、五行五味性池与枚举</x:v>
      </x:c>
      <x:c r="E1" s="3" t="str">
        <x:v>参数字典｜品质系数、五行五味性池与枚举</x:v>
      </x:c>
      <x:c r="F1" s="3" t="str">
        <x:v>参数字典｜品质系数、五行五味性池与枚举</x:v>
      </x:c>
      <x:c r="G1" s="3" t="str">
        <x:v>参数字典｜品质系数、五行五味性池与枚举</x:v>
      </x:c>
      <x:c r="H1" s="3" t="str">
        <x:v>参数字典｜品质系数、五行五味性池与枚举</x:v>
      </x:c>
      <x:c r="I1" s="3" t="str">
        <x:v>参数字典｜品质系数、五行五味性池与枚举</x:v>
      </x:c>
      <x:c r="J1" s="3" t="str">
        <x:v>参数字典｜品质系数、五行五味性池与枚举</x:v>
      </x:c>
      <x:c r="K1" s="3" t="str">
        <x:v>参数字典｜品质系数、五行五味性池与枚举</x:v>
      </x:c>
      <x:c r="L1" s="3" t="str">
        <x:v>参数字典｜品质系数、五行五味性池与枚举</x:v>
      </x:c>
      <x:c r="M1" s="3" t="str">
        <x:v>参数字典｜品质系数、五行五味性池与枚举</x:v>
      </x:c>
      <x:c r="N1" s="3" t="str">
        <x:v>参数字典｜品质系数、五行五味性池与枚举</x:v>
      </x:c>
      <x:c r="O1" s="3" t="str">
        <x:v>参数字典｜品质系数、五行五味性池与枚举</x:v>
      </x:c>
      <x:c r="P1" s="3" t="str">
        <x:v>参数字典｜品质系数、五行五味性池与枚举</x:v>
      </x:c>
      <x:c r="Q1" s="3" t="str">
        <x:v>参数字典｜品质系数、五行五味性池与枚举</x:v>
      </x:c>
    </x:row>
    <x:row r="2" ht="25" customHeight="1">
      <x:c r="A2" s="7" t="str">
        <x:v>所有跨表计算引用本页；蓝色区为可调工作值</x:v>
      </x:c>
      <x:c r="B2" s="7" t="str">
        <x:v>所有跨表计算引用本页；蓝色区为可调工作值</x:v>
      </x:c>
      <x:c r="C2" s="7" t="str">
        <x:v>所有跨表计算引用本页；蓝色区为可调工作值</x:v>
      </x:c>
      <x:c r="D2" s="7" t="str">
        <x:v>所有跨表计算引用本页；蓝色区为可调工作值</x:v>
      </x:c>
      <x:c r="E2" s="7" t="str">
        <x:v>所有跨表计算引用本页；蓝色区为可调工作值</x:v>
      </x:c>
      <x:c r="F2" s="7" t="str">
        <x:v>所有跨表计算引用本页；蓝色区为可调工作值</x:v>
      </x:c>
      <x:c r="G2" s="7" t="str">
        <x:v>所有跨表计算引用本页；蓝色区为可调工作值</x:v>
      </x:c>
      <x:c r="H2" s="7" t="str">
        <x:v>所有跨表计算引用本页；蓝色区为可调工作值</x:v>
      </x:c>
      <x:c r="I2" s="7" t="str">
        <x:v>所有跨表计算引用本页；蓝色区为可调工作值</x:v>
      </x:c>
      <x:c r="J2" s="7" t="str">
        <x:v>所有跨表计算引用本页；蓝色区为可调工作值</x:v>
      </x:c>
      <x:c r="K2" s="7" t="str">
        <x:v>所有跨表计算引用本页；蓝色区为可调工作值</x:v>
      </x:c>
      <x:c r="L2" s="7" t="str">
        <x:v>所有跨表计算引用本页；蓝色区为可调工作值</x:v>
      </x:c>
      <x:c r="M2" s="7" t="str">
        <x:v>所有跨表计算引用本页；蓝色区为可调工作值</x:v>
      </x:c>
      <x:c r="N2" s="7" t="str">
        <x:v>所有跨表计算引用本页；蓝色区为可调工作值</x:v>
      </x:c>
      <x:c r="O2" s="7" t="str">
        <x:v>所有跨表计算引用本页；蓝色区为可调工作值</x:v>
      </x:c>
      <x:c r="P2" s="7" t="str">
        <x:v>所有跨表计算引用本页；蓝色区为可调工作值</x:v>
      </x:c>
      <x:c r="Q2" s="7" t="str">
        <x:v>所有跨表计算引用本页；蓝色区为可调工作值</x:v>
      </x:c>
    </x:row>
    <x:row r="4">
      <x:c r="A4" s="12" t="str">
        <x:v>品质</x:v>
      </x:c>
      <x:c r="B4" s="12" t="str">
        <x:v>药力系数</x:v>
      </x:c>
      <x:c r="C4" s="12" t="str">
        <x:v>成本系数</x:v>
      </x:c>
      <x:c r="D4" s="12" t="str">
        <x:v>成品售价系数</x:v>
      </x:c>
      <x:c r="F4" s="12" t="str">
        <x:v>臣行</x:v>
      </x:c>
      <x:c r="G4" s="12" t="str">
        <x:v>省心性</x:v>
      </x:c>
      <x:c r="H4" s="12" t="str">
        <x:v>常用性</x:v>
      </x:c>
      <x:c r="I4" s="12" t="str">
        <x:v>省钱性</x:v>
      </x:c>
      <x:c r="K4" s="12" t="str">
        <x:v>使味</x:v>
      </x:c>
      <x:c r="L4" s="12" t="str">
        <x:v>省心性</x:v>
      </x:c>
      <x:c r="M4" s="12" t="str">
        <x:v>常用性</x:v>
      </x:c>
      <x:c r="N4" s="12" t="str">
        <x:v>省钱性</x:v>
      </x:c>
      <x:c r="P4" s="12" t="str">
        <x:v>佐性值</x:v>
      </x:c>
      <x:c r="Q4" s="12" t="str">
        <x:v>佐材ID</x:v>
      </x:c>
    </x:row>
    <x:row r="5">
      <x:c r="A5" s="22" t="str">
        <x:v>凡</x:v>
      </x:c>
      <x:c r="B5" s="22" t="n">
        <x:v>1</x:v>
      </x:c>
      <x:c r="C5" s="22" t="n">
        <x:v>1</x:v>
      </x:c>
      <x:c r="D5" s="22" t="n">
        <x:v>1</x:v>
      </x:c>
      <x:c r="F5" s="16" t="str">
        <x:v>木</x:v>
      </x:c>
      <x:c r="G5" s="16" t="n">
        <x:v>0</x:v>
      </x:c>
      <x:c r="H5" s="16" t="n">
        <x:v>1</x:v>
      </x:c>
      <x:c r="I5" s="16" t="n">
        <x:v>2</x:v>
      </x:c>
      <x:c r="K5" s="16" t="str">
        <x:v>甘</x:v>
      </x:c>
      <x:c r="L5" s="16" t="n">
        <x:v>0</x:v>
      </x:c>
      <x:c r="M5" s="16" t="n">
        <x:v>-1</x:v>
      </x:c>
      <x:c r="N5" s="16" t="n">
        <x:v>1</x:v>
      </x:c>
      <x:c r="P5" s="16" t="n">
        <x:v>-2</x:v>
      </x:c>
      <x:c r="Q5" s="16" t="str">
        <x:v>A-ZJ-H</x:v>
      </x:c>
    </x:row>
    <x:row r="6">
      <x:c r="A6" s="22" t="str">
        <x:v>灵</x:v>
      </x:c>
      <x:c r="B6" s="22" t="n">
        <x:v>2</x:v>
      </x:c>
      <x:c r="C6" s="22" t="n">
        <x:v>2.2</x:v>
      </x:c>
      <x:c r="D6" s="22" t="n">
        <x:v>2</x:v>
      </x:c>
      <x:c r="F6" s="16" t="str">
        <x:v>火</x:v>
      </x:c>
      <x:c r="G6" s="16" t="n">
        <x:v>0</x:v>
      </x:c>
      <x:c r="H6" s="16" t="n">
        <x:v>2</x:v>
      </x:c>
      <x:c r="I6" s="16" t="n">
        <x:v>1</x:v>
      </x:c>
      <x:c r="K6" s="16" t="str">
        <x:v>辛</x:v>
      </x:c>
      <x:c r="L6" s="16" t="n">
        <x:v>0</x:v>
      </x:c>
      <x:c r="M6" s="16" t="n">
        <x:v>1</x:v>
      </x:c>
      <x:c r="N6" s="16" t="n">
        <x:v>-1</x:v>
      </x:c>
      <x:c r="P6" s="16" t="n">
        <x:v>-1</x:v>
      </x:c>
      <x:c r="Q6" s="16" t="str">
        <x:v>A-ZJ-C</x:v>
      </x:c>
    </x:row>
    <x:row r="7">
      <x:c r="A7" s="22" t="str">
        <x:v>玄</x:v>
      </x:c>
      <x:c r="B7" s="22" t="n">
        <x:v>3</x:v>
      </x:c>
      <x:c r="C7" s="22" t="n">
        <x:v>5</x:v>
      </x:c>
      <x:c r="D7" s="22" t="n">
        <x:v>4</x:v>
      </x:c>
      <x:c r="F7" s="16" t="str">
        <x:v>土</x:v>
      </x:c>
      <x:c r="G7" s="16" t="n">
        <x:v>0</x:v>
      </x:c>
      <x:c r="H7" s="16" t="n">
        <x:v>1</x:v>
      </x:c>
      <x:c r="I7" s="16" t="n">
        <x:v>-1</x:v>
      </x:c>
      <x:c r="K7" s="16" t="str">
        <x:v>咸</x:v>
      </x:c>
      <x:c r="L7" s="16" t="n">
        <x:v>0</x:v>
      </x:c>
      <x:c r="M7" s="16" t="n">
        <x:v>-2</x:v>
      </x:c>
      <x:c r="N7" s="16" t="n">
        <x:v>-1</x:v>
      </x:c>
      <x:c r="P7" s="16" t="n">
        <x:v>0</x:v>
      </x:c>
      <x:c r="Q7" s="16" t="str">
        <x:v>A-ZJ-P</x:v>
      </x:c>
    </x:row>
    <x:row r="8">
      <x:c r="F8" s="16" t="str">
        <x:v>金</x:v>
      </x:c>
      <x:c r="G8" s="16" t="n">
        <x:v>0</x:v>
      </x:c>
      <x:c r="H8" s="16" t="n">
        <x:v>-1</x:v>
      </x:c>
      <x:c r="I8" s="16" t="n">
        <x:v>-2</x:v>
      </x:c>
      <x:c r="K8" s="16" t="str">
        <x:v>苦</x:v>
      </x:c>
      <x:c r="L8" s="16" t="n">
        <x:v>0</x:v>
      </x:c>
      <x:c r="M8" s="16" t="n">
        <x:v>-1</x:v>
      </x:c>
      <x:c r="N8" s="16" t="n">
        <x:v>-2</x:v>
      </x:c>
      <x:c r="P8" s="16" t="n">
        <x:v>1</x:v>
      </x:c>
      <x:c r="Q8" s="16" t="str">
        <x:v>A-ZJ-W</x:v>
      </x:c>
    </x:row>
    <x:row r="9">
      <x:c r="F9" s="16" t="str">
        <x:v>水</x:v>
      </x:c>
      <x:c r="G9" s="16" t="n">
        <x:v>0</x:v>
      </x:c>
      <x:c r="H9" s="16" t="n">
        <x:v>-1</x:v>
      </x:c>
      <x:c r="I9" s="16" t="n">
        <x:v>-2</x:v>
      </x:c>
      <x:c r="K9" s="16" t="str">
        <x:v>酸</x:v>
      </x:c>
      <x:c r="L9" s="16" t="n">
        <x:v>0</x:v>
      </x:c>
      <x:c r="M9" s="16" t="n">
        <x:v>1</x:v>
      </x:c>
      <x:c r="N9" s="16" t="n">
        <x:v>-1</x:v>
      </x:c>
      <x:c r="P9" s="16" t="n">
        <x:v>2</x:v>
      </x:c>
      <x:c r="Q9" s="16" t="str">
        <x:v>A-ZJ-T</x:v>
      </x:c>
    </x:row>
    <x:row r="11">
      <x:c r="A11" s="21" t="str">
        <x:v>性按物种各算一次；药力按基础药力×品质系数×数量；成本按基础价格×品质成本系数×数量。</x:v>
      </x:c>
      <x:c r="B11" s="21" t="str">
        <x:v>性按物种各算一次；药力按基础药力×品质系数×数量；成本按基础价格×品质成本系数×数量。</x:v>
      </x:c>
      <x:c r="C11" s="21" t="str">
        <x:v>性按物种各算一次；药力按基础药力×品质系数×数量；成本按基础价格×品质成本系数×数量。</x:v>
      </x:c>
      <x:c r="D11" s="21" t="str">
        <x:v>性按物种各算一次；药力按基础药力×品质系数×数量；成本按基础价格×品质成本系数×数量。</x:v>
      </x:c>
      <x:c r="E11" s="21" t="str">
        <x:v>性按物种各算一次；药力按基础药力×品质系数×数量；成本按基础价格×品质成本系数×数量。</x:v>
      </x:c>
      <x:c r="F11" s="21" t="str">
        <x:v>性按物种各算一次；药力按基础药力×品质系数×数量；成本按基础价格×品质成本系数×数量。</x:v>
      </x:c>
      <x:c r="G11" s="21" t="str">
        <x:v>性按物种各算一次；药力按基础药力×品质系数×数量；成本按基础价格×品质成本系数×数量。</x:v>
      </x:c>
      <x:c r="H11" s="21" t="str">
        <x:v>性按物种各算一次；药力按基础药力×品质系数×数量；成本按基础价格×品质成本系数×数量。</x:v>
      </x:c>
      <x:c r="I11" s="21" t="str">
        <x:v>性按物种各算一次；药力按基础药力×品质系数×数量；成本按基础价格×品质成本系数×数量。</x:v>
      </x:c>
      <x:c r="J11" s="21" t="str">
        <x:v>性按物种各算一次；药力按基础药力×品质系数×数量；成本按基础价格×品质成本系数×数量。</x:v>
      </x:c>
      <x:c r="K11" s="21" t="str">
        <x:v>性按物种各算一次；药力按基础药力×品质系数×数量；成本按基础价格×品质成本系数×数量。</x:v>
      </x:c>
      <x:c r="L11" s="21" t="str">
        <x:v>性按物种各算一次；药力按基础药力×品质系数×数量；成本按基础价格×品质成本系数×数量。</x:v>
      </x:c>
      <x:c r="M11" s="21" t="str">
        <x:v>性按物种各算一次；药力按基础药力×品质系数×数量；成本按基础价格×品质成本系数×数量。</x:v>
      </x:c>
      <x:c r="N11" s="21" t="str">
        <x:v>性按物种各算一次；药力按基础药力×品质系数×数量；成本按基础价格×品质成本系数×数量。</x:v>
      </x:c>
      <x:c r="O11" s="21" t="str">
        <x:v>性按物种各算一次；药力按基础药力×品质系数×数量；成本按基础价格×品质成本系数×数量。</x:v>
      </x:c>
      <x:c r="P11" s="21" t="str">
        <x:v>性按物种各算一次；药力按基础药力×品质系数×数量；成本按基础价格×品质成本系数×数量。</x:v>
      </x:c>
      <x:c r="Q11" s="21" t="str">
        <x:v>性按物种各算一次；药力按基础药力×品质系数×数量；成本按基础价格×品质成本系数×数量。</x:v>
      </x:c>
    </x:row>
  </x:sheetData>
  <x:mergeCells>
    <x:mergeCell ref="A1:Q1"/>
    <x:mergeCell ref="A2:Q2"/>
    <x:mergeCell ref="A11:Q1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6" hidden="0" customWidth="1"/>
    <x:col min="3" max="3" width="14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9" hidden="0" customWidth="1"/>
    <x:col min="22" max="22" width="9" hidden="0" customWidth="1"/>
    <x:col min="23" max="23" width="10" hidden="0" customWidth="1"/>
  </x:cols>
  <x:sheetData>
    <x:row r="1" ht="30" customHeight="1">
      <x:c r="A1" s="3" t="str">
        <x:v>合法物种组合计算｜四格各一物种</x:v>
      </x:c>
      <x:c r="B1" s="3" t="str">
        <x:v>合法物种组合计算｜四格各一物种</x:v>
      </x:c>
      <x:c r="C1" s="3" t="str">
        <x:v>合法物种组合计算｜四格各一物种</x:v>
      </x:c>
      <x:c r="D1" s="3" t="str">
        <x:v>合法物种组合计算｜四格各一物种</x:v>
      </x:c>
      <x:c r="E1" s="3" t="str">
        <x:v>合法物种组合计算｜四格各一物种</x:v>
      </x:c>
      <x:c r="F1" s="3" t="str">
        <x:v>合法物种组合计算｜四格各一物种</x:v>
      </x:c>
      <x:c r="G1" s="3" t="str">
        <x:v>合法物种组合计算｜四格各一物种</x:v>
      </x:c>
      <x:c r="H1" s="3" t="str">
        <x:v>合法物种组合计算｜四格各一物种</x:v>
      </x:c>
      <x:c r="I1" s="3" t="str">
        <x:v>合法物种组合计算｜四格各一物种</x:v>
      </x:c>
      <x:c r="J1" s="3" t="str">
        <x:v>合法物种组合计算｜四格各一物种</x:v>
      </x:c>
      <x:c r="K1" s="3" t="str">
        <x:v>合法物种组合计算｜四格各一物种</x:v>
      </x:c>
      <x:c r="L1" s="3" t="str">
        <x:v>合法物种组合计算｜四格各一物种</x:v>
      </x:c>
      <x:c r="M1" s="3" t="str">
        <x:v>合法物种组合计算｜四格各一物种</x:v>
      </x:c>
      <x:c r="N1" s="3" t="str">
        <x:v>合法物种组合计算｜四格各一物种</x:v>
      </x:c>
      <x:c r="O1" s="3" t="str">
        <x:v>合法物种组合计算｜四格各一物种</x:v>
      </x:c>
      <x:c r="P1" s="3" t="str">
        <x:v>合法物种组合计算｜四格各一物种</x:v>
      </x:c>
      <x:c r="Q1" s="3" t="str">
        <x:v>合法物种组合计算｜四格各一物种</x:v>
      </x:c>
      <x:c r="R1" s="3" t="str">
        <x:v>合法物种组合计算｜四格各一物种</x:v>
      </x:c>
      <x:c r="S1" s="3" t="str">
        <x:v>合法物种组合计算｜四格各一物种</x:v>
      </x:c>
      <x:c r="T1" s="3" t="str">
        <x:v>合法物种组合计算｜四格各一物种</x:v>
      </x:c>
      <x:c r="U1" s="3" t="str">
        <x:v>合法物种组合计算｜四格各一物种</x:v>
      </x:c>
      <x:c r="V1" s="3" t="str">
        <x:v>合法物种组合计算｜四格各一物种</x:v>
      </x:c>
      <x:c r="W1" s="3" t="str">
        <x:v>合法物种组合计算｜四格各一物种</x:v>
      </x:c>
    </x:row>
    <x:row r="2" ht="25" customHeight="1">
      <x:c r="A2" s="7" t="str">
        <x:v>三臣×三使形成九个候选；所需佐性在−2…+2之间即有对应佐材</x:v>
      </x:c>
      <x:c r="B2" s="7" t="str">
        <x:v>三臣×三使形成九个候选；所需佐性在−2…+2之间即有对应佐材</x:v>
      </x:c>
      <x:c r="C2" s="7" t="str">
        <x:v>三臣×三使形成九个候选；所需佐性在−2…+2之间即有对应佐材</x:v>
      </x:c>
      <x:c r="D2" s="7" t="str">
        <x:v>三臣×三使形成九个候选；所需佐性在−2…+2之间即有对应佐材</x:v>
      </x:c>
      <x:c r="E2" s="7" t="str">
        <x:v>三臣×三使形成九个候选；所需佐性在−2…+2之间即有对应佐材</x:v>
      </x:c>
      <x:c r="F2" s="7" t="str">
        <x:v>三臣×三使形成九个候选；所需佐性在−2…+2之间即有对应佐材</x:v>
      </x:c>
      <x:c r="G2" s="7" t="str">
        <x:v>三臣×三使形成九个候选；所需佐性在−2…+2之间即有对应佐材</x:v>
      </x:c>
      <x:c r="H2" s="7" t="str">
        <x:v>三臣×三使形成九个候选；所需佐性在−2…+2之间即有对应佐材</x:v>
      </x:c>
      <x:c r="I2" s="7" t="str">
        <x:v>三臣×三使形成九个候选；所需佐性在−2…+2之间即有对应佐材</x:v>
      </x:c>
      <x:c r="J2" s="7" t="str">
        <x:v>三臣×三使形成九个候选；所需佐性在−2…+2之间即有对应佐材</x:v>
      </x:c>
      <x:c r="K2" s="7" t="str">
        <x:v>三臣×三使形成九个候选；所需佐性在−2…+2之间即有对应佐材</x:v>
      </x:c>
      <x:c r="L2" s="7" t="str">
        <x:v>三臣×三使形成九个候选；所需佐性在−2…+2之间即有对应佐材</x:v>
      </x:c>
      <x:c r="M2" s="7" t="str">
        <x:v>三臣×三使形成九个候选；所需佐性在−2…+2之间即有对应佐材</x:v>
      </x:c>
      <x:c r="N2" s="7" t="str">
        <x:v>三臣×三使形成九个候选；所需佐性在−2…+2之间即有对应佐材</x:v>
      </x:c>
      <x:c r="O2" s="7" t="str">
        <x:v>三臣×三使形成九个候选；所需佐性在−2…+2之间即有对应佐材</x:v>
      </x:c>
      <x:c r="P2" s="7" t="str">
        <x:v>三臣×三使形成九个候选；所需佐性在−2…+2之间即有对应佐材</x:v>
      </x:c>
      <x:c r="Q2" s="7" t="str">
        <x:v>三臣×三使形成九个候选；所需佐性在−2…+2之间即有对应佐材</x:v>
      </x:c>
      <x:c r="R2" s="7" t="str">
        <x:v>三臣×三使形成九个候选；所需佐性在−2…+2之间即有对应佐材</x:v>
      </x:c>
      <x:c r="S2" s="7" t="str">
        <x:v>三臣×三使形成九个候选；所需佐性在−2…+2之间即有对应佐材</x:v>
      </x:c>
      <x:c r="T2" s="7" t="str">
        <x:v>三臣×三使形成九个候选；所需佐性在−2…+2之间即有对应佐材</x:v>
      </x:c>
      <x:c r="U2" s="7" t="str">
        <x:v>三臣×三使形成九个候选；所需佐性在−2…+2之间即有对应佐材</x:v>
      </x:c>
      <x:c r="V2" s="7" t="str">
        <x:v>三臣×三使形成九个候选；所需佐性在−2…+2之间即有对应佐材</x:v>
      </x:c>
      <x:c r="W2" s="7" t="str">
        <x:v>三臣×三使形成九个候选；所需佐性在−2…+2之间即有对应佐材</x:v>
      </x:c>
    </x:row>
    <x:row r="4">
      <x:c r="A4" s="12" t="str">
        <x:v>序号</x:v>
      </x:c>
      <x:c r="B4" s="12" t="str">
        <x:v>丹方ID</x:v>
      </x:c>
      <x:c r="C4" s="12" t="str">
        <x:v>丹名</x:v>
      </x:c>
      <x:c r="D4" s="12" t="str">
        <x:v>君性</x:v>
      </x:c>
      <x:c r="E4" s="12" t="str">
        <x:v>臣行</x:v>
      </x:c>
      <x:c r="F4" s="12" t="str">
        <x:v>使味</x:v>
      </x:c>
      <x:c r="G4" s="12" t="str">
        <x:v>目标性</x:v>
      </x:c>
      <x:c r="H4" s="12" t="str">
        <x:v>臣性1</x:v>
      </x:c>
      <x:c r="I4" s="12" t="str">
        <x:v>臣性2</x:v>
      </x:c>
      <x:c r="J4" s="12" t="str">
        <x:v>臣性3</x:v>
      </x:c>
      <x:c r="K4" s="12" t="str">
        <x:v>使性1</x:v>
      </x:c>
      <x:c r="L4" s="12" t="str">
        <x:v>使性2</x:v>
      </x:c>
      <x:c r="M4" s="12" t="str">
        <x:v>使性3</x:v>
      </x:c>
      <x:c r="N4" s="12" t="str">
        <x:v>佐需11</x:v>
      </x:c>
      <x:c r="O4" s="12" t="str">
        <x:v>佐需12</x:v>
      </x:c>
      <x:c r="P4" s="12" t="str">
        <x:v>佐需13</x:v>
      </x:c>
      <x:c r="Q4" s="12" t="str">
        <x:v>佐需21</x:v>
      </x:c>
      <x:c r="R4" s="12" t="str">
        <x:v>佐需22</x:v>
      </x:c>
      <x:c r="S4" s="12" t="str">
        <x:v>佐需23</x:v>
      </x:c>
      <x:c r="T4" s="12" t="str">
        <x:v>佐需31</x:v>
      </x:c>
      <x:c r="U4" s="12" t="str">
        <x:v>佐需32</x:v>
      </x:c>
      <x:c r="V4" s="12" t="str">
        <x:v>佐需33</x:v>
      </x:c>
      <x:c r="W4" s="12" t="str">
        <x:v>N合法</x:v>
      </x:c>
    </x:row>
    <x:row r="5">
      <x:c r="A5" s="23" t="n">
        <x:v>1</x:v>
      </x:c>
      <x:c r="B5" s="23" t="str">
        <x:v>F-ZJ-01</x:v>
      </x:c>
      <x:c r="C5" s="23" t="str">
        <x:v>聚元丹</x:v>
      </x:c>
      <x:c r="D5" s="23" t="n">
        <x:v>0</x:v>
      </x:c>
      <x:c r="E5" s="23" t="str">
        <x:v>土</x:v>
      </x:c>
      <x:c r="F5" s="23" t="str">
        <x:v>甘</x:v>
      </x:c>
      <x:c r="G5" s="23" t="n">
        <x:v>0</x:v>
      </x:c>
      <x:c r="H5" s="16" t="n">
        <x:f>VLOOKUP(E5,'04_参数字典'!$F$5:$I$9,2,FALSE)</x:f>
        <x:v>0</x:v>
      </x:c>
      <x:c r="I5" s="16" t="n">
        <x:f>VLOOKUP(E5,'04_参数字典'!$F$5:$I$9,3,FALSE)</x:f>
        <x:v>1</x:v>
      </x:c>
      <x:c r="J5" s="16" t="n">
        <x:f>VLOOKUP(E5,'04_参数字典'!$F$5:$I$9,4,FALSE)</x:f>
        <x:v>-1</x:v>
      </x:c>
      <x:c r="K5" s="16" t="n">
        <x:f>VLOOKUP(F5,'04_参数字典'!$K$5:$N$9,2,FALSE)</x:f>
        <x:v>0</x:v>
      </x:c>
      <x:c r="L5" s="16" t="n">
        <x:f>VLOOKUP(F5,'04_参数字典'!$K$5:$N$9,3,FALSE)</x:f>
        <x:v>-1</x:v>
      </x:c>
      <x:c r="M5" s="16" t="n">
        <x:f>VLOOKUP(F5,'04_参数字典'!$K$5:$N$9,4,FALSE)</x:f>
        <x:v>1</x:v>
      </x:c>
      <x:c r="N5" s="16" t="n">
        <x:f>$G5-$D5-H5-K5</x:f>
        <x:v>0</x:v>
      </x:c>
      <x:c r="O5" s="16" t="n">
        <x:f>$G5-$D5-H5-L5</x:f>
        <x:v>1</x:v>
      </x:c>
      <x:c r="P5" s="16" t="n">
        <x:f>$G5-$D5-H5-M5</x:f>
        <x:v>-1</x:v>
      </x:c>
      <x:c r="Q5" s="16" t="n">
        <x:f>$G5-$D5-I5-K5</x:f>
        <x:v>-1</x:v>
      </x:c>
      <x:c r="R5" s="16" t="n">
        <x:f>$G5-$D5-I5-L5</x:f>
        <x:v>0</x:v>
      </x:c>
      <x:c r="S5" s="16" t="n">
        <x:f>$G5-$D5-I5-M5</x:f>
        <x:v>-2</x:v>
      </x:c>
      <x:c r="T5" s="16" t="n">
        <x:f>$G5-$D5-J5-K5</x:f>
        <x:v>1</x:v>
      </x:c>
      <x:c r="U5" s="16" t="n">
        <x:f>$G5-$D5-J5-L5</x:f>
        <x:v>2</x:v>
      </x:c>
      <x:c r="V5" s="16" t="n">
        <x:f>$G5-$D5-J5-M5</x:f>
        <x:v>0</x:v>
      </x:c>
      <x:c r="W5" s="29" t="n">
        <x:f>COUNTIFS(N5:V5,"&gt;=-2",N5:V5,"&lt;=2")</x:f>
        <x:v>9</x:v>
      </x:c>
    </x:row>
    <x:row r="6">
      <x:c r="A6" s="23" t="n">
        <x:v>2</x:v>
      </x:c>
      <x:c r="B6" s="23" t="str">
        <x:v>F-ZJ-02</x:v>
      </x:c>
      <x:c r="C6" s="23" t="str">
        <x:v>迅潮丹</x:v>
      </x:c>
      <x:c r="D6" s="23" t="n">
        <x:v>1</x:v>
      </x:c>
      <x:c r="E6" s="23" t="str">
        <x:v>水</x:v>
      </x:c>
      <x:c r="F6" s="23" t="str">
        <x:v>辛</x:v>
      </x:c>
      <x:c r="G6" s="23" t="n">
        <x:v>1</x:v>
      </x:c>
      <x:c r="H6" s="16" t="n">
        <x:f>VLOOKUP(E6,'04_参数字典'!$F$5:$I$9,2,FALSE)</x:f>
        <x:v>0</x:v>
      </x:c>
      <x:c r="I6" s="16" t="n">
        <x:f>VLOOKUP(E6,'04_参数字典'!$F$5:$I$9,3,FALSE)</x:f>
        <x:v>-1</x:v>
      </x:c>
      <x:c r="J6" s="16" t="n">
        <x:f>VLOOKUP(E6,'04_参数字典'!$F$5:$I$9,4,FALSE)</x:f>
        <x:v>-2</x:v>
      </x:c>
      <x:c r="K6" s="16" t="n">
        <x:f>VLOOKUP(F6,'04_参数字典'!$K$5:$N$9,2,FALSE)</x:f>
        <x:v>0</x:v>
      </x:c>
      <x:c r="L6" s="16" t="n">
        <x:f>VLOOKUP(F6,'04_参数字典'!$K$5:$N$9,3,FALSE)</x:f>
        <x:v>1</x:v>
      </x:c>
      <x:c r="M6" s="16" t="n">
        <x:f>VLOOKUP(F6,'04_参数字典'!$K$5:$N$9,4,FALSE)</x:f>
        <x:v>-1</x:v>
      </x:c>
      <x:c r="N6" s="16" t="n">
        <x:f>$G6-$D6-H6-K6</x:f>
        <x:v>0</x:v>
      </x:c>
      <x:c r="O6" s="16" t="n">
        <x:f>$G6-$D6-H6-L6</x:f>
        <x:v>-1</x:v>
      </x:c>
      <x:c r="P6" s="16" t="n">
        <x:f>$G6-$D6-H6-M6</x:f>
        <x:v>1</x:v>
      </x:c>
      <x:c r="Q6" s="16" t="n">
        <x:f>$G6-$D6-I6-K6</x:f>
        <x:v>1</x:v>
      </x:c>
      <x:c r="R6" s="16" t="n">
        <x:f>$G6-$D6-I6-L6</x:f>
        <x:v>0</x:v>
      </x:c>
      <x:c r="S6" s="16" t="n">
        <x:f>$G6-$D6-I6-M6</x:f>
        <x:v>2</x:v>
      </x:c>
      <x:c r="T6" s="16" t="n">
        <x:f>$G6-$D6-J6-K6</x:f>
        <x:v>2</x:v>
      </x:c>
      <x:c r="U6" s="16" t="n">
        <x:f>$G6-$D6-J6-L6</x:f>
        <x:v>1</x:v>
      </x:c>
      <x:c r="V6" s="16" t="n">
        <x:f>$G6-$D6-J6-M6</x:f>
        <x:v>3</x:v>
      </x:c>
      <x:c r="W6" s="29" t="n">
        <x:f>COUNTIFS(N6:V6,"&gt;=-2",N6:V6,"&lt;=2")</x:f>
        <x:v>8</x:v>
      </x:c>
    </x:row>
    <x:row r="7">
      <x:c r="A7" s="23" t="n">
        <x:v>3</x:v>
      </x:c>
      <x:c r="B7" s="23" t="str">
        <x:v>F-ZJ-03</x:v>
      </x:c>
      <x:c r="C7" s="23" t="str">
        <x:v>绵泉丹</x:v>
      </x:c>
      <x:c r="D7" s="23" t="n">
        <x:v>1</x:v>
      </x:c>
      <x:c r="E7" s="23" t="str">
        <x:v>水</x:v>
      </x:c>
      <x:c r="F7" s="23" t="str">
        <x:v>辛</x:v>
      </x:c>
      <x:c r="G7" s="23" t="n">
        <x:v>0</x:v>
      </x:c>
      <x:c r="H7" s="16" t="n">
        <x:f>VLOOKUP(E7,'04_参数字典'!$F$5:$I$9,2,FALSE)</x:f>
        <x:v>0</x:v>
      </x:c>
      <x:c r="I7" s="16" t="n">
        <x:f>VLOOKUP(E7,'04_参数字典'!$F$5:$I$9,3,FALSE)</x:f>
        <x:v>-1</x:v>
      </x:c>
      <x:c r="J7" s="16" t="n">
        <x:f>VLOOKUP(E7,'04_参数字典'!$F$5:$I$9,4,FALSE)</x:f>
        <x:v>-2</x:v>
      </x:c>
      <x:c r="K7" s="16" t="n">
        <x:f>VLOOKUP(F7,'04_参数字典'!$K$5:$N$9,2,FALSE)</x:f>
        <x:v>0</x:v>
      </x:c>
      <x:c r="L7" s="16" t="n">
        <x:f>VLOOKUP(F7,'04_参数字典'!$K$5:$N$9,3,FALSE)</x:f>
        <x:v>1</x:v>
      </x:c>
      <x:c r="M7" s="16" t="n">
        <x:f>VLOOKUP(F7,'04_参数字典'!$K$5:$N$9,4,FALSE)</x:f>
        <x:v>-1</x:v>
      </x:c>
      <x:c r="N7" s="16" t="n">
        <x:f>$G7-$D7-H7-K7</x:f>
        <x:v>-1</x:v>
      </x:c>
      <x:c r="O7" s="16" t="n">
        <x:f>$G7-$D7-H7-L7</x:f>
        <x:v>-2</x:v>
      </x:c>
      <x:c r="P7" s="16" t="n">
        <x:f>$G7-$D7-H7-M7</x:f>
        <x:v>0</x:v>
      </x:c>
      <x:c r="Q7" s="16" t="n">
        <x:f>$G7-$D7-I7-K7</x:f>
        <x:v>0</x:v>
      </x:c>
      <x:c r="R7" s="16" t="n">
        <x:f>$G7-$D7-I7-L7</x:f>
        <x:v>-1</x:v>
      </x:c>
      <x:c r="S7" s="16" t="n">
        <x:f>$G7-$D7-I7-M7</x:f>
        <x:v>1</x:v>
      </x:c>
      <x:c r="T7" s="16" t="n">
        <x:f>$G7-$D7-J7-K7</x:f>
        <x:v>1</x:v>
      </x:c>
      <x:c r="U7" s="16" t="n">
        <x:f>$G7-$D7-J7-L7</x:f>
        <x:v>0</x:v>
      </x:c>
      <x:c r="V7" s="16" t="n">
        <x:f>$G7-$D7-J7-M7</x:f>
        <x:v>2</x:v>
      </x:c>
      <x:c r="W7" s="29" t="n">
        <x:f>COUNTIFS(N7:V7,"&gt;=-2",N7:V7,"&lt;=2")</x:f>
        <x:v>9</x:v>
      </x:c>
    </x:row>
    <x:row r="8">
      <x:c r="A8" s="23" t="n">
        <x:v>4</x:v>
      </x:c>
      <x:c r="B8" s="23" t="str">
        <x:v>F-ZJ-04</x:v>
      </x:c>
      <x:c r="C8" s="23" t="str">
        <x:v>续环丹</x:v>
      </x:c>
      <x:c r="D8" s="23" t="n">
        <x:v>1</x:v>
      </x:c>
      <x:c r="E8" s="23" t="str">
        <x:v>木</x:v>
      </x:c>
      <x:c r="F8" s="23" t="str">
        <x:v>甘</x:v>
      </x:c>
      <x:c r="G8" s="23" t="n">
        <x:v>1</x:v>
      </x:c>
      <x:c r="H8" s="16" t="n">
        <x:f>VLOOKUP(E8,'04_参数字典'!$F$5:$I$9,2,FALSE)</x:f>
        <x:v>0</x:v>
      </x:c>
      <x:c r="I8" s="16" t="n">
        <x:f>VLOOKUP(E8,'04_参数字典'!$F$5:$I$9,3,FALSE)</x:f>
        <x:v>1</x:v>
      </x:c>
      <x:c r="J8" s="16" t="n">
        <x:f>VLOOKUP(E8,'04_参数字典'!$F$5:$I$9,4,FALSE)</x:f>
        <x:v>2</x:v>
      </x:c>
      <x:c r="K8" s="16" t="n">
        <x:f>VLOOKUP(F8,'04_参数字典'!$K$5:$N$9,2,FALSE)</x:f>
        <x:v>0</x:v>
      </x:c>
      <x:c r="L8" s="16" t="n">
        <x:f>VLOOKUP(F8,'04_参数字典'!$K$5:$N$9,3,FALSE)</x:f>
        <x:v>-1</x:v>
      </x:c>
      <x:c r="M8" s="16" t="n">
        <x:f>VLOOKUP(F8,'04_参数字典'!$K$5:$N$9,4,FALSE)</x:f>
        <x:v>1</x:v>
      </x:c>
      <x:c r="N8" s="16" t="n">
        <x:f>$G8-$D8-H8-K8</x:f>
        <x:v>0</x:v>
      </x:c>
      <x:c r="O8" s="16" t="n">
        <x:f>$G8-$D8-H8-L8</x:f>
        <x:v>1</x:v>
      </x:c>
      <x:c r="P8" s="16" t="n">
        <x:f>$G8-$D8-H8-M8</x:f>
        <x:v>-1</x:v>
      </x:c>
      <x:c r="Q8" s="16" t="n">
        <x:f>$G8-$D8-I8-K8</x:f>
        <x:v>-1</x:v>
      </x:c>
      <x:c r="R8" s="16" t="n">
        <x:f>$G8-$D8-I8-L8</x:f>
        <x:v>0</x:v>
      </x:c>
      <x:c r="S8" s="16" t="n">
        <x:f>$G8-$D8-I8-M8</x:f>
        <x:v>-2</x:v>
      </x:c>
      <x:c r="T8" s="16" t="n">
        <x:f>$G8-$D8-J8-K8</x:f>
        <x:v>-2</x:v>
      </x:c>
      <x:c r="U8" s="16" t="n">
        <x:f>$G8-$D8-J8-L8</x:f>
        <x:v>-1</x:v>
      </x:c>
      <x:c r="V8" s="16" t="n">
        <x:f>$G8-$D8-J8-M8</x:f>
        <x:v>-3</x:v>
      </x:c>
      <x:c r="W8" s="29" t="n">
        <x:f>COUNTIFS(N8:V8,"&gt;=-2",N8:V8,"&lt;=2")</x:f>
        <x:v>8</x:v>
      </x:c>
    </x:row>
    <x:row r="9">
      <x:c r="A9" s="23" t="n">
        <x:v>5</x:v>
      </x:c>
      <x:c r="B9" s="23" t="str">
        <x:v>F-ZJ-05</x:v>
      </x:c>
      <x:c r="C9" s="23" t="str">
        <x:v>开关丹</x:v>
      </x:c>
      <x:c r="D9" s="23" t="n">
        <x:v>2</x:v>
      </x:c>
      <x:c r="E9" s="23" t="str">
        <x:v>木</x:v>
      </x:c>
      <x:c r="F9" s="23" t="str">
        <x:v>甘</x:v>
      </x:c>
      <x:c r="G9" s="23" t="n">
        <x:v>2</x:v>
      </x:c>
      <x:c r="H9" s="16" t="n">
        <x:f>VLOOKUP(E9,'04_参数字典'!$F$5:$I$9,2,FALSE)</x:f>
        <x:v>0</x:v>
      </x:c>
      <x:c r="I9" s="16" t="n">
        <x:f>VLOOKUP(E9,'04_参数字典'!$F$5:$I$9,3,FALSE)</x:f>
        <x:v>1</x:v>
      </x:c>
      <x:c r="J9" s="16" t="n">
        <x:f>VLOOKUP(E9,'04_参数字典'!$F$5:$I$9,4,FALSE)</x:f>
        <x:v>2</x:v>
      </x:c>
      <x:c r="K9" s="16" t="n">
        <x:f>VLOOKUP(F9,'04_参数字典'!$K$5:$N$9,2,FALSE)</x:f>
        <x:v>0</x:v>
      </x:c>
      <x:c r="L9" s="16" t="n">
        <x:f>VLOOKUP(F9,'04_参数字典'!$K$5:$N$9,3,FALSE)</x:f>
        <x:v>-1</x:v>
      </x:c>
      <x:c r="M9" s="16" t="n">
        <x:f>VLOOKUP(F9,'04_参数字典'!$K$5:$N$9,4,FALSE)</x:f>
        <x:v>1</x:v>
      </x:c>
      <x:c r="N9" s="16" t="n">
        <x:f>$G9-$D9-H9-K9</x:f>
        <x:v>0</x:v>
      </x:c>
      <x:c r="O9" s="16" t="n">
        <x:f>$G9-$D9-H9-L9</x:f>
        <x:v>1</x:v>
      </x:c>
      <x:c r="P9" s="16" t="n">
        <x:f>$G9-$D9-H9-M9</x:f>
        <x:v>-1</x:v>
      </x:c>
      <x:c r="Q9" s="16" t="n">
        <x:f>$G9-$D9-I9-K9</x:f>
        <x:v>-1</x:v>
      </x:c>
      <x:c r="R9" s="16" t="n">
        <x:f>$G9-$D9-I9-L9</x:f>
        <x:v>0</x:v>
      </x:c>
      <x:c r="S9" s="16" t="n">
        <x:f>$G9-$D9-I9-M9</x:f>
        <x:v>-2</x:v>
      </x:c>
      <x:c r="T9" s="16" t="n">
        <x:f>$G9-$D9-J9-K9</x:f>
        <x:v>-2</x:v>
      </x:c>
      <x:c r="U9" s="16" t="n">
        <x:f>$G9-$D9-J9-L9</x:f>
        <x:v>-1</x:v>
      </x:c>
      <x:c r="V9" s="16" t="n">
        <x:f>$G9-$D9-J9-M9</x:f>
        <x:v>-3</x:v>
      </x:c>
      <x:c r="W9" s="29" t="n">
        <x:f>COUNTIFS(N9:V9,"&gt;=-2",N9:V9,"&lt;=2")</x:f>
        <x:v>8</x:v>
      </x:c>
    </x:row>
    <x:row r="10">
      <x:c r="A10" s="23" t="n">
        <x:v>6</x:v>
      </x:c>
      <x:c r="B10" s="23" t="str">
        <x:v>F-ZJ-06</x:v>
      </x:c>
      <x:c r="C10" s="23" t="str">
        <x:v>急生丹</x:v>
      </x:c>
      <x:c r="D10" s="23" t="n">
        <x:v>0</x:v>
      </x:c>
      <x:c r="E10" s="23" t="str">
        <x:v>木</x:v>
      </x:c>
      <x:c r="F10" s="23" t="str">
        <x:v>酸</x:v>
      </x:c>
      <x:c r="G10" s="23" t="n">
        <x:v>1</x:v>
      </x:c>
      <x:c r="H10" s="16" t="n">
        <x:f>VLOOKUP(E10,'04_参数字典'!$F$5:$I$9,2,FALSE)</x:f>
        <x:v>0</x:v>
      </x:c>
      <x:c r="I10" s="16" t="n">
        <x:f>VLOOKUP(E10,'04_参数字典'!$F$5:$I$9,3,FALSE)</x:f>
        <x:v>1</x:v>
      </x:c>
      <x:c r="J10" s="16" t="n">
        <x:f>VLOOKUP(E10,'04_参数字典'!$F$5:$I$9,4,FALSE)</x:f>
        <x:v>2</x:v>
      </x:c>
      <x:c r="K10" s="16" t="n">
        <x:f>VLOOKUP(F10,'04_参数字典'!$K$5:$N$9,2,FALSE)</x:f>
        <x:v>0</x:v>
      </x:c>
      <x:c r="L10" s="16" t="n">
        <x:f>VLOOKUP(F10,'04_参数字典'!$K$5:$N$9,3,FALSE)</x:f>
        <x:v>1</x:v>
      </x:c>
      <x:c r="M10" s="16" t="n">
        <x:f>VLOOKUP(F10,'04_参数字典'!$K$5:$N$9,4,FALSE)</x:f>
        <x:v>-1</x:v>
      </x:c>
      <x:c r="N10" s="16" t="n">
        <x:f>$G10-$D10-H10-K10</x:f>
        <x:v>1</x:v>
      </x:c>
      <x:c r="O10" s="16" t="n">
        <x:f>$G10-$D10-H10-L10</x:f>
        <x:v>0</x:v>
      </x:c>
      <x:c r="P10" s="16" t="n">
        <x:f>$G10-$D10-H10-M10</x:f>
        <x:v>2</x:v>
      </x:c>
      <x:c r="Q10" s="16" t="n">
        <x:f>$G10-$D10-I10-K10</x:f>
        <x:v>0</x:v>
      </x:c>
      <x:c r="R10" s="16" t="n">
        <x:f>$G10-$D10-I10-L10</x:f>
        <x:v>-1</x:v>
      </x:c>
      <x:c r="S10" s="16" t="n">
        <x:f>$G10-$D10-I10-M10</x:f>
        <x:v>1</x:v>
      </x:c>
      <x:c r="T10" s="16" t="n">
        <x:f>$G10-$D10-J10-K10</x:f>
        <x:v>-1</x:v>
      </x:c>
      <x:c r="U10" s="16" t="n">
        <x:f>$G10-$D10-J10-L10</x:f>
        <x:v>-2</x:v>
      </x:c>
      <x:c r="V10" s="16" t="n">
        <x:f>$G10-$D10-J10-M10</x:f>
        <x:v>0</x:v>
      </x:c>
      <x:c r="W10" s="29" t="n">
        <x:f>COUNTIFS(N10:V10,"&gt;=-2",N10:V10,"&lt;=2")</x:f>
        <x:v>9</x:v>
      </x:c>
    </x:row>
    <x:row r="11">
      <x:c r="A11" s="23" t="n">
        <x:v>7</x:v>
      </x:c>
      <x:c r="B11" s="23" t="str">
        <x:v>F-ZJ-07</x:v>
      </x:c>
      <x:c r="C11" s="23" t="str">
        <x:v>绵愈丹</x:v>
      </x:c>
      <x:c r="D11" s="23" t="n">
        <x:v>0</x:v>
      </x:c>
      <x:c r="E11" s="23" t="str">
        <x:v>木</x:v>
      </x:c>
      <x:c r="F11" s="23" t="str">
        <x:v>酸</x:v>
      </x:c>
      <x:c r="G11" s="23" t="n">
        <x:v>0</x:v>
      </x:c>
      <x:c r="H11" s="16" t="n">
        <x:f>VLOOKUP(E11,'04_参数字典'!$F$5:$I$9,2,FALSE)</x:f>
        <x:v>0</x:v>
      </x:c>
      <x:c r="I11" s="16" t="n">
        <x:f>VLOOKUP(E11,'04_参数字典'!$F$5:$I$9,3,FALSE)</x:f>
        <x:v>1</x:v>
      </x:c>
      <x:c r="J11" s="16" t="n">
        <x:f>VLOOKUP(E11,'04_参数字典'!$F$5:$I$9,4,FALSE)</x:f>
        <x:v>2</x:v>
      </x:c>
      <x:c r="K11" s="16" t="n">
        <x:f>VLOOKUP(F11,'04_参数字典'!$K$5:$N$9,2,FALSE)</x:f>
        <x:v>0</x:v>
      </x:c>
      <x:c r="L11" s="16" t="n">
        <x:f>VLOOKUP(F11,'04_参数字典'!$K$5:$N$9,3,FALSE)</x:f>
        <x:v>1</x:v>
      </x:c>
      <x:c r="M11" s="16" t="n">
        <x:f>VLOOKUP(F11,'04_参数字典'!$K$5:$N$9,4,FALSE)</x:f>
        <x:v>-1</x:v>
      </x:c>
      <x:c r="N11" s="16" t="n">
        <x:f>$G11-$D11-H11-K11</x:f>
        <x:v>0</x:v>
      </x:c>
      <x:c r="O11" s="16" t="n">
        <x:f>$G11-$D11-H11-L11</x:f>
        <x:v>-1</x:v>
      </x:c>
      <x:c r="P11" s="16" t="n">
        <x:f>$G11-$D11-H11-M11</x:f>
        <x:v>1</x:v>
      </x:c>
      <x:c r="Q11" s="16" t="n">
        <x:f>$G11-$D11-I11-K11</x:f>
        <x:v>-1</x:v>
      </x:c>
      <x:c r="R11" s="16" t="n">
        <x:f>$G11-$D11-I11-L11</x:f>
        <x:v>-2</x:v>
      </x:c>
      <x:c r="S11" s="16" t="n">
        <x:f>$G11-$D11-I11-M11</x:f>
        <x:v>0</x:v>
      </x:c>
      <x:c r="T11" s="16" t="n">
        <x:f>$G11-$D11-J11-K11</x:f>
        <x:v>-2</x:v>
      </x:c>
      <x:c r="U11" s="16" t="n">
        <x:f>$G11-$D11-J11-L11</x:f>
        <x:v>-3</x:v>
      </x:c>
      <x:c r="V11" s="16" t="n">
        <x:f>$G11-$D11-J11-M11</x:f>
        <x:v>-1</x:v>
      </x:c>
      <x:c r="W11" s="29" t="n">
        <x:f>COUNTIFS(N11:V11,"&gt;=-2",N11:V11,"&lt;=2")</x:f>
        <x:v>8</x:v>
      </x:c>
    </x:row>
    <x:row r="12">
      <x:c r="A12" s="23" t="n">
        <x:v>8</x:v>
      </x:c>
      <x:c r="B12" s="23" t="str">
        <x:v>F-ZJ-08</x:v>
      </x:c>
      <x:c r="C12" s="23" t="str">
        <x:v>涤元丹</x:v>
      </x:c>
      <x:c r="D12" s="23" t="n">
        <x:v>-1</x:v>
      </x:c>
      <x:c r="E12" s="23" t="str">
        <x:v>金</x:v>
      </x:c>
      <x:c r="F12" s="23" t="str">
        <x:v>甘</x:v>
      </x:c>
      <x:c r="G12" s="23" t="n">
        <x:v>-1</x:v>
      </x:c>
      <x:c r="H12" s="16" t="n">
        <x:f>VLOOKUP(E12,'04_参数字典'!$F$5:$I$9,2,FALSE)</x:f>
        <x:v>0</x:v>
      </x:c>
      <x:c r="I12" s="16" t="n">
        <x:f>VLOOKUP(E12,'04_参数字典'!$F$5:$I$9,3,FALSE)</x:f>
        <x:v>-1</x:v>
      </x:c>
      <x:c r="J12" s="16" t="n">
        <x:f>VLOOKUP(E12,'04_参数字典'!$F$5:$I$9,4,FALSE)</x:f>
        <x:v>-2</x:v>
      </x:c>
      <x:c r="K12" s="16" t="n">
        <x:f>VLOOKUP(F12,'04_参数字典'!$K$5:$N$9,2,FALSE)</x:f>
        <x:v>0</x:v>
      </x:c>
      <x:c r="L12" s="16" t="n">
        <x:f>VLOOKUP(F12,'04_参数字典'!$K$5:$N$9,3,FALSE)</x:f>
        <x:v>-1</x:v>
      </x:c>
      <x:c r="M12" s="16" t="n">
        <x:f>VLOOKUP(F12,'04_参数字典'!$K$5:$N$9,4,FALSE)</x:f>
        <x:v>1</x:v>
      </x:c>
      <x:c r="N12" s="16" t="n">
        <x:f>$G12-$D12-H12-K12</x:f>
        <x:v>0</x:v>
      </x:c>
      <x:c r="O12" s="16" t="n">
        <x:f>$G12-$D12-H12-L12</x:f>
        <x:v>1</x:v>
      </x:c>
      <x:c r="P12" s="16" t="n">
        <x:f>$G12-$D12-H12-M12</x:f>
        <x:v>-1</x:v>
      </x:c>
      <x:c r="Q12" s="16" t="n">
        <x:f>$G12-$D12-I12-K12</x:f>
        <x:v>1</x:v>
      </x:c>
      <x:c r="R12" s="16" t="n">
        <x:f>$G12-$D12-I12-L12</x:f>
        <x:v>2</x:v>
      </x:c>
      <x:c r="S12" s="16" t="n">
        <x:f>$G12-$D12-I12-M12</x:f>
        <x:v>0</x:v>
      </x:c>
      <x:c r="T12" s="16" t="n">
        <x:f>$G12-$D12-J12-K12</x:f>
        <x:v>2</x:v>
      </x:c>
      <x:c r="U12" s="16" t="n">
        <x:f>$G12-$D12-J12-L12</x:f>
        <x:v>3</x:v>
      </x:c>
      <x:c r="V12" s="16" t="n">
        <x:f>$G12-$D12-J12-M12</x:f>
        <x:v>1</x:v>
      </x:c>
      <x:c r="W12" s="29" t="n">
        <x:f>COUNTIFS(N12:V12,"&gt;=-2",N12:V12,"&lt;=2")</x:f>
        <x:v>8</x:v>
      </x:c>
    </x:row>
    <x:row r="13">
      <x:c r="A13" s="23" t="n">
        <x:v>9</x:v>
      </x:c>
      <x:c r="B13" s="23" t="str">
        <x:v>F-ZJ-09</x:v>
      </x:c>
      <x:c r="C13" s="23" t="str">
        <x:v>固本丹</x:v>
      </x:c>
      <x:c r="D13" s="23" t="n">
        <x:v>1</x:v>
      </x:c>
      <x:c r="E13" s="23" t="str">
        <x:v>土</x:v>
      </x:c>
      <x:c r="F13" s="23" t="str">
        <x:v>咸</x:v>
      </x:c>
      <x:c r="G13" s="23" t="n">
        <x:v>1</x:v>
      </x:c>
      <x:c r="H13" s="16" t="n">
        <x:f>VLOOKUP(E13,'04_参数字典'!$F$5:$I$9,2,FALSE)</x:f>
        <x:v>0</x:v>
      </x:c>
      <x:c r="I13" s="16" t="n">
        <x:f>VLOOKUP(E13,'04_参数字典'!$F$5:$I$9,3,FALSE)</x:f>
        <x:v>1</x:v>
      </x:c>
      <x:c r="J13" s="16" t="n">
        <x:f>VLOOKUP(E13,'04_参数字典'!$F$5:$I$9,4,FALSE)</x:f>
        <x:v>-1</x:v>
      </x:c>
      <x:c r="K13" s="16" t="n">
        <x:f>VLOOKUP(F13,'04_参数字典'!$K$5:$N$9,2,FALSE)</x:f>
        <x:v>0</x:v>
      </x:c>
      <x:c r="L13" s="16" t="n">
        <x:f>VLOOKUP(F13,'04_参数字典'!$K$5:$N$9,3,FALSE)</x:f>
        <x:v>-2</x:v>
      </x:c>
      <x:c r="M13" s="16" t="n">
        <x:f>VLOOKUP(F13,'04_参数字典'!$K$5:$N$9,4,FALSE)</x:f>
        <x:v>-1</x:v>
      </x:c>
      <x:c r="N13" s="16" t="n">
        <x:f>$G13-$D13-H13-K13</x:f>
        <x:v>0</x:v>
      </x:c>
      <x:c r="O13" s="16" t="n">
        <x:f>$G13-$D13-H13-L13</x:f>
        <x:v>2</x:v>
      </x:c>
      <x:c r="P13" s="16" t="n">
        <x:f>$G13-$D13-H13-M13</x:f>
        <x:v>1</x:v>
      </x:c>
      <x:c r="Q13" s="16" t="n">
        <x:f>$G13-$D13-I13-K13</x:f>
        <x:v>-1</x:v>
      </x:c>
      <x:c r="R13" s="16" t="n">
        <x:f>$G13-$D13-I13-L13</x:f>
        <x:v>1</x:v>
      </x:c>
      <x:c r="S13" s="16" t="n">
        <x:f>$G13-$D13-I13-M13</x:f>
        <x:v>0</x:v>
      </x:c>
      <x:c r="T13" s="16" t="n">
        <x:f>$G13-$D13-J13-K13</x:f>
        <x:v>1</x:v>
      </x:c>
      <x:c r="U13" s="16" t="n">
        <x:f>$G13-$D13-J13-L13</x:f>
        <x:v>3</x:v>
      </x:c>
      <x:c r="V13" s="16" t="n">
        <x:f>$G13-$D13-J13-M13</x:f>
        <x:v>2</x:v>
      </x:c>
      <x:c r="W13" s="29" t="n">
        <x:f>COUNTIFS(N13:V13,"&gt;=-2",N13:V13,"&lt;=2")</x:f>
        <x:v>8</x:v>
      </x:c>
    </x:row>
    <x:row r="14">
      <x:c r="A14" s="23" t="n">
        <x:v>10</x:v>
      </x:c>
      <x:c r="B14" s="23" t="str">
        <x:v>F-ZJ-10</x:v>
      </x:c>
      <x:c r="C14" s="23" t="str">
        <x:v>养神丹</x:v>
      </x:c>
      <x:c r="D14" s="23" t="n">
        <x:v>0</x:v>
      </x:c>
      <x:c r="E14" s="23" t="str">
        <x:v>土</x:v>
      </x:c>
      <x:c r="F14" s="23" t="str">
        <x:v>苦</x:v>
      </x:c>
      <x:c r="G14" s="23" t="n">
        <x:v>0</x:v>
      </x:c>
      <x:c r="H14" s="16" t="n">
        <x:f>VLOOKUP(E14,'04_参数字典'!$F$5:$I$9,2,FALSE)</x:f>
        <x:v>0</x:v>
      </x:c>
      <x:c r="I14" s="16" t="n">
        <x:f>VLOOKUP(E14,'04_参数字典'!$F$5:$I$9,3,FALSE)</x:f>
        <x:v>1</x:v>
      </x:c>
      <x:c r="J14" s="16" t="n">
        <x:f>VLOOKUP(E14,'04_参数字典'!$F$5:$I$9,4,FALSE)</x:f>
        <x:v>-1</x:v>
      </x:c>
      <x:c r="K14" s="16" t="n">
        <x:f>VLOOKUP(F14,'04_参数字典'!$K$5:$N$9,2,FALSE)</x:f>
        <x:v>0</x:v>
      </x:c>
      <x:c r="L14" s="16" t="n">
        <x:f>VLOOKUP(F14,'04_参数字典'!$K$5:$N$9,3,FALSE)</x:f>
        <x:v>-1</x:v>
      </x:c>
      <x:c r="M14" s="16" t="n">
        <x:f>VLOOKUP(F14,'04_参数字典'!$K$5:$N$9,4,FALSE)</x:f>
        <x:v>-2</x:v>
      </x:c>
      <x:c r="N14" s="16" t="n">
        <x:f>$G14-$D14-H14-K14</x:f>
        <x:v>0</x:v>
      </x:c>
      <x:c r="O14" s="16" t="n">
        <x:f>$G14-$D14-H14-L14</x:f>
        <x:v>1</x:v>
      </x:c>
      <x:c r="P14" s="16" t="n">
        <x:f>$G14-$D14-H14-M14</x:f>
        <x:v>2</x:v>
      </x:c>
      <x:c r="Q14" s="16" t="n">
        <x:f>$G14-$D14-I14-K14</x:f>
        <x:v>-1</x:v>
      </x:c>
      <x:c r="R14" s="16" t="n">
        <x:f>$G14-$D14-I14-L14</x:f>
        <x:v>0</x:v>
      </x:c>
      <x:c r="S14" s="16" t="n">
        <x:f>$G14-$D14-I14-M14</x:f>
        <x:v>1</x:v>
      </x:c>
      <x:c r="T14" s="16" t="n">
        <x:f>$G14-$D14-J14-K14</x:f>
        <x:v>1</x:v>
      </x:c>
      <x:c r="U14" s="16" t="n">
        <x:f>$G14-$D14-J14-L14</x:f>
        <x:v>2</x:v>
      </x:c>
      <x:c r="V14" s="16" t="n">
        <x:f>$G14-$D14-J14-M14</x:f>
        <x:v>3</x:v>
      </x:c>
      <x:c r="W14" s="29" t="n">
        <x:f>COUNTIFS(N14:V14,"&gt;=-2",N14:V14,"&lt;=2")</x:f>
        <x:v>8</x:v>
      </x:c>
    </x:row>
    <x:row r="15">
      <x:c r="A15" s="23" t="n">
        <x:v>11</x:v>
      </x:c>
      <x:c r="B15" s="23" t="str">
        <x:v>F-ZJ-11</x:v>
      </x:c>
      <x:c r="C15" s="23" t="str">
        <x:v>烈脉丹</x:v>
      </x:c>
      <x:c r="D15" s="23" t="n">
        <x:v>2</x:v>
      </x:c>
      <x:c r="E15" s="23" t="str">
        <x:v>火</x:v>
      </x:c>
      <x:c r="F15" s="23" t="str">
        <x:v>辛</x:v>
      </x:c>
      <x:c r="G15" s="23" t="n">
        <x:v>2</x:v>
      </x:c>
      <x:c r="H15" s="16" t="n">
        <x:f>VLOOKUP(E15,'04_参数字典'!$F$5:$I$9,2,FALSE)</x:f>
        <x:v>0</x:v>
      </x:c>
      <x:c r="I15" s="16" t="n">
        <x:f>VLOOKUP(E15,'04_参数字典'!$F$5:$I$9,3,FALSE)</x:f>
        <x:v>2</x:v>
      </x:c>
      <x:c r="J15" s="16" t="n">
        <x:f>VLOOKUP(E15,'04_参数字典'!$F$5:$I$9,4,FALSE)</x:f>
        <x:v>1</x:v>
      </x:c>
      <x:c r="K15" s="16" t="n">
        <x:f>VLOOKUP(F15,'04_参数字典'!$K$5:$N$9,2,FALSE)</x:f>
        <x:v>0</x:v>
      </x:c>
      <x:c r="L15" s="16" t="n">
        <x:f>VLOOKUP(F15,'04_参数字典'!$K$5:$N$9,3,FALSE)</x:f>
        <x:v>1</x:v>
      </x:c>
      <x:c r="M15" s="16" t="n">
        <x:f>VLOOKUP(F15,'04_参数字典'!$K$5:$N$9,4,FALSE)</x:f>
        <x:v>-1</x:v>
      </x:c>
      <x:c r="N15" s="16" t="n">
        <x:f>$G15-$D15-H15-K15</x:f>
        <x:v>0</x:v>
      </x:c>
      <x:c r="O15" s="16" t="n">
        <x:f>$G15-$D15-H15-L15</x:f>
        <x:v>-1</x:v>
      </x:c>
      <x:c r="P15" s="16" t="n">
        <x:f>$G15-$D15-H15-M15</x:f>
        <x:v>1</x:v>
      </x:c>
      <x:c r="Q15" s="16" t="n">
        <x:f>$G15-$D15-I15-K15</x:f>
        <x:v>-2</x:v>
      </x:c>
      <x:c r="R15" s="16" t="n">
        <x:f>$G15-$D15-I15-L15</x:f>
        <x:v>-3</x:v>
      </x:c>
      <x:c r="S15" s="16" t="n">
        <x:f>$G15-$D15-I15-M15</x:f>
        <x:v>-1</x:v>
      </x:c>
      <x:c r="T15" s="16" t="n">
        <x:f>$G15-$D15-J15-K15</x:f>
        <x:v>-1</x:v>
      </x:c>
      <x:c r="U15" s="16" t="n">
        <x:f>$G15-$D15-J15-L15</x:f>
        <x:v>-2</x:v>
      </x:c>
      <x:c r="V15" s="16" t="n">
        <x:f>$G15-$D15-J15-M15</x:f>
        <x:v>0</x:v>
      </x:c>
      <x:c r="W15" s="29" t="n">
        <x:f>COUNTIFS(N15:V15,"&gt;=-2",N15:V15,"&lt;=2")</x:f>
        <x:v>8</x:v>
      </x:c>
    </x:row>
    <x:row r="16">
      <x:c r="A16" s="23" t="n">
        <x:v>12</x:v>
      </x:c>
      <x:c r="B16" s="23" t="str">
        <x:v>F-ZJ-12</x:v>
      </x:c>
      <x:c r="C16" s="23" t="str">
        <x:v>守脉丹</x:v>
      </x:c>
      <x:c r="D16" s="23" t="n">
        <x:v>-1</x:v>
      </x:c>
      <x:c r="E16" s="23" t="str">
        <x:v>金</x:v>
      </x:c>
      <x:c r="F16" s="23" t="str">
        <x:v>辛</x:v>
      </x:c>
      <x:c r="G16" s="23" t="n">
        <x:v>-1</x:v>
      </x:c>
      <x:c r="H16" s="16" t="n">
        <x:f>VLOOKUP(E16,'04_参数字典'!$F$5:$I$9,2,FALSE)</x:f>
        <x:v>0</x:v>
      </x:c>
      <x:c r="I16" s="16" t="n">
        <x:f>VLOOKUP(E16,'04_参数字典'!$F$5:$I$9,3,FALSE)</x:f>
        <x:v>-1</x:v>
      </x:c>
      <x:c r="J16" s="16" t="n">
        <x:f>VLOOKUP(E16,'04_参数字典'!$F$5:$I$9,4,FALSE)</x:f>
        <x:v>-2</x:v>
      </x:c>
      <x:c r="K16" s="16" t="n">
        <x:f>VLOOKUP(F16,'04_参数字典'!$K$5:$N$9,2,FALSE)</x:f>
        <x:v>0</x:v>
      </x:c>
      <x:c r="L16" s="16" t="n">
        <x:f>VLOOKUP(F16,'04_参数字典'!$K$5:$N$9,3,FALSE)</x:f>
        <x:v>1</x:v>
      </x:c>
      <x:c r="M16" s="16" t="n">
        <x:f>VLOOKUP(F16,'04_参数字典'!$K$5:$N$9,4,FALSE)</x:f>
        <x:v>-1</x:v>
      </x:c>
      <x:c r="N16" s="16" t="n">
        <x:f>$G16-$D16-H16-K16</x:f>
        <x:v>0</x:v>
      </x:c>
      <x:c r="O16" s="16" t="n">
        <x:f>$G16-$D16-H16-L16</x:f>
        <x:v>-1</x:v>
      </x:c>
      <x:c r="P16" s="16" t="n">
        <x:f>$G16-$D16-H16-M16</x:f>
        <x:v>1</x:v>
      </x:c>
      <x:c r="Q16" s="16" t="n">
        <x:f>$G16-$D16-I16-K16</x:f>
        <x:v>1</x:v>
      </x:c>
      <x:c r="R16" s="16" t="n">
        <x:f>$G16-$D16-I16-L16</x:f>
        <x:v>0</x:v>
      </x:c>
      <x:c r="S16" s="16" t="n">
        <x:f>$G16-$D16-I16-M16</x:f>
        <x:v>2</x:v>
      </x:c>
      <x:c r="T16" s="16" t="n">
        <x:f>$G16-$D16-J16-K16</x:f>
        <x:v>2</x:v>
      </x:c>
      <x:c r="U16" s="16" t="n">
        <x:f>$G16-$D16-J16-L16</x:f>
        <x:v>1</x:v>
      </x:c>
      <x:c r="V16" s="16" t="n">
        <x:f>$G16-$D16-J16-M16</x:f>
        <x:v>3</x:v>
      </x:c>
      <x:c r="W16" s="29" t="n">
        <x:f>COUNTIFS(N16:V16,"&gt;=-2",N16:V16,"&lt;=2")</x:f>
        <x:v>8</x:v>
      </x:c>
    </x:row>
    <x:row r="17">
      <x:c r="A17" s="23" t="n">
        <x:v>13</x:v>
      </x:c>
      <x:c r="B17" s="23" t="str">
        <x:v>F-ZJ-13</x:v>
      </x:c>
      <x:c r="C17" s="23" t="str">
        <x:v>展脉丹</x:v>
      </x:c>
      <x:c r="D17" s="23" t="n">
        <x:v>1</x:v>
      </x:c>
      <x:c r="E17" s="23" t="str">
        <x:v>木</x:v>
      </x:c>
      <x:c r="F17" s="23" t="str">
        <x:v>辛</x:v>
      </x:c>
      <x:c r="G17" s="23" t="n">
        <x:v>1</x:v>
      </x:c>
      <x:c r="H17" s="16" t="n">
        <x:f>VLOOKUP(E17,'04_参数字典'!$F$5:$I$9,2,FALSE)</x:f>
        <x:v>0</x:v>
      </x:c>
      <x:c r="I17" s="16" t="n">
        <x:f>VLOOKUP(E17,'04_参数字典'!$F$5:$I$9,3,FALSE)</x:f>
        <x:v>1</x:v>
      </x:c>
      <x:c r="J17" s="16" t="n">
        <x:f>VLOOKUP(E17,'04_参数字典'!$F$5:$I$9,4,FALSE)</x:f>
        <x:v>2</x:v>
      </x:c>
      <x:c r="K17" s="16" t="n">
        <x:f>VLOOKUP(F17,'04_参数字典'!$K$5:$N$9,2,FALSE)</x:f>
        <x:v>0</x:v>
      </x:c>
      <x:c r="L17" s="16" t="n">
        <x:f>VLOOKUP(F17,'04_参数字典'!$K$5:$N$9,3,FALSE)</x:f>
        <x:v>1</x:v>
      </x:c>
      <x:c r="M17" s="16" t="n">
        <x:f>VLOOKUP(F17,'04_参数字典'!$K$5:$N$9,4,FALSE)</x:f>
        <x:v>-1</x:v>
      </x:c>
      <x:c r="N17" s="16" t="n">
        <x:f>$G17-$D17-H17-K17</x:f>
        <x:v>0</x:v>
      </x:c>
      <x:c r="O17" s="16" t="n">
        <x:f>$G17-$D17-H17-L17</x:f>
        <x:v>-1</x:v>
      </x:c>
      <x:c r="P17" s="16" t="n">
        <x:f>$G17-$D17-H17-M17</x:f>
        <x:v>1</x:v>
      </x:c>
      <x:c r="Q17" s="16" t="n">
        <x:f>$G17-$D17-I17-K17</x:f>
        <x:v>-1</x:v>
      </x:c>
      <x:c r="R17" s="16" t="n">
        <x:f>$G17-$D17-I17-L17</x:f>
        <x:v>-2</x:v>
      </x:c>
      <x:c r="S17" s="16" t="n">
        <x:f>$G17-$D17-I17-M17</x:f>
        <x:v>0</x:v>
      </x:c>
      <x:c r="T17" s="16" t="n">
        <x:f>$G17-$D17-J17-K17</x:f>
        <x:v>-2</x:v>
      </x:c>
      <x:c r="U17" s="16" t="n">
        <x:f>$G17-$D17-J17-L17</x:f>
        <x:v>-3</x:v>
      </x:c>
      <x:c r="V17" s="16" t="n">
        <x:f>$G17-$D17-J17-M17</x:f>
        <x:v>-1</x:v>
      </x:c>
      <x:c r="W17" s="29" t="n">
        <x:f>COUNTIFS(N17:V17,"&gt;=-2",N17:V17,"&lt;=2")</x:f>
        <x:v>8</x:v>
      </x:c>
    </x:row>
    <x:row r="18">
      <x:c r="A18" s="23" t="n">
        <x:v>14</x:v>
      </x:c>
      <x:c r="B18" s="23" t="str">
        <x:v>F-ZJ-14</x:v>
      </x:c>
      <x:c r="C18" s="23" t="str">
        <x:v>明台丹</x:v>
      </x:c>
      <x:c r="D18" s="23" t="n">
        <x:v>1</x:v>
      </x:c>
      <x:c r="E18" s="23" t="str">
        <x:v>火</x:v>
      </x:c>
      <x:c r="F18" s="23" t="str">
        <x:v>苦</x:v>
      </x:c>
      <x:c r="G18" s="23" t="n">
        <x:v>1</x:v>
      </x:c>
      <x:c r="H18" s="16" t="n">
        <x:f>VLOOKUP(E18,'04_参数字典'!$F$5:$I$9,2,FALSE)</x:f>
        <x:v>0</x:v>
      </x:c>
      <x:c r="I18" s="16" t="n">
        <x:f>VLOOKUP(E18,'04_参数字典'!$F$5:$I$9,3,FALSE)</x:f>
        <x:v>2</x:v>
      </x:c>
      <x:c r="J18" s="16" t="n">
        <x:f>VLOOKUP(E18,'04_参数字典'!$F$5:$I$9,4,FALSE)</x:f>
        <x:v>1</x:v>
      </x:c>
      <x:c r="K18" s="16" t="n">
        <x:f>VLOOKUP(F18,'04_参数字典'!$K$5:$N$9,2,FALSE)</x:f>
        <x:v>0</x:v>
      </x:c>
      <x:c r="L18" s="16" t="n">
        <x:f>VLOOKUP(F18,'04_参数字典'!$K$5:$N$9,3,FALSE)</x:f>
        <x:v>-1</x:v>
      </x:c>
      <x:c r="M18" s="16" t="n">
        <x:f>VLOOKUP(F18,'04_参数字典'!$K$5:$N$9,4,FALSE)</x:f>
        <x:v>-2</x:v>
      </x:c>
      <x:c r="N18" s="16" t="n">
        <x:f>$G18-$D18-H18-K18</x:f>
        <x:v>0</x:v>
      </x:c>
      <x:c r="O18" s="16" t="n">
        <x:f>$G18-$D18-H18-L18</x:f>
        <x:v>1</x:v>
      </x:c>
      <x:c r="P18" s="16" t="n">
        <x:f>$G18-$D18-H18-M18</x:f>
        <x:v>2</x:v>
      </x:c>
      <x:c r="Q18" s="16" t="n">
        <x:f>$G18-$D18-I18-K18</x:f>
        <x:v>-2</x:v>
      </x:c>
      <x:c r="R18" s="16" t="n">
        <x:f>$G18-$D18-I18-L18</x:f>
        <x:v>-1</x:v>
      </x:c>
      <x:c r="S18" s="16" t="n">
        <x:f>$G18-$D18-I18-M18</x:f>
        <x:v>0</x:v>
      </x:c>
      <x:c r="T18" s="16" t="n">
        <x:f>$G18-$D18-J18-K18</x:f>
        <x:v>-1</x:v>
      </x:c>
      <x:c r="U18" s="16" t="n">
        <x:f>$G18-$D18-J18-L18</x:f>
        <x:v>0</x:v>
      </x:c>
      <x:c r="V18" s="16" t="n">
        <x:f>$G18-$D18-J18-M18</x:f>
        <x:v>1</x:v>
      </x:c>
      <x:c r="W18" s="29" t="n">
        <x:f>COUNTIFS(N18:V18,"&gt;=-2",N18:V18,"&lt;=2")</x:f>
        <x:v>9</x:v>
      </x:c>
    </x:row>
    <x:row r="19">
      <x:c r="A19" s="23" t="n">
        <x:v>15</x:v>
      </x:c>
      <x:c r="B19" s="23" t="str">
        <x:v>F-ZJ-15</x:v>
      </x:c>
      <x:c r="C19" s="23" t="str">
        <x:v>续元丹</x:v>
      </x:c>
      <x:c r="D19" s="23" t="n">
        <x:v>0</x:v>
      </x:c>
      <x:c r="E19" s="23" t="str">
        <x:v>水</x:v>
      </x:c>
      <x:c r="F19" s="23" t="str">
        <x:v>咸</x:v>
      </x:c>
      <x:c r="G19" s="23" t="n">
        <x:v>0</x:v>
      </x:c>
      <x:c r="H19" s="16" t="n">
        <x:f>VLOOKUP(E19,'04_参数字典'!$F$5:$I$9,2,FALSE)</x:f>
        <x:v>0</x:v>
      </x:c>
      <x:c r="I19" s="16" t="n">
        <x:f>VLOOKUP(E19,'04_参数字典'!$F$5:$I$9,3,FALSE)</x:f>
        <x:v>-1</x:v>
      </x:c>
      <x:c r="J19" s="16" t="n">
        <x:f>VLOOKUP(E19,'04_参数字典'!$F$5:$I$9,4,FALSE)</x:f>
        <x:v>-2</x:v>
      </x:c>
      <x:c r="K19" s="16" t="n">
        <x:f>VLOOKUP(F19,'04_参数字典'!$K$5:$N$9,2,FALSE)</x:f>
        <x:v>0</x:v>
      </x:c>
      <x:c r="L19" s="16" t="n">
        <x:f>VLOOKUP(F19,'04_参数字典'!$K$5:$N$9,3,FALSE)</x:f>
        <x:v>-2</x:v>
      </x:c>
      <x:c r="M19" s="16" t="n">
        <x:f>VLOOKUP(F19,'04_参数字典'!$K$5:$N$9,4,FALSE)</x:f>
        <x:v>-1</x:v>
      </x:c>
      <x:c r="N19" s="16" t="n">
        <x:f>$G19-$D19-H19-K19</x:f>
        <x:v>0</x:v>
      </x:c>
      <x:c r="O19" s="16" t="n">
        <x:f>$G19-$D19-H19-L19</x:f>
        <x:v>2</x:v>
      </x:c>
      <x:c r="P19" s="16" t="n">
        <x:f>$G19-$D19-H19-M19</x:f>
        <x:v>1</x:v>
      </x:c>
      <x:c r="Q19" s="16" t="n">
        <x:f>$G19-$D19-I19-K19</x:f>
        <x:v>1</x:v>
      </x:c>
      <x:c r="R19" s="16" t="n">
        <x:f>$G19-$D19-I19-L19</x:f>
        <x:v>3</x:v>
      </x:c>
      <x:c r="S19" s="16" t="n">
        <x:f>$G19-$D19-I19-M19</x:f>
        <x:v>2</x:v>
      </x:c>
      <x:c r="T19" s="16" t="n">
        <x:f>$G19-$D19-J19-K19</x:f>
        <x:v>2</x:v>
      </x:c>
      <x:c r="U19" s="16" t="n">
        <x:f>$G19-$D19-J19-L19</x:f>
        <x:v>4</x:v>
      </x:c>
      <x:c r="V19" s="16" t="n">
        <x:f>$G19-$D19-J19-M19</x:f>
        <x:v>3</x:v>
      </x:c>
      <x:c r="W19" s="29" t="n">
        <x:f>COUNTIFS(N19:V19,"&gt;=-2",N19:V19,"&lt;=2")</x:f>
        <x:v>6</x:v>
      </x:c>
    </x:row>
    <x:row r="21">
      <x:c r="A21" s="12" t="str">
        <x:v>核验</x:v>
      </x:c>
      <x:c r="B21" s="12" t="str">
        <x:v>N合法合计</x:v>
      </x:c>
      <x:c r="C21" s="12" t="str">
        <x:v>最少</x:v>
      </x:c>
      <x:c r="D21" s="12" t="str">
        <x:v>最多</x:v>
      </x:c>
    </x:row>
    <x:row r="22">
      <x:c r="A22" s="16" t="str">
        <x:f>"结果"</x:f>
        <x:v>结果</x:v>
      </x:c>
      <x:c r="B22" s="16" t="n">
        <x:f>SUM(W5:W19)</x:f>
        <x:v>122</x:v>
      </x:c>
      <x:c r="C22" s="16" t="n">
        <x:f>MIN(W5:W19)</x:f>
        <x:v>6</x:v>
      </x:c>
      <x:c r="D22" s="16" t="n">
        <x:f>MAX(W5:W19)</x:f>
        <x:v>9</x:v>
      </x:c>
    </x:row>
  </x:sheetData>
  <x:mergeCells>
    <x:mergeCell ref="A1:W1"/>
    <x:mergeCell ref="A2:W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" hidden="0" customWidth="1"/>
    <x:col min="3" max="3" width="24" hidden="0" customWidth="1"/>
    <x:col min="4" max="4" width="22" hidden="0" customWidth="1"/>
    <x:col min="5" max="5" width="16" hidden="0" customWidth="1"/>
    <x:col min="6" max="6" width="34" hidden="0" customWidth="1"/>
    <x:col min="7" max="7" width="34" hidden="0" customWidth="1"/>
  </x:cols>
  <x:sheetData>
    <x:row r="1" ht="30" customHeight="1">
      <x:c r="A1" s="3" t="str">
        <x:v>玩家验方运行表字段｜成功后才生成VR_ID</x:v>
      </x:c>
      <x:c r="B1" s="3" t="str">
        <x:v>玩家验方运行表字段｜成功后才生成VR_ID</x:v>
      </x:c>
      <x:c r="C1" s="3" t="str">
        <x:v>玩家验方运行表字段｜成功后才生成VR_ID</x:v>
      </x:c>
      <x:c r="D1" s="3" t="str">
        <x:v>玩家验方运行表字段｜成功后才生成VR_ID</x:v>
      </x:c>
      <x:c r="E1" s="3" t="str">
        <x:v>玩家验方运行表字段｜成功后才生成VR_ID</x:v>
      </x:c>
      <x:c r="F1" s="3" t="str">
        <x:v>玩家验方运行表字段｜成功后才生成VR_ID</x:v>
      </x:c>
      <x:c r="G1" s="3" t="str">
        <x:v>玩家验方运行表字段｜成功后才生成VR_ID</x:v>
      </x:c>
    </x:row>
    <x:row r="2" ht="25" customHeight="1">
      <x:c r="A2" s="7" t="str">
        <x:v>本工作簿不预生成玩家验方；这里只定义前台入册所需字段</x:v>
      </x:c>
      <x:c r="B2" s="7" t="str">
        <x:v>本工作簿不预生成玩家验方；这里只定义前台入册所需字段</x:v>
      </x:c>
      <x:c r="C2" s="7" t="str">
        <x:v>本工作簿不预生成玩家验方；这里只定义前台入册所需字段</x:v>
      </x:c>
      <x:c r="D2" s="7" t="str">
        <x:v>本工作簿不预生成玩家验方；这里只定义前台入册所需字段</x:v>
      </x:c>
      <x:c r="E2" s="7" t="str">
        <x:v>本工作簿不预生成玩家验方；这里只定义前台入册所需字段</x:v>
      </x:c>
      <x:c r="F2" s="7" t="str">
        <x:v>本工作簿不预生成玩家验方；这里只定义前台入册所需字段</x:v>
      </x:c>
      <x:c r="G2" s="7" t="str">
        <x:v>本工作簿不预生成玩家验方；这里只定义前台入册所需字段</x:v>
      </x:c>
    </x:row>
    <x:row r="4">
      <x:c r="A4" s="12" t="str">
        <x:v>字段</x:v>
      </x:c>
      <x:c r="B4" s="12" t="str">
        <x:v>必填</x:v>
      </x:c>
      <x:c r="C4" s="12" t="str">
        <x:v>生成时机</x:v>
      </x:c>
      <x:c r="D4" s="12" t="str">
        <x:v>唯一性</x:v>
      </x:c>
      <x:c r="E4" s="12" t="str">
        <x:v>玩家显示</x:v>
      </x:c>
      <x:c r="F4" s="12" t="str">
        <x:v>用途</x:v>
      </x:c>
      <x:c r="G4" s="12" t="str">
        <x:v>示例</x:v>
      </x:c>
    </x:row>
    <x:row r="5">
      <x:c r="A5" s="29" t="str">
        <x:v>verified_recipe_id</x:v>
      </x:c>
      <x:c r="B5" s="16" t="str">
        <x:v>是</x:v>
      </x:c>
      <x:c r="C5" s="16" t="str">
        <x:v>首次成功成丹</x:v>
      </x:c>
      <x:c r="D5" s="16" t="str">
        <x:v>主键</x:v>
      </x:c>
      <x:c r="E5" s="16" t="str">
        <x:v>是</x:v>
      </x:c>
      <x:c r="F5" s="16" t="str">
        <x:v>个人验方身份</x:v>
      </x:c>
      <x:c r="G5" s="16" t="str">
        <x:v>VR-P001-FZJ01-0001</x:v>
      </x:c>
    </x:row>
    <x:row r="6">
      <x:c r="A6" s="29" t="str">
        <x:v>player_id/formula_id</x:v>
      </x:c>
      <x:c r="B6" s="16" t="str">
        <x:v>是</x:v>
      </x:c>
      <x:c r="C6" s="16" t="str">
        <x:v>首次成功</x:v>
      </x:c>
      <x:c r="D6" s="16" t="str">
        <x:v>联合归属</x:v>
      </x:c>
      <x:c r="E6" s="16" t="str">
        <x:v>否</x:v>
      </x:c>
      <x:c r="F6" s="16" t="str">
        <x:v>关联玩家与丹方</x:v>
      </x:c>
      <x:c r="G6" s="16" t="str">
        <x:v>P001/F-ZJ-01</x:v>
      </x:c>
    </x:row>
    <x:row r="7">
      <x:c r="A7" s="29" t="str">
        <x:v>normalized_signature</x:v>
      </x:c>
      <x:c r="B7" s="16" t="str">
        <x:v>是</x:v>
      </x:c>
      <x:c r="C7" s="16" t="str">
        <x:v>首次成功</x:v>
      </x:c>
      <x:c r="D7" s="16" t="str">
        <x:v>同玩家同丹方唯一</x:v>
      </x:c>
      <x:c r="E7" s="16" t="str">
        <x:v>否</x:v>
      </x:c>
      <x:c r="F7" s="16" t="str">
        <x:v>物种骨架去重</x:v>
      </x:c>
      <x:c r="G7" s="16" t="str">
        <x:v>FZJ01|J01|M01|A01|E01</x:v>
      </x:c>
    </x:row>
    <x:row r="8">
      <x:c r="A8" s="29" t="str">
        <x:v>君臣佐使物种ID</x:v>
      </x:c>
      <x:c r="B8" s="16" t="str">
        <x:v>是</x:v>
      </x:c>
      <x:c r="C8" s="16" t="str">
        <x:v>实际成功投料</x:v>
      </x:c>
      <x:c r="D8" s="16" t="str">
        <x:v>参与签名</x:v>
      </x:c>
      <x:c r="E8" s="16" t="str">
        <x:v>是</x:v>
      </x:c>
      <x:c r="F8" s="16" t="str">
        <x:v>一键复炼</x:v>
      </x:c>
      <x:c r="G8" s="16" t="str">
        <x:v>J01/M01/A01/E01</x:v>
      </x:c>
    </x:row>
    <x:row r="9">
      <x:c r="A9" s="29" t="str">
        <x:v>display_name</x:v>
      </x:c>
      <x:c r="B9" s="16" t="str">
        <x:v>是</x:v>
      </x:c>
      <x:c r="C9" s="16" t="str">
        <x:v>系统默认/玩家改名</x:v>
      </x:c>
      <x:c r="D9" s="16" t="str">
        <x:v>否</x:v>
      </x:c>
      <x:c r="E9" s="16" t="str">
        <x:v>是</x:v>
      </x:c>
      <x:c r="F9" s="16" t="str">
        <x:v>前台识别</x:v>
      </x:c>
      <x:c r="G9" s="16" t="str">
        <x:v>聚元丹·坊市低价方</x:v>
      </x:c>
    </x:row>
    <x:row r="10">
      <x:c r="A10" s="29" t="str">
        <x:v>source_type</x:v>
      </x:c>
      <x:c r="B10" s="16" t="str">
        <x:v>是</x:v>
      </x:c>
      <x:c r="C10" s="16" t="str">
        <x:v>首次成功</x:v>
      </x:c>
      <x:c r="D10" s="16" t="str">
        <x:v>否</x:v>
      </x:c>
      <x:c r="E10" s="16" t="str">
        <x:v>是</x:v>
      </x:c>
      <x:c r="F10" s="16" t="str">
        <x:v>默认/自研/传授/购买</x:v>
      </x:c>
      <x:c r="G10" s="16" t="str">
        <x:v>自研</x:v>
      </x:c>
    </x:row>
    <x:row r="11">
      <x:c r="A11" s="29" t="str">
        <x:v>first_success_at</x:v>
      </x:c>
      <x:c r="B11" s="16" t="str">
        <x:v>是</x:v>
      </x:c>
      <x:c r="C11" s="16" t="str">
        <x:v>首次成功</x:v>
      </x:c>
      <x:c r="D11" s="16" t="str">
        <x:v>否</x:v>
      </x:c>
      <x:c r="E11" s="16" t="str">
        <x:v>是</x:v>
      </x:c>
      <x:c r="F11" s="16" t="str">
        <x:v>确权时间</x:v>
      </x:c>
      <x:c r="G11" s="16" t="str">
        <x:v>第18日辰时</x:v>
      </x:c>
    </x:row>
    <x:row r="12">
      <x:c r="A12" s="29" t="str">
        <x:v>last_success_at/success_count</x:v>
      </x:c>
      <x:c r="B12" s="16" t="str">
        <x:v>是</x:v>
      </x:c>
      <x:c r="C12" s="16" t="str">
        <x:v>每次成功更新</x:v>
      </x:c>
      <x:c r="D12" s="16" t="str">
        <x:v>否</x:v>
      </x:c>
      <x:c r="E12" s="16" t="str">
        <x:v>是</x:v>
      </x:c>
      <x:c r="F12" s="16" t="str">
        <x:v>使用历史</x:v>
      </x:c>
      <x:c r="G12" s="16" t="str">
        <x:v>第22日/5次</x:v>
      </x:c>
    </x:row>
    <x:row r="13">
      <x:c r="A13" s="29" t="str">
        <x:v>first_loadout_snapshot</x:v>
      </x:c>
      <x:c r="B13" s="16" t="str">
        <x:v>是</x:v>
      </x:c>
      <x:c r="C13" s="16" t="str">
        <x:v>首次成功</x:v>
      </x:c>
      <x:c r="D13" s="16" t="str">
        <x:v>否</x:v>
      </x:c>
      <x:c r="E13" s="16" t="str">
        <x:v>详情</x:v>
      </x:c>
      <x:c r="F13" s="16" t="str">
        <x:v>首次品质份数</x:v>
      </x:c>
      <x:c r="G13" s="16" t="str">
        <x:v>灵2/凡2/凡2/凡1</x:v>
      </x:c>
    </x:row>
    <x:row r="14">
      <x:c r="A14" s="29" t="str">
        <x:v>last_loadout_snapshot</x:v>
      </x:c>
      <x:c r="B14" s="16" t="str">
        <x:v>是</x:v>
      </x:c>
      <x:c r="C14" s="16" t="str">
        <x:v>每次成功更新</x:v>
      </x:c>
      <x:c r="D14" s="16" t="str">
        <x:v>否</x:v>
      </x:c>
      <x:c r="E14" s="16" t="str">
        <x:v>是</x:v>
      </x:c>
      <x:c r="F14" s="16" t="str">
        <x:v>下次一键填料</x:v>
      </x:c>
      <x:c r="G14" s="16" t="str">
        <x:v>玄2/灵1/灵1/灵1</x:v>
      </x:c>
    </x:row>
    <x:row r="15">
      <x:c r="A15" s="29" t="str">
        <x:v>best_cost_snapshot</x:v>
      </x:c>
      <x:c r="B15" s="16" t="str">
        <x:v>否</x:v>
      </x:c>
      <x:c r="C15" s="16" t="str">
        <x:v>成功后比较</x:v>
      </x:c>
      <x:c r="D15" s="16" t="str">
        <x:v>否</x:v>
      </x:c>
      <x:c r="E15" s="16" t="str">
        <x:v>是</x:v>
      </x:c>
      <x:c r="F15" s="16" t="str">
        <x:v>最低成功成本</x:v>
      </x:c>
      <x:c r="G15" s="16" t="str">
        <x:v>125</x:v>
      </x:c>
    </x:row>
    <x:row r="16">
      <x:c r="A16" s="29" t="str">
        <x:v>best_quality_snapshot</x:v>
      </x:c>
      <x:c r="B16" s="16" t="str">
        <x:v>否</x:v>
      </x:c>
      <x:c r="C16" s="16" t="str">
        <x:v>成功后比较</x:v>
      </x:c>
      <x:c r="D16" s="16" t="str">
        <x:v>否</x:v>
      </x:c>
      <x:c r="E16" s="16" t="str">
        <x:v>是</x:v>
      </x:c>
      <x:c r="F16" s="16" t="str">
        <x:v>最高出品品质</x:v>
      </x:c>
      <x:c r="G16" s="16" t="str">
        <x:v>玄</x:v>
      </x:c>
    </x:row>
    <x:row r="17">
      <x:c r="A17" s="29" t="str">
        <x:v>favorite/sort_order</x:v>
      </x:c>
      <x:c r="B17" s="16" t="str">
        <x:v>否</x:v>
      </x:c>
      <x:c r="C17" s="16" t="str">
        <x:v>玩家操作</x:v>
      </x:c>
      <x:c r="D17" s="16" t="str">
        <x:v>否</x:v>
      </x:c>
      <x:c r="E17" s="16" t="str">
        <x:v>是</x:v>
      </x:c>
      <x:c r="F17" s="16" t="str">
        <x:v>前台管理</x:v>
      </x:c>
      <x:c r="G17" s="16" t="str">
        <x:v>TRUE/1</x:v>
      </x:c>
    </x:row>
    <x:row r="19">
      <x:c r="A19" s="21" t="str">
        <x:v>规则：失败不生成VR_ID；同物种签名换品质或数量只更新旧记录；更换物种且成功才新增VR_ID。</x:v>
      </x:c>
      <x:c r="B19" s="21" t="str">
        <x:v>规则：失败不生成VR_ID；同物种签名换品质或数量只更新旧记录；更换物种且成功才新增VR_ID。</x:v>
      </x:c>
      <x:c r="C19" s="21" t="str">
        <x:v>规则：失败不生成VR_ID；同物种签名换品质或数量只更新旧记录；更换物种且成功才新增VR_ID。</x:v>
      </x:c>
      <x:c r="D19" s="21" t="str">
        <x:v>规则：失败不生成VR_ID；同物种签名换品质或数量只更新旧记录；更换物种且成功才新增VR_ID。</x:v>
      </x:c>
      <x:c r="E19" s="21" t="str">
        <x:v>规则：失败不生成VR_ID；同物种签名换品质或数量只更新旧记录；更换物种且成功才新增VR_ID。</x:v>
      </x:c>
      <x:c r="F19" s="21" t="str">
        <x:v>规则：失败不生成VR_ID；同物种签名换品质或数量只更新旧记录；更换物种且成功才新增VR_ID。</x:v>
      </x:c>
      <x:c r="G19" s="21" t="str">
        <x:v>规则：失败不生成VR_ID；同物种签名换品质或数量只更新旧记录；更换物种且成功才新增VR_ID。</x:v>
      </x:c>
    </x:row>
  </x:sheetData>
  <x:mergeCells>
    <x:mergeCell ref="A1:G1"/>
    <x:mergeCell ref="A2:G2"/>
    <x:mergeCell ref="A19:G19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16" hidden="0" customWidth="1"/>
    <x:col min="4" max="4" width="14" hidden="0" customWidth="1"/>
    <x:col min="5" max="5" width="4" hidden="0" customWidth="1"/>
    <x:col min="6" max="6" width="24" hidden="0" customWidth="1"/>
    <x:col min="7" max="7" width="18" hidden="0" customWidth="1"/>
    <x:col min="8" max="8" width="18" hidden="0" customWidth="1"/>
  </x:cols>
  <x:sheetData>
    <x:row r="1" ht="30" customHeight="1">
      <x:c r="A1" s="3" t="str">
        <x:v>完整性核验｜15方、45解、48株与全部公式</x:v>
      </x:c>
      <x:c r="B1" s="3" t="str">
        <x:v>完整性核验｜15方、45解、48株与全部公式</x:v>
      </x:c>
      <x:c r="C1" s="3" t="str">
        <x:v>完整性核验｜15方、45解、48株与全部公式</x:v>
      </x:c>
      <x:c r="D1" s="3" t="str">
        <x:v>完整性核验｜15方、45解、48株与全部公式</x:v>
      </x:c>
      <x:c r="E1" s="3" t="str">
        <x:v>完整性核验｜15方、45解、48株与全部公式</x:v>
      </x:c>
      <x:c r="F1" s="3" t="str">
        <x:v>完整性核验｜15方、45解、48株与全部公式</x:v>
      </x:c>
      <x:c r="G1" s="3" t="str">
        <x:v>完整性核验｜15方、45解、48株与全部公式</x:v>
      </x:c>
      <x:c r="H1" s="3" t="str">
        <x:v>完整性核验｜15方、45解、48株与全部公式</x:v>
      </x:c>
    </x:row>
    <x:row r="2" ht="25" customHeight="1">
      <x:c r="A2" s="7" t="str">
        <x:v>所有验证解必须同时通过臣行、使味、方性、总药力、君药力、份数与非负毛利</x:v>
      </x:c>
      <x:c r="B2" s="7" t="str">
        <x:v>所有验证解必须同时通过臣行、使味、方性、总药力、君药力、份数与非负毛利</x:v>
      </x:c>
      <x:c r="C2" s="7" t="str">
        <x:v>所有验证解必须同时通过臣行、使味、方性、总药力、君药力、份数与非负毛利</x:v>
      </x:c>
      <x:c r="D2" s="7" t="str">
        <x:v>所有验证解必须同时通过臣行、使味、方性、总药力、君药力、份数与非负毛利</x:v>
      </x:c>
      <x:c r="E2" s="7" t="str">
        <x:v>所有验证解必须同时通过臣行、使味、方性、总药力、君药力、份数与非负毛利</x:v>
      </x:c>
      <x:c r="F2" s="7" t="str">
        <x:v>所有验证解必须同时通过臣行、使味、方性、总药力、君药力、份数与非负毛利</x:v>
      </x:c>
      <x:c r="G2" s="7" t="str">
        <x:v>所有验证解必须同时通过臣行、使味、方性、总药力、君药力、份数与非负毛利</x:v>
      </x:c>
      <x:c r="H2" s="7" t="str">
        <x:v>所有验证解必须同时通过臣行、使味、方性、总药力、君药力、份数与非负毛利</x:v>
      </x:c>
    </x:row>
    <x:row r="4">
      <x:c r="A4" s="12" t="str">
        <x:v>指标</x:v>
      </x:c>
      <x:c r="B4" s="12" t="str">
        <x:v>实际</x:v>
      </x:c>
      <x:c r="C4" s="12" t="str">
        <x:v>目标</x:v>
      </x:c>
      <x:c r="D4" s="12" t="str">
        <x:v>状态</x:v>
      </x:c>
      <x:c r="F4" s="12" t="str">
        <x:v>字段核验</x:v>
      </x:c>
      <x:c r="G4" s="12" t="str">
        <x:v>实际</x:v>
      </x:c>
      <x:c r="H4" s="12" t="str">
        <x:v>目标</x:v>
      </x:c>
    </x:row>
    <x:row r="5">
      <x:c r="A5" s="16" t="str">
        <x:v>丹方数</x:v>
      </x:c>
      <x:c r="B5" s="16" t="n">
        <x:f>COUNTA('01_丹方主表'!B5:B19)</x:f>
        <x:v>15</x:v>
      </x:c>
      <x:c r="C5" s="16" t="n">
        <x:v>15</x:v>
      </x:c>
      <x:c r="D5" s="29" t="str">
        <x:f>IF(B5=C5,"通过","检查")</x:f>
        <x:v>通过</x:v>
      </x:c>
      <x:c r="F5" s="16" t="str">
        <x:v>臣行通过</x:v>
      </x:c>
      <x:c r="G5" s="16" t="n">
        <x:f>COUNTIF('02_策划验证解表'!T5:T49,"通过")</x:f>
        <x:v>45</x:v>
      </x:c>
      <x:c r="H5" s="16" t="n">
        <x:v>45</x:v>
      </x:c>
    </x:row>
    <x:row r="6">
      <x:c r="A6" s="16" t="str">
        <x:v>策划验证解数</x:v>
      </x:c>
      <x:c r="B6" s="16" t="n">
        <x:f>COUNTA('02_策划验证解表'!B5:B49)</x:f>
        <x:v>45</x:v>
      </x:c>
      <x:c r="C6" s="16" t="n">
        <x:v>45</x:v>
      </x:c>
      <x:c r="D6" s="29" t="str">
        <x:f>IF(B6=C6,"通过","检查")</x:f>
        <x:v>通过</x:v>
      </x:c>
      <x:c r="F6" s="16" t="str">
        <x:v>使味通过</x:v>
      </x:c>
      <x:c r="G6" s="16" t="n">
        <x:f>COUNTIF('02_策划验证解表'!V5:V49,"通过")</x:f>
        <x:v>45</x:v>
      </x:c>
      <x:c r="H6" s="16" t="n">
        <x:v>45</x:v>
      </x:c>
    </x:row>
    <x:row r="7">
      <x:c r="A7" s="16" t="str">
        <x:v>默认方数</x:v>
      </x:c>
      <x:c r="B7" s="16" t="n">
        <x:f>COUNTIF('02_策划验证解表'!F5:F49,"是")</x:f>
        <x:v>15</x:v>
      </x:c>
      <x:c r="C7" s="16" t="n">
        <x:v>15</x:v>
      </x:c>
      <x:c r="D7" s="29" t="str">
        <x:f>IF(B7=C7,"通过","检查")</x:f>
        <x:v>通过</x:v>
      </x:c>
      <x:c r="F7" s="16" t="str">
        <x:v>方性通过</x:v>
      </x:c>
      <x:c r="G7" s="16" t="n">
        <x:f>COUNTIF('02_策划验证解表'!Y5:Y49,"通过")</x:f>
        <x:v>45</x:v>
      </x:c>
      <x:c r="H7" s="16" t="n">
        <x:v>45</x:v>
      </x:c>
    </x:row>
    <x:row r="8">
      <x:c r="A8" s="16" t="str">
        <x:v>每方验证解=3</x:v>
      </x:c>
      <x:c r="B8" s="16" t="n">
        <x:f>COUNTIF('01_丹方主表'!T5:T19,3)</x:f>
        <x:v>15</x:v>
      </x:c>
      <x:c r="C8" s="16" t="n">
        <x:v>15</x:v>
      </x:c>
      <x:c r="D8" s="29" t="str">
        <x:f>IF(B8=C8,"通过","检查")</x:f>
        <x:v>通过</x:v>
      </x:c>
      <x:c r="F8" s="16" t="str">
        <x:v>药力通过</x:v>
      </x:c>
      <x:c r="G8" s="16" t="n">
        <x:f>COUNTIF('02_策划验证解表'!AB5:AB49,"通过")</x:f>
        <x:v>45</x:v>
      </x:c>
      <x:c r="H8" s="16" t="n">
        <x:v>45</x:v>
      </x:c>
    </x:row>
    <x:row r="9">
      <x:c r="A9" s="16" t="str">
        <x:v>每方默认方=1</x:v>
      </x:c>
      <x:c r="B9" s="16" t="n">
        <x:f>COUNTIF('01_丹方主表'!U5:U19,1)</x:f>
        <x:v>15</x:v>
      </x:c>
      <x:c r="C9" s="16" t="n">
        <x:v>15</x:v>
      </x:c>
      <x:c r="D9" s="29" t="str">
        <x:f>IF(B9=C9,"通过","检查")</x:f>
        <x:v>通过</x:v>
      </x:c>
      <x:c r="F9" s="16" t="str">
        <x:v>君力通过</x:v>
      </x:c>
      <x:c r="G9" s="16" t="n">
        <x:f>COUNTIF('02_策划验证解表'!AE5:AE49,"通过")</x:f>
        <x:v>45</x:v>
      </x:c>
      <x:c r="H9" s="16" t="n">
        <x:v>45</x:v>
      </x:c>
    </x:row>
    <x:row r="10">
      <x:c r="A10" s="16" t="str">
        <x:v>灵植总数</x:v>
      </x:c>
      <x:c r="B10" s="16" t="n">
        <x:f>COUNTA('03_灵植表'!B5:B52)</x:f>
        <x:v>48</x:v>
      </x:c>
      <x:c r="C10" s="16" t="n">
        <x:v>48</x:v>
      </x:c>
      <x:c r="D10" s="29" t="str">
        <x:f>IF(B10=C10,"通过","检查")</x:f>
        <x:v>通过</x:v>
      </x:c>
      <x:c r="F10" s="16" t="str">
        <x:v>份数通过</x:v>
      </x:c>
      <x:c r="G10" s="16" t="n">
        <x:f>COUNTIF('02_策划验证解表'!AH5:AH49,"通过")</x:f>
        <x:v>45</x:v>
      </x:c>
      <x:c r="H10" s="16" t="n">
        <x:v>45</x:v>
      </x:c>
    </x:row>
    <x:row r="11">
      <x:c r="A11" s="16" t="str">
        <x:v>君材数</x:v>
      </x:c>
      <x:c r="B11" s="16" t="n">
        <x:f>COUNTIF('03_灵植表'!D5:D52,"君")</x:f>
        <x:v>13</x:v>
      </x:c>
      <x:c r="C11" s="16" t="n">
        <x:v>13</x:v>
      </x:c>
      <x:c r="D11" s="29" t="str">
        <x:f>IF(B11=C11,"通过","检查")</x:f>
        <x:v>通过</x:v>
      </x:c>
      <x:c r="F11" s="16" t="str">
        <x:v>非负毛利</x:v>
      </x:c>
      <x:c r="G11" s="16" t="n">
        <x:f>COUNTIF('02_策划验证解表'!AK5:AK49,"&gt;=0")</x:f>
        <x:v>45</x:v>
      </x:c>
      <x:c r="H11" s="16" t="n">
        <x:v>45</x:v>
      </x:c>
    </x:row>
    <x:row r="12">
      <x:c r="A12" s="16" t="str">
        <x:v>臣材数</x:v>
      </x:c>
      <x:c r="B12" s="16" t="n">
        <x:f>COUNTIF('03_灵植表'!D5:D52,"臣")</x:f>
        <x:v>15</x:v>
      </x:c>
      <x:c r="C12" s="16" t="n">
        <x:v>15</x:v>
      </x:c>
      <x:c r="D12" s="29" t="str">
        <x:f>IF(B12=C12,"通过","检查")</x:f>
        <x:v>通过</x:v>
      </x:c>
      <x:c r="F12" s="16" t="str">
        <x:v>N合法合计</x:v>
      </x:c>
      <x:c r="G12" s="16" t="n">
        <x:f>'05_合法解计算'!B22</x:f>
        <x:v>122</x:v>
      </x:c>
      <x:c r="H12" s="16" t="n">
        <x:v>122</x:v>
      </x:c>
    </x:row>
    <x:row r="13">
      <x:c r="A13" s="16" t="str">
        <x:v>佐材数</x:v>
      </x:c>
      <x:c r="B13" s="16" t="n">
        <x:f>COUNTIF('03_灵植表'!D5:D52,"佐")</x:f>
        <x:v>5</x:v>
      </x:c>
      <x:c r="C13" s="16" t="n">
        <x:v>5</x:v>
      </x:c>
      <x:c r="D13" s="29" t="str">
        <x:f>IF(B13=C13,"通过","检查")</x:f>
        <x:v>通过</x:v>
      </x:c>
      <x:c r="F13" s="16" t="str">
        <x:v>N合法范围</x:v>
      </x:c>
      <x:c r="G13" s="16" t="str">
        <x:f>'05_合法解计算'!C22&amp;"—"&amp;'05_合法解计算'!D22</x:f>
        <x:v>6—9</x:v>
      </x:c>
      <x:c r="H13" s="16" t="str">
        <x:v>6—9</x:v>
      </x:c>
    </x:row>
    <x:row r="14">
      <x:c r="A14" s="16" t="str">
        <x:v>使材数</x:v>
      </x:c>
      <x:c r="B14" s="16" t="n">
        <x:f>COUNTIF('03_灵植表'!D5:D52,"使")</x:f>
        <x:v>15</x:v>
      </x:c>
      <x:c r="C14" s="16" t="n">
        <x:v>15</x:v>
      </x:c>
      <x:c r="D14" s="29" t="str">
        <x:f>IF(B14=C14,"通过","检查")</x:f>
        <x:v>通过</x:v>
      </x:c>
      <x:c r="F14" t="str">
        <x:v>本体描述完整</x:v>
      </x:c>
      <x:c r="G14" t="n">
        <x:f>COUNTA('03_灵植表'!S5:S52)</x:f>
        <x:v>48</x:v>
      </x:c>
      <x:c r="H14" t="n">
        <x:v>48</x:v>
      </x:c>
    </x:row>
    <x:row r="15">
      <x:c r="A15" s="16" t="str">
        <x:v>验证解综合通过</x:v>
      </x:c>
      <x:c r="B15" s="16" t="n">
        <x:f>COUNTIF('02_策划验证解表'!AS5:AS49,"通过")</x:f>
        <x:v>45</x:v>
      </x:c>
      <x:c r="C15" s="16" t="n">
        <x:v>45</x:v>
      </x:c>
      <x:c r="D15" s="29" t="str">
        <x:f>IF(B15=C15,"通过","检查")</x:f>
        <x:v>通过</x:v>
      </x:c>
      <x:c r="F15" t="str">
        <x:v>炼丹说明完整</x:v>
      </x:c>
      <x:c r="G15" t="n">
        <x:f>COUNTA('03_灵植表'!T5:T52)</x:f>
        <x:v>48</x:v>
      </x:c>
      <x:c r="H15" t="n">
        <x:v>48</x:v>
      </x:c>
    </x:row>
    <x:row r="16">
      <x:c r="A16" s="16" t="str">
        <x:v>验证解失败</x:v>
      </x:c>
      <x:c r="B16" s="16" t="n">
        <x:f>COUNTIF('02_策划验证解表'!AS5:AS49,"失败")</x:f>
        <x:v>0</x:v>
      </x:c>
      <x:c r="C16" s="16" t="n">
        <x:v>0</x:v>
      </x:c>
      <x:c r="D16" s="29" t="str">
        <x:f>IF(B16=C16,"通过","检查")</x:f>
        <x:v>通过</x:v>
      </x:c>
    </x:row>
    <x:row r="18">
      <x:c r="A18" s="21" t="str">
        <x:v>通过标准：每方三套代表解、一套默认；48株角色数正确且本体/炼丹两类说明完整；45条验证解七项全过且无负毛利。</x:v>
      </x:c>
      <x:c r="B18" s="21" t="str">
        <x:v>通过标准：每方三套代表解、一套默认；48株角色数正确；45条验证解七项全过且无负毛利。</x:v>
      </x:c>
      <x:c r="C18" s="21" t="str">
        <x:v>通过标准：每方三套代表解、一套默认；48株角色数正确；45条验证解七项全过且无负毛利。</x:v>
      </x:c>
      <x:c r="D18" s="21" t="str">
        <x:v>通过标准：每方三套代表解、一套默认；48株角色数正确；45条验证解七项全过且无负毛利。</x:v>
      </x:c>
      <x:c r="E18" s="21" t="str">
        <x:v>通过标准：每方三套代表解、一套默认；48株角色数正确；45条验证解七项全过且无负毛利。</x:v>
      </x:c>
      <x:c r="F18" s="21" t="str">
        <x:v>通过标准：每方三套代表解、一套默认；48株角色数正确；45条验证解七项全过且无负毛利。</x:v>
      </x:c>
      <x:c r="G18" s="21" t="str">
        <x:v>通过标准：每方三套代表解、一套默认；48株角色数正确；45条验证解七项全过且无负毛利。</x:v>
      </x:c>
      <x:c r="H18" s="21" t="str">
        <x:v>通过标准：每方三套代表解、一套默认；48株角色数正确；45条验证解七项全过且无负毛利。</x:v>
      </x:c>
    </x:row>
  </x:sheetData>
  <x:mergeCells>
    <x:mergeCell ref="A1:H1"/>
    <x:mergeCell ref="A2:H2"/>
    <x:mergeCell ref="A18:H18"/>
  </x:mergeCells>
  <x:conditionalFormatting sqref="D5:D16">
    <x:cfRule type="containsText" dxfId="1" priority="1" operator="containsText" text="检查"/>
  </x:conditionalFormatting>
  <x:pageMargins left="0.7" right="0.7" top="0.75" bottom="0.75" header="0.3" footer="0.3"/>
</x:worksheet>
</file>