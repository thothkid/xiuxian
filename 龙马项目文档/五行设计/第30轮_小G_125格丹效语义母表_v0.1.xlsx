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a7833a109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5格母表" sheetId="1" r:id="R01be78e95f0c43ad"/>
    <x:sheet xmlns:r="http://schemas.openxmlformats.org/officeDocument/2006/relationships" name="口诀与规则" sheetId="2" r:id="R1ae8282a5fec4254"/>
    <x:sheet xmlns:r="http://schemas.openxmlformats.org/officeDocument/2006/relationships" name="审核统计" sheetId="3" r:id="Ref6f5078a17d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11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right" vertical="center"/>
    </x:xf>
    <x:xf numFmtId="0" fontId="4" fillId="5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right" vertical="center"/>
    </x:xf>
    <x:xf numFmtId="0" fontId="4" fillId="6" borderId="0" xfId="0" applyNumberFormat="1" applyFont="1" applyFill="1" applyBorder="1" applyAlignment="1">
      <x:alignment horizontal="center" vertical="center"/>
    </x:xf>
    <x:xf numFmtId="200" fontId="4" fillId="6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right" vertical="center"/>
    </x:xf>
    <x:xf numFmtId="0" fontId="4" fillId="7" borderId="0" xfId="0" applyNumberFormat="1" applyFont="1" applyFill="1" applyBorder="1" applyAlignment="1">
      <x:alignment horizontal="center" vertical="center"/>
    </x:xf>
    <x:xf numFmtId="200" fontId="4" fillId="7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right" vertical="center"/>
    </x:xf>
    <x:xf numFmtId="0" fontId="4" fillId="8" borderId="0" xfId="0" applyNumberFormat="1" applyFont="1" applyFill="1" applyBorder="1" applyAlignment="1">
      <x:alignment horizontal="center" vertical="center"/>
    </x:xf>
    <x:xf numFmtId="200" fontId="4" fillId="8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right" vertical="center"/>
    </x:xf>
    <x:xf numFmtId="0" fontId="4" fillId="9" borderId="0" xfId="0" applyNumberFormat="1" applyFont="1" applyFill="1" applyBorder="1" applyAlignment="1">
      <x:alignment horizontal="center" vertical="center"/>
    </x:xf>
    <x:xf numFmtId="200" fontId="4" fillId="9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7" fillId="4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9FC5E8"/>
        </x:patternFill>
      </x:fill>
    </x:dxf>
    <x:dxf>
      <x:fill>
        <x:patternFill patternType="solid">
          <x:bgColor rgb="FFCFE2F3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8df006f154469" /><Relationship Type="http://schemas.openxmlformats.org/officeDocument/2006/relationships/theme" Target="/xl/theme/theme1.xml" Id="R96d4a6413a2d48a9" /><Relationship Type="http://schemas.openxmlformats.org/officeDocument/2006/relationships/sharedStrings" Target="/xl/sharedStrings.xml" Id="R696842368ca74a64" /><Relationship Type="http://schemas.openxmlformats.org/officeDocument/2006/relationships/worksheet" Target="/xl/worksheets/sheet1.xml" Id="R01be78e95f0c43ad" /><Relationship Type="http://schemas.openxmlformats.org/officeDocument/2006/relationships/worksheet" Target="/xl/worksheets/sheet2.xml" Id="R1ae8282a5fec4254" /><Relationship Type="http://schemas.openxmlformats.org/officeDocument/2006/relationships/worksheet" Target="/xl/worksheets/sheet3.xml" Id="Ref6f5078a17d4972" /></Relationships>
</file>

<file path=xl/tables/table1.xml><?xml version="1.0" encoding="utf-8"?>
<x:table xmlns:x="http://schemas.openxmlformats.org/spreadsheetml/2006/main" id="1" name="EffectMatrix125" displayName="EffectMatrix125" ref="A4:S129" headerRowCount="1" totalsRowCount="0" totalsRowShown="0">
  <x:autoFilter ref="A4:S129"/>
  <x:tableColumns count="19">
    <x:tableColumn id="1" name="序号"/>
    <x:tableColumn id="2" name="效果坐标"/>
    <x:tableColumn id="3" name="标准君核"/>
    <x:tableColumn id="4" name="五味"/>
    <x:tableColumn id="5" name="作用域"/>
    <x:tableColumn id="6" name="五行"/>
    <x:tableColumn id="7" name="五性"/>
    <x:tableColumn id="8" name="性值"/>
    <x:tableColumn id="9" name="效果族"/>
    <x:tableColumn id="10" name="丹效白话"/>
    <x:tableColumn id="11" name="重要度"/>
    <x:tableColumn id="12" name="实现类型1"/>
    <x:tableColumn id="13" name="目标1"/>
    <x:tableColumn id="14" name="ID／来源1"/>
    <x:tableColumn id="15" name="实现说明1"/>
    <x:tableColumn id="16" name="实现类型2"/>
    <x:tableColumn id="17" name="目标2"/>
    <x:tableColumn id="18" name="ID／来源2"/>
    <x:tableColumn id="19" name="备注／风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966efab23043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7" hidden="0" customWidth="1"/>
    <x:col min="5" max="5" width="13" hidden="0" customWidth="1"/>
    <x:col min="6" max="6" width="7" hidden="0" customWidth="1"/>
    <x:col min="7" max="7" width="7" hidden="0" customWidth="1"/>
    <x:col min="8" max="8" width="7" hidden="0" customWidth="1"/>
    <x:col min="9" max="9" width="17" hidden="0" customWidth="1"/>
    <x:col min="10" max="10" width="34" hidden="0" customWidth="1"/>
    <x:col min="11" max="11" width="9" hidden="0" customWidth="1"/>
    <x:col min="12" max="12" width="13" hidden="0" customWidth="1"/>
    <x:col min="13" max="13" width="22" hidden="0" customWidth="1"/>
    <x:col min="14" max="14" width="26" hidden="0" customWidth="1"/>
    <x:col min="15" max="15" width="34" hidden="0" customWidth="1"/>
    <x:col min="16" max="16" width="13" hidden="0" customWidth="1"/>
    <x:col min="17" max="17" width="20" hidden="0" customWidth="1"/>
    <x:col min="18" max="18" width="26" hidden="0" customWidth="1"/>
    <x:col min="19" max="19" width="30" hidden="0" customWidth="1"/>
  </x:cols>
  <x:sheetData>
    <x:row r="1" ht="28" customHeight="1">
      <x:c r="A1" s="4" t="str">
        <x:v>第30轮｜小G｜五行×五味×五性＝125格丹效语义母表 v0.1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4" customHeight="1">
      <x:c r="A2" s="9" t="str">
        <x:v>本表只定效果语义与程序承载，不填境界数值；125格全部有效，同一属性／参数／Buff／技能可合理复用。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</x:row>
    <x:row r="4" ht="34" customHeight="1">
      <x:c r="A4" s="14" t="str">
        <x:v>序号</x:v>
      </x:c>
      <x:c r="B4" s="14" t="str">
        <x:v>效果坐标</x:v>
      </x:c>
      <x:c r="C4" s="14" t="str">
        <x:v>标准君核</x:v>
      </x:c>
      <x:c r="D4" s="14" t="str">
        <x:v>五味</x:v>
      </x:c>
      <x:c r="E4" s="14" t="str">
        <x:v>作用域</x:v>
      </x:c>
      <x:c r="F4" s="14" t="str">
        <x:v>五行</x:v>
      </x:c>
      <x:c r="G4" s="14" t="str">
        <x:v>五性</x:v>
      </x:c>
      <x:c r="H4" s="14" t="str">
        <x:v>性值</x:v>
      </x:c>
      <x:c r="I4" s="14" t="str">
        <x:v>效果族</x:v>
      </x:c>
      <x:c r="J4" s="14" t="str">
        <x:v>丹效白话</x:v>
      </x:c>
      <x:c r="K4" s="14" t="str">
        <x:v>重要度</x:v>
      </x:c>
      <x:c r="L4" s="14" t="str">
        <x:v>实现类型1</x:v>
      </x:c>
      <x:c r="M4" s="14" t="str">
        <x:v>目标1</x:v>
      </x:c>
      <x:c r="N4" s="14" t="str">
        <x:v>ID／来源1</x:v>
      </x:c>
      <x:c r="O4" s="14" t="str">
        <x:v>实现说明1</x:v>
      </x:c>
      <x:c r="P4" s="14" t="str">
        <x:v>实现类型2</x:v>
      </x:c>
      <x:c r="Q4" s="14" t="str">
        <x:v>目标2</x:v>
      </x:c>
      <x:c r="R4" s="14" t="str">
        <x:v>ID／来源2</x:v>
      </x:c>
      <x:c r="S4" s="14" t="str">
        <x:v>备注／风险</x:v>
      </x:c>
    </x:row>
    <x:row r="5" ht="46" customHeight="1">
      <x:c r="A5" s="21" t="n">
        <x:v>1</x:v>
      </x:c>
      <x:c r="B5" s="22" t="str">
        <x:v>金甘寒</x:v>
      </x:c>
      <x:c r="C5" s="22" t="str">
        <x:v>丹田核</x:v>
      </x:c>
      <x:c r="D5" s="22" t="str">
        <x:v>甘</x:v>
      </x:c>
      <x:c r="E5" s="22" t="str">
        <x:v>修炼／丹田</x:v>
      </x:c>
      <x:c r="F5" s="22" t="str">
        <x:v>金</x:v>
      </x:c>
      <x:c r="G5" s="22" t="str">
        <x:v>寒</x:v>
      </x:c>
      <x:c r="H5" s="23" t="n">
        <x:v>-2</x:v>
      </x:c>
      <x:c r="I5" s="22" t="str">
        <x:v>清理丹田</x:v>
      </x:c>
      <x:c r="J5" s="20" t="str">
        <x:v>长时缓慢洗去大量修为丹毒</x:v>
      </x:c>
      <x:c r="K5" s="20" t="str">
        <x:v>核心</x:v>
      </x:c>
      <x:c r="L5" s="20" t="str">
        <x:v>参数＋Buff</x:v>
      </x:c>
      <x:c r="M5" s="20" t="str">
        <x:v>修为丹毒</x:v>
      </x:c>
      <x:c r="N5" s="20" t="str">
        <x:v>★新增参数：修为丹毒</x:v>
      </x:c>
      <x:c r="O5" s="20" t="str">
        <x:v>低速多次扣减，累计清除量最高</x:v>
      </x:c>
      <x:c r="P5" s="20" t="str">
        <x:v>Buff</x:v>
      </x:c>
      <x:c r="Q5" s="20" t="str">
        <x:v>寒滞</x:v>
      </x:c>
      <x:c r="R5" s="20" t="str">
        <x:v>★新增Buff</x:v>
      </x:c>
      <x:c r="S5" s="20" t="str">
        <x:v>清得多但时间长，期间修炼效率下降</x:v>
      </x:c>
    </x:row>
    <x:row r="6" ht="46" customHeight="1">
      <x:c r="A6" s="21" t="n">
        <x:v>2</x:v>
      </x:c>
      <x:c r="B6" s="22" t="str">
        <x:v>金甘凉</x:v>
      </x:c>
      <x:c r="C6" s="22" t="str">
        <x:v>丹田核</x:v>
      </x:c>
      <x:c r="D6" s="22" t="str">
        <x:v>甘</x:v>
      </x:c>
      <x:c r="E6" s="22" t="str">
        <x:v>修炼／丹田</x:v>
      </x:c>
      <x:c r="F6" s="22" t="str">
        <x:v>金</x:v>
      </x:c>
      <x:c r="G6" s="22" t="str">
        <x:v>凉</x:v>
      </x:c>
      <x:c r="H6" s="23" t="n">
        <x:v>-1</x:v>
      </x:c>
      <x:c r="I6" s="22" t="str">
        <x:v>清理丹田</x:v>
      </x:c>
      <x:c r="J6" s="20" t="str">
        <x:v>持续缩短突破失败虚弱的剩余时间</x:v>
      </x:c>
      <x:c r="K6" s="20" t="str">
        <x:v>核心</x:v>
      </x:c>
      <x:c r="L6" s="20" t="str">
        <x:v>Buff</x:v>
      </x:c>
      <x:c r="M6" s="20" t="str">
        <x:v>突破失败虚弱</x:v>
      </x:c>
      <x:c r="N6" s="20" t="str">
        <x:v>realm_config:fail_weakness／对应Buff</x:v>
      </x:c>
      <x:c r="O6" s="20" t="str">
        <x:v>持续削减剩余虚弱时长</x:v>
      </x:c>
      <x:c r="P6" s="20" t="str"/>
      <x:c r="Q6" s="20" t="str"/>
      <x:c r="R6" s="20" t="str"/>
      <x:c r="S6" s="20" t="str">
        <x:v>不直接清毒</x:v>
      </x:c>
    </x:row>
    <x:row r="7" ht="46" customHeight="1">
      <x:c r="A7" s="21" t="n">
        <x:v>3</x:v>
      </x:c>
      <x:c r="B7" s="22" t="str">
        <x:v>金甘平</x:v>
      </x:c>
      <x:c r="C7" s="22" t="str">
        <x:v>丹田核</x:v>
      </x:c>
      <x:c r="D7" s="22" t="str">
        <x:v>甘</x:v>
      </x:c>
      <x:c r="E7" s="22" t="str">
        <x:v>修炼／丹田</x:v>
      </x:c>
      <x:c r="F7" s="22" t="str">
        <x:v>金</x:v>
      </x:c>
      <x:c r="G7" s="22" t="str">
        <x:v>平</x:v>
      </x:c>
      <x:c r="H7" s="23" t="n">
        <x:v>0</x:v>
      </x:c>
      <x:c r="I7" s="22" t="str">
        <x:v>清理丹田</x:v>
      </x:c>
      <x:c r="J7" s="20" t="str">
        <x:v>立即清除固定量修为丹毒</x:v>
      </x:c>
      <x:c r="K7" s="20" t="str">
        <x:v>核心</x:v>
      </x:c>
      <x:c r="L7" s="20" t="str">
        <x:v>参数</x:v>
      </x:c>
      <x:c r="M7" s="20" t="str">
        <x:v>修为丹毒</x:v>
      </x:c>
      <x:c r="N7" s="20" t="str">
        <x:v>★新增参数：修为丹毒</x:v>
      </x:c>
      <x:c r="O7" s="20" t="str">
        <x:v>一次性扣减固定值</x:v>
      </x:c>
      <x:c r="P7" s="20" t="str"/>
      <x:c r="Q7" s="20" t="str"/>
      <x:c r="R7" s="20" t="str"/>
      <x:c r="S7" s="20" t="str">
        <x:v>金甘的标准本效</x:v>
      </x:c>
    </x:row>
    <x:row r="8" ht="46" customHeight="1">
      <x:c r="A8" s="21" t="n">
        <x:v>4</x:v>
      </x:c>
      <x:c r="B8" s="22" t="str">
        <x:v>金甘温</x:v>
      </x:c>
      <x:c r="C8" s="22" t="str">
        <x:v>丹田核</x:v>
      </x:c>
      <x:c r="D8" s="22" t="str">
        <x:v>甘</x:v>
      </x:c>
      <x:c r="E8" s="22" t="str">
        <x:v>修炼／丹田</x:v>
      </x:c>
      <x:c r="F8" s="22" t="str">
        <x:v>金</x:v>
      </x:c>
      <x:c r="G8" s="22" t="str">
        <x:v>温</x:v>
      </x:c>
      <x:c r="H8" s="23" t="n">
        <x:v>1</x:v>
      </x:c>
      <x:c r="I8" s="22" t="str">
        <x:v>清理丹田</x:v>
      </x:c>
      <x:c r="J8" s="20" t="str">
        <x:v>快速解除突破失败虚弱，并恢复部分修炼效率</x:v>
      </x:c>
      <x:c r="K8" s="20" t="str">
        <x:v>核心</x:v>
      </x:c>
      <x:c r="L8" s="20" t="str">
        <x:v>Buff</x:v>
      </x:c>
      <x:c r="M8" s="20" t="str">
        <x:v>突破失败虚弱</x:v>
      </x:c>
      <x:c r="N8" s="20" t="str">
        <x:v>realm_config:fail_weakness／对应Buff</x:v>
      </x:c>
      <x:c r="O8" s="20" t="str">
        <x:v>大幅缩短剩余时长</x:v>
      </x:c>
      <x:c r="P8" s="20" t="str">
        <x:v>Buff</x:v>
      </x:c>
      <x:c r="Q8" s="20" t="str">
        <x:v>修炼效率恢复</x:v>
      </x:c>
      <x:c r="R8" s="20" t="str">
        <x:v>attr_config:64-70组合</x:v>
      </x:c>
      <x:c r="S8" s="20" t="str">
        <x:v>起效快但总恢复较少</x:v>
      </x:c>
    </x:row>
    <x:row r="9" ht="46" customHeight="1">
      <x:c r="A9" s="21" t="n">
        <x:v>5</x:v>
      </x:c>
      <x:c r="B9" s="22" t="str">
        <x:v>金甘热</x:v>
      </x:c>
      <x:c r="C9" s="22" t="str">
        <x:v>丹田核</x:v>
      </x:c>
      <x:c r="D9" s="22" t="str">
        <x:v>甘</x:v>
      </x:c>
      <x:c r="E9" s="22" t="str">
        <x:v>修炼／丹田</x:v>
      </x:c>
      <x:c r="F9" s="22" t="str">
        <x:v>金</x:v>
      </x:c>
      <x:c r="G9" s="22" t="str">
        <x:v>热</x:v>
      </x:c>
      <x:c r="H9" s="23" t="n">
        <x:v>2</x:v>
      </x:c>
      <x:c r="I9" s="22" t="str">
        <x:v>清理丹田</x:v>
      </x:c>
      <x:c r="J9" s="20" t="str">
        <x:v>立即强制清除突破虚弱，随后进入短时丹田震荡</x:v>
      </x:c>
      <x:c r="K9" s="20" t="str">
        <x:v>核心</x:v>
      </x:c>
      <x:c r="L9" s="20" t="str">
        <x:v>Buff移除</x:v>
      </x:c>
      <x:c r="M9" s="20" t="str">
        <x:v>突破失败虚弱</x:v>
      </x:c>
      <x:c r="N9" s="20" t="str">
        <x:v>对应Buff</x:v>
      </x:c>
      <x:c r="O9" s="20" t="str">
        <x:v>立即移除</x:v>
      </x:c>
      <x:c r="P9" s="20" t="str">
        <x:v>Buff</x:v>
      </x:c>
      <x:c r="Q9" s="20" t="str">
        <x:v>丹田震荡</x:v>
      </x:c>
      <x:c r="R9" s="20" t="str">
        <x:v>★新增Buff</x:v>
      </x:c>
      <x:c r="S9" s="20" t="str">
        <x:v>救急效果，附反噬</x:v>
      </x:c>
    </x:row>
    <x:row r="10" ht="46" customHeight="1">
      <x:c r="A10" s="21" t="n">
        <x:v>6</x:v>
      </x:c>
      <x:c r="B10" s="22" t="str">
        <x:v>木甘寒</x:v>
      </x:c>
      <x:c r="C10" s="22" t="str">
        <x:v>丹田核</x:v>
      </x:c>
      <x:c r="D10" s="22" t="str">
        <x:v>甘</x:v>
      </x:c>
      <x:c r="E10" s="22" t="str">
        <x:v>修炼／丹田</x:v>
      </x:c>
      <x:c r="F10" s="22" t="str">
        <x:v>木</x:v>
      </x:c>
      <x:c r="G10" s="22" t="str">
        <x:v>寒</x:v>
      </x:c>
      <x:c r="H10" s="23" t="n">
        <x:v>-2</x:v>
      </x:c>
      <x:c r="I10" s="22" t="str">
        <x:v>推动突破</x:v>
      </x:c>
      <x:c r="J10" s="20" t="str">
        <x:v>长时积累下一次突破加成，累计总量最高</x:v>
      </x:c>
      <x:c r="K10" s="20" t="str">
        <x:v>核心</x:v>
      </x:c>
      <x:c r="L10" s="20" t="str">
        <x:v>Buff＋参数</x:v>
      </x:c>
      <x:c r="M10" s="20" t="str">
        <x:v>突破成功率</x:v>
      </x:c>
      <x:c r="N10" s="20" t="str">
        <x:v>realm_config:base_success_rate</x:v>
      </x:c>
      <x:c r="O10" s="20" t="str">
        <x:v>分段累积，下一次突破时结算</x:v>
      </x:c>
      <x:c r="P10" s="20" t="str"/>
      <x:c r="Q10" s="20" t="str"/>
      <x:c r="R10" s="20" t="str"/>
      <x:c r="S10" s="20" t="str">
        <x:v>不可无限叠加</x:v>
      </x:c>
    </x:row>
    <x:row r="11" ht="46" customHeight="1">
      <x:c r="A11" s="21" t="n">
        <x:v>7</x:v>
      </x:c>
      <x:c r="B11" s="22" t="str">
        <x:v>木甘凉</x:v>
      </x:c>
      <x:c r="C11" s="22" t="str">
        <x:v>丹田核</x:v>
      </x:c>
      <x:c r="D11" s="22" t="str">
        <x:v>甘</x:v>
      </x:c>
      <x:c r="E11" s="22" t="str">
        <x:v>修炼／丹田</x:v>
      </x:c>
      <x:c r="F11" s="22" t="str">
        <x:v>木</x:v>
      </x:c>
      <x:c r="G11" s="22" t="str">
        <x:v>凉</x:v>
      </x:c>
      <x:c r="H11" s="23" t="n">
        <x:v>-1</x:v>
      </x:c>
      <x:c r="I11" s="22" t="str">
        <x:v>推动突破</x:v>
      </x:c>
      <x:c r="J11" s="20" t="str">
        <x:v>在较长时间内稳定提高小境突破成功率</x:v>
      </x:c>
      <x:c r="K11" s="20" t="str">
        <x:v>核心</x:v>
      </x:c>
      <x:c r="L11" s="20" t="str">
        <x:v>参数Buff</x:v>
      </x:c>
      <x:c r="M11" s="20" t="str">
        <x:v>小境突破成功率</x:v>
      </x:c>
      <x:c r="N11" s="20" t="str">
        <x:v>realm_config:base_success_rate</x:v>
      </x:c>
      <x:c r="O11" s="20" t="str">
        <x:v>对小境判定加成</x:v>
      </x:c>
      <x:c r="P11" s="20" t="str"/>
      <x:c r="Q11" s="20" t="str"/>
      <x:c r="R11" s="20" t="str"/>
      <x:c r="S11" s="20" t="str">
        <x:v>长效稳健</x:v>
      </x:c>
    </x:row>
    <x:row r="12" ht="46" customHeight="1">
      <x:c r="A12" s="21" t="n">
        <x:v>8</x:v>
      </x:c>
      <x:c r="B12" s="22" t="str">
        <x:v>木甘平</x:v>
      </x:c>
      <x:c r="C12" s="22" t="str">
        <x:v>丹田核</x:v>
      </x:c>
      <x:c r="D12" s="22" t="str">
        <x:v>甘</x:v>
      </x:c>
      <x:c r="E12" s="22" t="str">
        <x:v>修炼／丹田</x:v>
      </x:c>
      <x:c r="F12" s="22" t="str">
        <x:v>木</x:v>
      </x:c>
      <x:c r="G12" s="22" t="str">
        <x:v>平</x:v>
      </x:c>
      <x:c r="H12" s="23" t="n">
        <x:v>0</x:v>
      </x:c>
      <x:c r="I12" s="22" t="str">
        <x:v>推动突破</x:v>
      </x:c>
      <x:c r="J12" s="20" t="str">
        <x:v>提高下一次小境突破成功率</x:v>
      </x:c>
      <x:c r="K12" s="20" t="str">
        <x:v>核心</x:v>
      </x:c>
      <x:c r="L12" s="20" t="str">
        <x:v>参数</x:v>
      </x:c>
      <x:c r="M12" s="20" t="str">
        <x:v>小境突破成功率</x:v>
      </x:c>
      <x:c r="N12" s="20" t="str">
        <x:v>realm_config:base_success_rate</x:v>
      </x:c>
      <x:c r="O12" s="20" t="str">
        <x:v>下一次小境突破结算</x:v>
      </x:c>
      <x:c r="P12" s="20" t="str"/>
      <x:c r="Q12" s="20" t="str"/>
      <x:c r="R12" s="20" t="str"/>
      <x:c r="S12" s="20" t="str">
        <x:v>木甘标准本效</x:v>
      </x:c>
    </x:row>
    <x:row r="13" ht="46" customHeight="1">
      <x:c r="A13" s="21" t="n">
        <x:v>9</x:v>
      </x:c>
      <x:c r="B13" s="22" t="str">
        <x:v>木甘温</x:v>
      </x:c>
      <x:c r="C13" s="22" t="str">
        <x:v>丹田核</x:v>
      </x:c>
      <x:c r="D13" s="22" t="str">
        <x:v>甘</x:v>
      </x:c>
      <x:c r="E13" s="22" t="str">
        <x:v>修炼／丹田</x:v>
      </x:c>
      <x:c r="F13" s="22" t="str">
        <x:v>木</x:v>
      </x:c>
      <x:c r="G13" s="22" t="str">
        <x:v>温</x:v>
      </x:c>
      <x:c r="H13" s="23" t="n">
        <x:v>1</x:v>
      </x:c>
      <x:c r="I13" s="22" t="str">
        <x:v>推动突破</x:v>
      </x:c>
      <x:c r="J13" s="20" t="str">
        <x:v>提高下一次大境突破成功率</x:v>
      </x:c>
      <x:c r="K13" s="20" t="str">
        <x:v>核心</x:v>
      </x:c>
      <x:c r="L13" s="20" t="str">
        <x:v>参数</x:v>
      </x:c>
      <x:c r="M13" s="20" t="str">
        <x:v>大境突破成功率</x:v>
      </x:c>
      <x:c r="N13" s="20" t="str">
        <x:v>realm_config:base_success_rate</x:v>
      </x:c>
      <x:c r="O13" s="20" t="str">
        <x:v>下一次大境突破结算</x:v>
      </x:c>
      <x:c r="P13" s="20" t="str"/>
      <x:c r="Q13" s="20" t="str"/>
      <x:c r="R13" s="20" t="str"/>
      <x:c r="S13" s="20" t="str">
        <x:v>速度／跃迁位</x:v>
      </x:c>
    </x:row>
    <x:row r="14" ht="46" customHeight="1">
      <x:c r="A14" s="21" t="n">
        <x:v>10</x:v>
      </x:c>
      <x:c r="B14" s="22" t="str">
        <x:v>木甘热</x:v>
      </x:c>
      <x:c r="C14" s="22" t="str">
        <x:v>丹田核</x:v>
      </x:c>
      <x:c r="D14" s="22" t="str">
        <x:v>甘</x:v>
      </x:c>
      <x:c r="E14" s="22" t="str">
        <x:v>修炼／丹田</x:v>
      </x:c>
      <x:c r="F14" s="22" t="str">
        <x:v>木</x:v>
      </x:c>
      <x:c r="G14" s="22" t="str">
        <x:v>热</x:v>
      </x:c>
      <x:c r="H14" s="23" t="n">
        <x:v>2</x:v>
      </x:c>
      <x:c r="I14" s="22" t="str">
        <x:v>推动突破</x:v>
      </x:c>
      <x:c r="J14" s="20" t="str">
        <x:v>强行催发大境突破，大幅加成成功率，失败虚弱加重</x:v>
      </x:c>
      <x:c r="K14" s="20" t="str">
        <x:v>核心</x:v>
      </x:c>
      <x:c r="L14" s="20" t="str">
        <x:v>调用技能</x:v>
      </x:c>
      <x:c r="M14" s="20" t="str">
        <x:v>强制突破</x:v>
      </x:c>
      <x:c r="N14" s="20" t="str">
        <x:v>★新增技能／参数</x:v>
      </x:c>
      <x:c r="O14" s="20" t="str">
        <x:v>立即发起突破结算</x:v>
      </x:c>
      <x:c r="P14" s="20" t="str">
        <x:v>Buff</x:v>
      </x:c>
      <x:c r="Q14" s="20" t="str">
        <x:v>加重失败虚弱</x:v>
      </x:c>
      <x:c r="R14" s="20" t="str">
        <x:v>realm_config:fail_weakness</x:v>
      </x:c>
      <x:c r="S14" s="20" t="str">
        <x:v>高收益高风险</x:v>
      </x:c>
    </x:row>
    <x:row r="15" ht="46" customHeight="1">
      <x:c r="A15" s="21" t="n">
        <x:v>11</x:v>
      </x:c>
      <x:c r="B15" s="22" t="str">
        <x:v>水甘寒</x:v>
      </x:c>
      <x:c r="C15" s="22" t="str">
        <x:v>丹田核</x:v>
      </x:c>
      <x:c r="D15" s="22" t="str">
        <x:v>甘</x:v>
      </x:c>
      <x:c r="E15" s="22" t="str">
        <x:v>修炼／丹田</x:v>
      </x:c>
      <x:c r="F15" s="22" t="str">
        <x:v>水</x:v>
      </x:c>
      <x:c r="G15" s="22" t="str">
        <x:v>寒</x:v>
      </x:c>
      <x:c r="H15" s="23" t="n">
        <x:v>-2</x:v>
      </x:c>
      <x:c r="I15" s="22" t="str">
        <x:v>吸纳灵气</x:v>
      </x:c>
      <x:c r="J15" s="20" t="str">
        <x:v>以低速长时吸纳灵气，累计吸收量最高</x:v>
      </x:c>
      <x:c r="K15" s="20" t="str">
        <x:v>常用</x:v>
      </x:c>
      <x:c r="L15" s="20" t="str">
        <x:v>属性Buff</x:v>
      </x:c>
      <x:c r="M15" s="20" t="str">
        <x:v>每时辰灵气吸收</x:v>
      </x:c>
      <x:c r="N15" s="20" t="str">
        <x:v>attr_config:65</x:v>
      </x:c>
      <x:c r="O15" s="20" t="str">
        <x:v>低幅长持续</x:v>
      </x:c>
      <x:c r="P15" s="20" t="str"/>
      <x:c r="Q15" s="20" t="str"/>
      <x:c r="R15" s="20" t="str"/>
      <x:c r="S15" s="20" t="str">
        <x:v>适合挂机修炼</x:v>
      </x:c>
    </x:row>
    <x:row r="16" ht="46" customHeight="1">
      <x:c r="A16" s="21" t="n">
        <x:v>12</x:v>
      </x:c>
      <x:c r="B16" s="22" t="str">
        <x:v>水甘凉</x:v>
      </x:c>
      <x:c r="C16" s="22" t="str">
        <x:v>丹田核</x:v>
      </x:c>
      <x:c r="D16" s="22" t="str">
        <x:v>甘</x:v>
      </x:c>
      <x:c r="E16" s="22" t="str">
        <x:v>修炼／丹田</x:v>
      </x:c>
      <x:c r="F16" s="22" t="str">
        <x:v>水</x:v>
      </x:c>
      <x:c r="G16" s="22" t="str">
        <x:v>凉</x:v>
      </x:c>
      <x:c r="H16" s="23" t="n">
        <x:v>-1</x:v>
      </x:c>
      <x:c r="I16" s="22" t="str">
        <x:v>吸纳灵气</x:v>
      </x:c>
      <x:c r="J16" s="20" t="str">
        <x:v>持续提高每时辰灵气吸收</x:v>
      </x:c>
      <x:c r="K16" s="20" t="str">
        <x:v>常用</x:v>
      </x:c>
      <x:c r="L16" s="20" t="str">
        <x:v>属性Buff</x:v>
      </x:c>
      <x:c r="M16" s="20" t="str">
        <x:v>每时辰灵气吸收</x:v>
      </x:c>
      <x:c r="N16" s="20" t="str">
        <x:v>attr_config:65</x:v>
      </x:c>
      <x:c r="O16" s="20" t="str">
        <x:v>中低幅长持续</x:v>
      </x:c>
      <x:c r="P16" s="20" t="str"/>
      <x:c r="Q16" s="20" t="str"/>
      <x:c r="R16" s="20" t="str"/>
      <x:c r="S16" s="20" t="str">
        <x:v>稳定吸纳</x:v>
      </x:c>
    </x:row>
    <x:row r="17" ht="46" customHeight="1">
      <x:c r="A17" s="21" t="n">
        <x:v>13</x:v>
      </x:c>
      <x:c r="B17" s="22" t="str">
        <x:v>水甘平</x:v>
      </x:c>
      <x:c r="C17" s="22" t="str">
        <x:v>丹田核</x:v>
      </x:c>
      <x:c r="D17" s="22" t="str">
        <x:v>甘</x:v>
      </x:c>
      <x:c r="E17" s="22" t="str">
        <x:v>修炼／丹田</x:v>
      </x:c>
      <x:c r="F17" s="22" t="str">
        <x:v>水</x:v>
      </x:c>
      <x:c r="G17" s="22" t="str">
        <x:v>平</x:v>
      </x:c>
      <x:c r="H17" s="23" t="n">
        <x:v>0</x:v>
      </x:c>
      <x:c r="I17" s="22" t="str">
        <x:v>吸纳灵气</x:v>
      </x:c>
      <x:c r="J17" s="20" t="str">
        <x:v>立即从附近灵气源吸纳一笔灵气入丹田</x:v>
      </x:c>
      <x:c r="K17" s="20" t="str">
        <x:v>常用</x:v>
      </x:c>
      <x:c r="L17" s="20" t="str">
        <x:v>调用技能</x:v>
      </x:c>
      <x:c r="M17" s="20" t="str">
        <x:v>灵气抽取</x:v>
      </x:c>
      <x:c r="N17" s="20" t="str">
        <x:v>★新增调用技能</x:v>
      </x:c>
      <x:c r="O17" s="20" t="str">
        <x:v>从合法灵气源扣除并写入角色储量</x:v>
      </x:c>
      <x:c r="P17" s="20" t="str"/>
      <x:c r="Q17" s="20" t="str"/>
      <x:c r="R17" s="20" t="str"/>
      <x:c r="S17" s="20" t="str">
        <x:v>水甘标准本效</x:v>
      </x:c>
    </x:row>
    <x:row r="18" ht="46" customHeight="1">
      <x:c r="A18" s="21" t="n">
        <x:v>14</x:v>
      </x:c>
      <x:c r="B18" s="22" t="str">
        <x:v>水甘温</x:v>
      </x:c>
      <x:c r="C18" s="22" t="str">
        <x:v>丹田核</x:v>
      </x:c>
      <x:c r="D18" s="22" t="str">
        <x:v>甘</x:v>
      </x:c>
      <x:c r="E18" s="22" t="str">
        <x:v>修炼／丹田</x:v>
      </x:c>
      <x:c r="F18" s="22" t="str">
        <x:v>水</x:v>
      </x:c>
      <x:c r="G18" s="22" t="str">
        <x:v>温</x:v>
      </x:c>
      <x:c r="H18" s="23" t="n">
        <x:v>1</x:v>
      </x:c>
      <x:c r="I18" s="22" t="str">
        <x:v>吸纳灵气</x:v>
      </x:c>
      <x:c r="J18" s="20" t="str">
        <x:v>短时快速提高灵气吸收速率</x:v>
      </x:c>
      <x:c r="K18" s="20" t="str">
        <x:v>常用</x:v>
      </x:c>
      <x:c r="L18" s="20" t="str">
        <x:v>属性Buff</x:v>
      </x:c>
      <x:c r="M18" s="20" t="str">
        <x:v>每时辰灵气吸收</x:v>
      </x:c>
      <x:c r="N18" s="20" t="str">
        <x:v>attr_config:65</x:v>
      </x:c>
      <x:c r="O18" s="20" t="str">
        <x:v>高幅短持续</x:v>
      </x:c>
      <x:c r="P18" s="20" t="str"/>
      <x:c r="Q18" s="20" t="str"/>
      <x:c r="R18" s="20" t="str"/>
      <x:c r="S18" s="20" t="str">
        <x:v>偏速度</x:v>
      </x:c>
    </x:row>
    <x:row r="19" ht="46" customHeight="1">
      <x:c r="A19" s="21" t="n">
        <x:v>15</x:v>
      </x:c>
      <x:c r="B19" s="22" t="str">
        <x:v>水甘热</x:v>
      </x:c>
      <x:c r="C19" s="22" t="str">
        <x:v>丹田核</x:v>
      </x:c>
      <x:c r="D19" s="22" t="str">
        <x:v>甘</x:v>
      </x:c>
      <x:c r="E19" s="22" t="str">
        <x:v>修炼／丹田</x:v>
      </x:c>
      <x:c r="F19" s="22" t="str">
        <x:v>水</x:v>
      </x:c>
      <x:c r="G19" s="22" t="str">
        <x:v>热</x:v>
      </x:c>
      <x:c r="H19" s="23" t="n">
        <x:v>2</x:v>
      </x:c>
      <x:c r="I19" s="22" t="str">
        <x:v>吸纳灵气</x:v>
      </x:c>
      <x:c r="J19" s="20" t="str">
        <x:v>瞬间虹吸周围灵气，随后产生灵气紊乱</x:v>
      </x:c>
      <x:c r="K19" s="20" t="str">
        <x:v>偏门</x:v>
      </x:c>
      <x:c r="L19" s="20" t="str">
        <x:v>调用技能</x:v>
      </x:c>
      <x:c r="M19" s="20" t="str">
        <x:v>范围灵气虹吸</x:v>
      </x:c>
      <x:c r="N19" s="20" t="str">
        <x:v>★新增调用技能</x:v>
      </x:c>
      <x:c r="O19" s="20" t="str">
        <x:v>瞬时抽取范围灵气</x:v>
      </x:c>
      <x:c r="P19" s="20" t="str">
        <x:v>Buff</x:v>
      </x:c>
      <x:c r="Q19" s="20" t="str">
        <x:v>灵气紊乱</x:v>
      </x:c>
      <x:c r="R19" s="20" t="str">
        <x:v>★新增Buff</x:v>
      </x:c>
      <x:c r="S19" s="20" t="str">
        <x:v>爆发吸纳会损伤环境或自身</x:v>
      </x:c>
    </x:row>
    <x:row r="20" ht="46" customHeight="1">
      <x:c r="A20" s="21" t="n">
        <x:v>16</x:v>
      </x:c>
      <x:c r="B20" s="22" t="str">
        <x:v>火甘寒</x:v>
      </x:c>
      <x:c r="C20" s="22" t="str">
        <x:v>丹田核</x:v>
      </x:c>
      <x:c r="D20" s="22" t="str">
        <x:v>甘</x:v>
      </x:c>
      <x:c r="E20" s="22" t="str">
        <x:v>修炼／丹田</x:v>
      </x:c>
      <x:c r="F20" s="22" t="str">
        <x:v>火</x:v>
      </x:c>
      <x:c r="G20" s="22" t="str">
        <x:v>寒</x:v>
      </x:c>
      <x:c r="H20" s="23" t="n">
        <x:v>-2</x:v>
      </x:c>
      <x:c r="I20" s="22" t="str">
        <x:v>转化修为</x:v>
      </x:c>
      <x:c r="J20" s="20" t="str">
        <x:v>长时低速转化灵气，累计修为最高</x:v>
      </x:c>
      <x:c r="K20" s="20" t="str">
        <x:v>核心</x:v>
      </x:c>
      <x:c r="L20" s="20" t="str">
        <x:v>属性Buff</x:v>
      </x:c>
      <x:c r="M20" s="20" t="str">
        <x:v>转化值增幅</x:v>
      </x:c>
      <x:c r="N20" s="20" t="str">
        <x:v>attr_config:68</x:v>
      </x:c>
      <x:c r="O20" s="20" t="str">
        <x:v>低幅长持续</x:v>
      </x:c>
      <x:c r="P20" s="20" t="str"/>
      <x:c r="Q20" s="20" t="str"/>
      <x:c r="R20" s="20" t="str"/>
      <x:c r="S20" s="20" t="str">
        <x:v>总量位</x:v>
      </x:c>
    </x:row>
    <x:row r="21" ht="46" customHeight="1">
      <x:c r="A21" s="21" t="n">
        <x:v>17</x:v>
      </x:c>
      <x:c r="B21" s="22" t="str">
        <x:v>火甘凉</x:v>
      </x:c>
      <x:c r="C21" s="22" t="str">
        <x:v>丹田核</x:v>
      </x:c>
      <x:c r="D21" s="22" t="str">
        <x:v>甘</x:v>
      </x:c>
      <x:c r="E21" s="22" t="str">
        <x:v>修炼／丹田</x:v>
      </x:c>
      <x:c r="F21" s="22" t="str">
        <x:v>火</x:v>
      </x:c>
      <x:c r="G21" s="22" t="str">
        <x:v>凉</x:v>
      </x:c>
      <x:c r="H21" s="23" t="n">
        <x:v>-1</x:v>
      </x:c>
      <x:c r="I21" s="22" t="str">
        <x:v>转化修为</x:v>
      </x:c>
      <x:c r="J21" s="20" t="str">
        <x:v>稳定增加每点灵气的额外转化值</x:v>
      </x:c>
      <x:c r="K21" s="20" t="str">
        <x:v>核心</x:v>
      </x:c>
      <x:c r="L21" s="20" t="str">
        <x:v>属性Buff</x:v>
      </x:c>
      <x:c r="M21" s="20" t="str">
        <x:v>额外转化值</x:v>
      </x:c>
      <x:c r="N21" s="20" t="str">
        <x:v>attr_config:67</x:v>
      </x:c>
      <x:c r="O21" s="20" t="str">
        <x:v>中幅长持续</x:v>
      </x:c>
      <x:c r="P21" s="20" t="str"/>
      <x:c r="Q21" s="20" t="str"/>
      <x:c r="R21" s="20" t="str"/>
      <x:c r="S21" s="20" t="str">
        <x:v>持续转化</x:v>
      </x:c>
    </x:row>
    <x:row r="22" ht="46" customHeight="1">
      <x:c r="A22" s="21" t="n">
        <x:v>18</x:v>
      </x:c>
      <x:c r="B22" s="22" t="str">
        <x:v>火甘平</x:v>
      </x:c>
      <x:c r="C22" s="22" t="str">
        <x:v>丹田核</x:v>
      </x:c>
      <x:c r="D22" s="22" t="str">
        <x:v>甘</x:v>
      </x:c>
      <x:c r="E22" s="22" t="str">
        <x:v>修炼／丹田</x:v>
      </x:c>
      <x:c r="F22" s="22" t="str">
        <x:v>火</x:v>
      </x:c>
      <x:c r="G22" s="22" t="str">
        <x:v>平</x:v>
      </x:c>
      <x:c r="H22" s="23" t="n">
        <x:v>0</x:v>
      </x:c>
      <x:c r="I22" s="22" t="str">
        <x:v>转化修为</x:v>
      </x:c>
      <x:c r="J22" s="20" t="str">
        <x:v>提高灵气的基础转化值</x:v>
      </x:c>
      <x:c r="K22" s="20" t="str">
        <x:v>核心</x:v>
      </x:c>
      <x:c r="L22" s="20" t="str">
        <x:v>属性Buff</x:v>
      </x:c>
      <x:c r="M22" s="20" t="str">
        <x:v>基础转化值</x:v>
      </x:c>
      <x:c r="N22" s="20" t="str">
        <x:v>attr_config:66</x:v>
      </x:c>
      <x:c r="O22" s="20" t="str">
        <x:v>标准幅度与持续</x:v>
      </x:c>
      <x:c r="P22" s="20" t="str"/>
      <x:c r="Q22" s="20" t="str"/>
      <x:c r="R22" s="20" t="str"/>
      <x:c r="S22" s="20" t="str">
        <x:v>火甘标准本效</x:v>
      </x:c>
    </x:row>
    <x:row r="23" ht="46" customHeight="1">
      <x:c r="A23" s="21" t="n">
        <x:v>19</x:v>
      </x:c>
      <x:c r="B23" s="22" t="str">
        <x:v>火甘温</x:v>
      </x:c>
      <x:c r="C23" s="22" t="str">
        <x:v>丹田核</x:v>
      </x:c>
      <x:c r="D23" s="22" t="str">
        <x:v>甘</x:v>
      </x:c>
      <x:c r="E23" s="22" t="str">
        <x:v>修炼／丹田</x:v>
      </x:c>
      <x:c r="F23" s="22" t="str">
        <x:v>火</x:v>
      </x:c>
      <x:c r="G23" s="22" t="str">
        <x:v>温</x:v>
      </x:c>
      <x:c r="H23" s="23" t="n">
        <x:v>1</x:v>
      </x:c>
      <x:c r="I23" s="22" t="str">
        <x:v>转化修为</x:v>
      </x:c>
      <x:c r="J23" s="20" t="str">
        <x:v>短时提高转化值增幅，使修为更快生成</x:v>
      </x:c>
      <x:c r="K23" s="20" t="str">
        <x:v>核心</x:v>
      </x:c>
      <x:c r="L23" s="20" t="str">
        <x:v>属性Buff</x:v>
      </x:c>
      <x:c r="M23" s="20" t="str">
        <x:v>转化值增幅</x:v>
      </x:c>
      <x:c r="N23" s="20" t="str">
        <x:v>attr_config:68</x:v>
      </x:c>
      <x:c r="O23" s="20" t="str">
        <x:v>高幅短持续</x:v>
      </x:c>
      <x:c r="P23" s="20" t="str"/>
      <x:c r="Q23" s="20" t="str"/>
      <x:c r="R23" s="20" t="str"/>
      <x:c r="S23" s="20" t="str">
        <x:v>快速转化</x:v>
      </x:c>
    </x:row>
    <x:row r="24" ht="46" customHeight="1">
      <x:c r="A24" s="21" t="n">
        <x:v>20</x:v>
      </x:c>
      <x:c r="B24" s="22" t="str">
        <x:v>火甘热</x:v>
      </x:c>
      <x:c r="C24" s="22" t="str">
        <x:v>丹田核</x:v>
      </x:c>
      <x:c r="D24" s="22" t="str">
        <x:v>甘</x:v>
      </x:c>
      <x:c r="E24" s="22" t="str">
        <x:v>修炼／丹田</x:v>
      </x:c>
      <x:c r="F24" s="22" t="str">
        <x:v>火</x:v>
      </x:c>
      <x:c r="G24" s="22" t="str">
        <x:v>热</x:v>
      </x:c>
      <x:c r="H24" s="23" t="n">
        <x:v>2</x:v>
      </x:c>
      <x:c r="I24" s="22" t="str">
        <x:v>转化修为</x:v>
      </x:c>
      <x:c r="J24" s="20" t="str">
        <x:v>立即把一批已吸纳灵气炼成修为，并产生高修为丹毒</x:v>
      </x:c>
      <x:c r="K24" s="20" t="str">
        <x:v>核心</x:v>
      </x:c>
      <x:c r="L24" s="20" t="str">
        <x:v>调用技能</x:v>
      </x:c>
      <x:c r="M24" s="20" t="str">
        <x:v>即时灵气转修为</x:v>
      </x:c>
      <x:c r="N24" s="20" t="str">
        <x:v>★新增调用技能／当前修为参数</x:v>
      </x:c>
      <x:c r="O24" s="20" t="str">
        <x:v>一次性结算</x:v>
      </x:c>
      <x:c r="P24" s="20" t="str">
        <x:v>参数</x:v>
      </x:c>
      <x:c r="Q24" s="20" t="str">
        <x:v>修为丹毒</x:v>
      </x:c>
      <x:c r="R24" s="20" t="str">
        <x:v>★新增参数：修为丹毒</x:v>
      </x:c>
      <x:c r="S24" s="20" t="str">
        <x:v>峰值最高、损耗与丹毒最高</x:v>
      </x:c>
    </x:row>
    <x:row r="25" ht="46" customHeight="1">
      <x:c r="A25" s="21" t="n">
        <x:v>21</x:v>
      </x:c>
      <x:c r="B25" s="22" t="str">
        <x:v>土甘寒</x:v>
      </x:c>
      <x:c r="C25" s="22" t="str">
        <x:v>丹田核</x:v>
      </x:c>
      <x:c r="D25" s="22" t="str">
        <x:v>甘</x:v>
      </x:c>
      <x:c r="E25" s="22" t="str">
        <x:v>修炼／丹田</x:v>
      </x:c>
      <x:c r="F25" s="22" t="str">
        <x:v>土</x:v>
      </x:c>
      <x:c r="G25" s="22" t="str">
        <x:v>寒</x:v>
      </x:c>
      <x:c r="H25" s="23" t="n">
        <x:v>-2</x:v>
      </x:c>
      <x:c r="I25" s="22" t="str">
        <x:v>积累修为</x:v>
      </x:c>
      <x:c r="J25" s="20" t="str">
        <x:v>长时分段增加修为，累计总量最高</x:v>
      </x:c>
      <x:c r="K25" s="20" t="str">
        <x:v>核心</x:v>
      </x:c>
      <x:c r="L25" s="20" t="str">
        <x:v>Buff＋参数</x:v>
      </x:c>
      <x:c r="M25" s="20" t="str">
        <x:v>当前修为</x:v>
      </x:c>
      <x:c r="N25" s="20" t="str">
        <x:v>★新增参数：当前修为</x:v>
      </x:c>
      <x:c r="O25" s="20" t="str">
        <x:v>按时辰分段写入</x:v>
      </x:c>
      <x:c r="P25" s="20" t="str">
        <x:v>参数</x:v>
      </x:c>
      <x:c r="Q25" s="20" t="str">
        <x:v>修为丹毒</x:v>
      </x:c>
      <x:c r="R25" s="20" t="str">
        <x:v>★新增参数</x:v>
      </x:c>
      <x:c r="S25" s="20" t="str">
        <x:v>慢而厚</x:v>
      </x:c>
    </x:row>
    <x:row r="26" ht="46" customHeight="1">
      <x:c r="A26" s="21" t="n">
        <x:v>22</x:v>
      </x:c>
      <x:c r="B26" s="22" t="str">
        <x:v>土甘凉</x:v>
      </x:c>
      <x:c r="C26" s="22" t="str">
        <x:v>丹田核</x:v>
      </x:c>
      <x:c r="D26" s="22" t="str">
        <x:v>甘</x:v>
      </x:c>
      <x:c r="E26" s="22" t="str">
        <x:v>修炼／丹田</x:v>
      </x:c>
      <x:c r="F26" s="22" t="str">
        <x:v>土</x:v>
      </x:c>
      <x:c r="G26" s="22" t="str">
        <x:v>凉</x:v>
      </x:c>
      <x:c r="H26" s="23" t="n">
        <x:v>-1</x:v>
      </x:c>
      <x:c r="I26" s="22" t="str">
        <x:v>积累修为</x:v>
      </x:c>
      <x:c r="J26" s="20" t="str">
        <x:v>持续增加额外基础修为</x:v>
      </x:c>
      <x:c r="K26" s="20" t="str">
        <x:v>核心</x:v>
      </x:c>
      <x:c r="L26" s="20" t="str">
        <x:v>属性Buff</x:v>
      </x:c>
      <x:c r="M26" s="20" t="str">
        <x:v>额外基础修为</x:v>
      </x:c>
      <x:c r="N26" s="20" t="str">
        <x:v>attr_config:70</x:v>
      </x:c>
      <x:c r="O26" s="20" t="str">
        <x:v>中低幅长持续</x:v>
      </x:c>
      <x:c r="P26" s="20" t="str"/>
      <x:c r="Q26" s="20" t="str"/>
      <x:c r="R26" s="20" t="str"/>
      <x:c r="S26" s="20" t="str">
        <x:v>稳定累积</x:v>
      </x:c>
    </x:row>
    <x:row r="27" ht="46" customHeight="1">
      <x:c r="A27" s="21" t="n">
        <x:v>23</x:v>
      </x:c>
      <x:c r="B27" s="22" t="str">
        <x:v>土甘平</x:v>
      </x:c>
      <x:c r="C27" s="22" t="str">
        <x:v>丹田核</x:v>
      </x:c>
      <x:c r="D27" s="22" t="str">
        <x:v>甘</x:v>
      </x:c>
      <x:c r="E27" s="22" t="str">
        <x:v>修炼／丹田</x:v>
      </x:c>
      <x:c r="F27" s="22" t="str">
        <x:v>土</x:v>
      </x:c>
      <x:c r="G27" s="22" t="str">
        <x:v>平</x:v>
      </x:c>
      <x:c r="H27" s="23" t="n">
        <x:v>0</x:v>
      </x:c>
      <x:c r="I27" s="22" t="str">
        <x:v>积累修为</x:v>
      </x:c>
      <x:c r="J27" s="20" t="str">
        <x:v>立即增加固定修为</x:v>
      </x:c>
      <x:c r="K27" s="20" t="str">
        <x:v>核心</x:v>
      </x:c>
      <x:c r="L27" s="20" t="str">
        <x:v>参数</x:v>
      </x:c>
      <x:c r="M27" s="20" t="str">
        <x:v>当前修为</x:v>
      </x:c>
      <x:c r="N27" s="20" t="str">
        <x:v>★新增参数：当前修为</x:v>
      </x:c>
      <x:c r="O27" s="20" t="str">
        <x:v>一次性写入</x:v>
      </x:c>
      <x:c r="P27" s="20" t="str">
        <x:v>参数</x:v>
      </x:c>
      <x:c r="Q27" s="20" t="str">
        <x:v>修为丹毒</x:v>
      </x:c>
      <x:c r="R27" s="20" t="str">
        <x:v>★新增参数</x:v>
      </x:c>
      <x:c r="S27" s="20" t="str">
        <x:v>土甘标准本效</x:v>
      </x:c>
    </x:row>
    <x:row r="28" ht="46" customHeight="1">
      <x:c r="A28" s="21" t="n">
        <x:v>24</x:v>
      </x:c>
      <x:c r="B28" s="22" t="str">
        <x:v>土甘温</x:v>
      </x:c>
      <x:c r="C28" s="22" t="str">
        <x:v>丹田核</x:v>
      </x:c>
      <x:c r="D28" s="22" t="str">
        <x:v>甘</x:v>
      </x:c>
      <x:c r="E28" s="22" t="str">
        <x:v>修炼／丹田</x:v>
      </x:c>
      <x:c r="F28" s="22" t="str">
        <x:v>土</x:v>
      </x:c>
      <x:c r="G28" s="22" t="str">
        <x:v>温</x:v>
      </x:c>
      <x:c r="H28" s="23" t="n">
        <x:v>1</x:v>
      </x:c>
      <x:c r="I28" s="22" t="str">
        <x:v>积累修为</x:v>
      </x:c>
      <x:c r="J28" s="20" t="str">
        <x:v>短时提高基础修为增幅</x:v>
      </x:c>
      <x:c r="K28" s="20" t="str">
        <x:v>核心</x:v>
      </x:c>
      <x:c r="L28" s="20" t="str">
        <x:v>属性Buff</x:v>
      </x:c>
      <x:c r="M28" s="20" t="str">
        <x:v>基础修为增幅</x:v>
      </x:c>
      <x:c r="N28" s="20" t="str">
        <x:v>attr_config:69</x:v>
      </x:c>
      <x:c r="O28" s="20" t="str">
        <x:v>高幅短持续</x:v>
      </x:c>
      <x:c r="P28" s="20" t="str"/>
      <x:c r="Q28" s="20" t="str"/>
      <x:c r="R28" s="20" t="str"/>
      <x:c r="S28" s="20" t="str">
        <x:v>加快日常修炼</x:v>
      </x:c>
    </x:row>
    <x:row r="29" ht="46" customHeight="1">
      <x:c r="A29" s="21" t="n">
        <x:v>25</x:v>
      </x:c>
      <x:c r="B29" s="22" t="str">
        <x:v>土甘热</x:v>
      </x:c>
      <x:c r="C29" s="22" t="str">
        <x:v>丹田核</x:v>
      </x:c>
      <x:c r="D29" s="22" t="str">
        <x:v>甘</x:v>
      </x:c>
      <x:c r="E29" s="22" t="str">
        <x:v>修炼／丹田</x:v>
      </x:c>
      <x:c r="F29" s="22" t="str">
        <x:v>土</x:v>
      </x:c>
      <x:c r="G29" s="22" t="str">
        <x:v>热</x:v>
      </x:c>
      <x:c r="H29" s="23" t="n">
        <x:v>2</x:v>
      </x:c>
      <x:c r="I29" s="22" t="str">
        <x:v>积累修为</x:v>
      </x:c>
      <x:c r="J29" s="20" t="str">
        <x:v>瞬间增加大量修为，同时产生大量修为丹毒</x:v>
      </x:c>
      <x:c r="K29" s="20" t="str">
        <x:v>核心</x:v>
      </x:c>
      <x:c r="L29" s="20" t="str">
        <x:v>参数</x:v>
      </x:c>
      <x:c r="M29" s="20" t="str">
        <x:v>当前修为</x:v>
      </x:c>
      <x:c r="N29" s="20" t="str">
        <x:v>★新增参数：当前修为</x:v>
      </x:c>
      <x:c r="O29" s="20" t="str">
        <x:v>一次性高额写入</x:v>
      </x:c>
      <x:c r="P29" s="20" t="str">
        <x:v>参数</x:v>
      </x:c>
      <x:c r="Q29" s="20" t="str">
        <x:v>修为丹毒</x:v>
      </x:c>
      <x:c r="R29" s="20" t="str">
        <x:v>★新增参数</x:v>
      </x:c>
      <x:c r="S29" s="20" t="str">
        <x:v>爆发修为丹</x:v>
      </x:c>
    </x:row>
    <x:row r="30" ht="46" customHeight="1">
      <x:c r="A30" s="24" t="n">
        <x:v>26</x:v>
      </x:c>
      <x:c r="B30" s="25" t="str">
        <x:v>金辛寒</x:v>
      </x:c>
      <x:c r="C30" s="25" t="str">
        <x:v>气脉核</x:v>
      </x:c>
      <x:c r="D30" s="25" t="str">
        <x:v>辛</x:v>
      </x:c>
      <x:c r="E30" s="25" t="str">
        <x:v>灵法／气脉</x:v>
      </x:c>
      <x:c r="F30" s="25" t="str">
        <x:v>金</x:v>
      </x:c>
      <x:c r="G30" s="25" t="str">
        <x:v>寒</x:v>
      </x:c>
      <x:c r="H30" s="26" t="n">
        <x:v>-2</x:v>
      </x:c>
      <x:c r="I30" s="25" t="str">
        <x:v>肃清气脉</x:v>
      </x:c>
      <x:c r="J30" s="20" t="str">
        <x:v>长时提高对沉默、封脉和减速的抵抗</x:v>
      </x:c>
      <x:c r="K30" s="20" t="str">
        <x:v>常用</x:v>
      </x:c>
      <x:c r="L30" s="20" t="str">
        <x:v>Buff</x:v>
      </x:c>
      <x:c r="M30" s="20" t="str">
        <x:v>气脉状态抗性</x:v>
      </x:c>
      <x:c r="N30" s="20" t="str">
        <x:v>★新增Buff</x:v>
      </x:c>
      <x:c r="O30" s="20" t="str">
        <x:v>低幅长持续</x:v>
      </x:c>
      <x:c r="P30" s="20" t="str"/>
      <x:c r="Q30" s="20" t="str"/>
      <x:c r="R30" s="20" t="str"/>
      <x:c r="S30" s="20" t="str">
        <x:v>守边界、总防护量高</x:v>
      </x:c>
    </x:row>
    <x:row r="31" ht="46" customHeight="1">
      <x:c r="A31" s="24" t="n">
        <x:v>27</x:v>
      </x:c>
      <x:c r="B31" s="25" t="str">
        <x:v>金辛凉</x:v>
      </x:c>
      <x:c r="C31" s="25" t="str">
        <x:v>气脉核</x:v>
      </x:c>
      <x:c r="D31" s="25" t="str">
        <x:v>辛</x:v>
      </x:c>
      <x:c r="E31" s="25" t="str">
        <x:v>灵法／气脉</x:v>
      </x:c>
      <x:c r="F31" s="25" t="str">
        <x:v>金</x:v>
      </x:c>
      <x:c r="G31" s="25" t="str">
        <x:v>凉</x:v>
      </x:c>
      <x:c r="H31" s="26" t="n">
        <x:v>-1</x:v>
      </x:c>
      <x:c r="I31" s="25" t="str">
        <x:v>肃清气脉</x:v>
      </x:c>
      <x:c r="J31" s="20" t="str">
        <x:v>持续缩短沉默、封脉和灵力紊乱的剩余时间</x:v>
      </x:c>
      <x:c r="K31" s="20" t="str">
        <x:v>常用</x:v>
      </x:c>
      <x:c r="L31" s="20" t="str">
        <x:v>Buff</x:v>
      </x:c>
      <x:c r="M31" s="20" t="str">
        <x:v>气脉负面时长</x:v>
      </x:c>
      <x:c r="N31" s="20" t="str">
        <x:v>★新增Buff</x:v>
      </x:c>
      <x:c r="O31" s="20" t="str">
        <x:v>周期削减剩余时长</x:v>
      </x:c>
      <x:c r="P31" s="20" t="str"/>
      <x:c r="Q31" s="20" t="str"/>
      <x:c r="R31" s="20" t="str"/>
      <x:c r="S31" s="20" t="str">
        <x:v>续解</x:v>
      </x:c>
    </x:row>
    <x:row r="32" ht="46" customHeight="1">
      <x:c r="A32" s="24" t="n">
        <x:v>28</x:v>
      </x:c>
      <x:c r="B32" s="25" t="str">
        <x:v>金辛平</x:v>
      </x:c>
      <x:c r="C32" s="25" t="str">
        <x:v>气脉核</x:v>
      </x:c>
      <x:c r="D32" s="25" t="str">
        <x:v>辛</x:v>
      </x:c>
      <x:c r="E32" s="25" t="str">
        <x:v>灵法／气脉</x:v>
      </x:c>
      <x:c r="F32" s="25" t="str">
        <x:v>金</x:v>
      </x:c>
      <x:c r="G32" s="25" t="str">
        <x:v>平</x:v>
      </x:c>
      <x:c r="H32" s="26" t="n">
        <x:v>0</x:v>
      </x:c>
      <x:c r="I32" s="25" t="str">
        <x:v>肃清气脉</x:v>
      </x:c>
      <x:c r="J32" s="20" t="str">
        <x:v>立即解除一种气脉负面状态</x:v>
      </x:c>
      <x:c r="K32" s="20" t="str">
        <x:v>常用</x:v>
      </x:c>
      <x:c r="L32" s="20" t="str">
        <x:v>Buff移除</x:v>
      </x:c>
      <x:c r="M32" s="20" t="str">
        <x:v>沉默／封脉／灵力紊乱</x:v>
      </x:c>
      <x:c r="N32" s="20" t="str">
        <x:v>对应Buff识别ID</x:v>
      </x:c>
      <x:c r="O32" s="20" t="str">
        <x:v>按优先级移除一个</x:v>
      </x:c>
      <x:c r="P32" s="20" t="str"/>
      <x:c r="Q32" s="20" t="str"/>
      <x:c r="R32" s="20" t="str"/>
      <x:c r="S32" s="20" t="str">
        <x:v>金辛标准本效</x:v>
      </x:c>
    </x:row>
    <x:row r="33" ht="46" customHeight="1">
      <x:c r="A33" s="24" t="n">
        <x:v>29</x:v>
      </x:c>
      <x:c r="B33" s="25" t="str">
        <x:v>金辛温</x:v>
      </x:c>
      <x:c r="C33" s="25" t="str">
        <x:v>气脉核</x:v>
      </x:c>
      <x:c r="D33" s="25" t="str">
        <x:v>辛</x:v>
      </x:c>
      <x:c r="E33" s="25" t="str">
        <x:v>灵法／气脉</x:v>
      </x:c>
      <x:c r="F33" s="25" t="str">
        <x:v>金</x:v>
      </x:c>
      <x:c r="G33" s="25" t="str">
        <x:v>温</x:v>
      </x:c>
      <x:c r="H33" s="26" t="n">
        <x:v>1</x:v>
      </x:c>
      <x:c r="I33" s="25" t="str">
        <x:v>肃清气脉</x:v>
      </x:c>
      <x:c r="J33" s="20" t="str">
        <x:v>立即削减当前法术冷却剩余时间</x:v>
      </x:c>
      <x:c r="K33" s="20" t="str">
        <x:v>常用</x:v>
      </x:c>
      <x:c r="L33" s="20" t="str">
        <x:v>调用技能</x:v>
      </x:c>
      <x:c r="M33" s="20" t="str">
        <x:v>法术冷却</x:v>
      </x:c>
      <x:c r="N33" s="20" t="str">
        <x:v>attr_config:41／技能冷却系统</x:v>
      </x:c>
      <x:c r="O33" s="20" t="str">
        <x:v>批量减少剩余冷却</x:v>
      </x:c>
      <x:c r="P33" s="20" t="str"/>
      <x:c r="Q33" s="20" t="str"/>
      <x:c r="R33" s="20" t="str"/>
      <x:c r="S33" s="20" t="str">
        <x:v>数值越小越好</x:v>
      </x:c>
    </x:row>
    <x:row r="34" ht="46" customHeight="1">
      <x:c r="A34" s="24" t="n">
        <x:v>30</x:v>
      </x:c>
      <x:c r="B34" s="25" t="str">
        <x:v>金辛热</x:v>
      </x:c>
      <x:c r="C34" s="25" t="str">
        <x:v>气脉核</x:v>
      </x:c>
      <x:c r="D34" s="25" t="str">
        <x:v>辛</x:v>
      </x:c>
      <x:c r="E34" s="25" t="str">
        <x:v>灵法／气脉</x:v>
      </x:c>
      <x:c r="F34" s="25" t="str">
        <x:v>金</x:v>
      </x:c>
      <x:c r="G34" s="25" t="str">
        <x:v>热</x:v>
      </x:c>
      <x:c r="H34" s="26" t="n">
        <x:v>2</x:v>
      </x:c>
      <x:c r="I34" s="25" t="str">
        <x:v>肃清气脉</x:v>
      </x:c>
      <x:c r="J34" s="20" t="str">
        <x:v>重置主要法术冷却并解除封脉，随后灵力枯竭</x:v>
      </x:c>
      <x:c r="K34" s="20" t="str">
        <x:v>偏门</x:v>
      </x:c>
      <x:c r="L34" s="20" t="str">
        <x:v>调用技能</x:v>
      </x:c>
      <x:c r="M34" s="20" t="str">
        <x:v>重置冷却</x:v>
      </x:c>
      <x:c r="N34" s="20" t="str">
        <x:v>★新增调用技能</x:v>
      </x:c>
      <x:c r="O34" s="20" t="str">
        <x:v>立即重置合法技能</x:v>
      </x:c>
      <x:c r="P34" s="20" t="str">
        <x:v>Buff</x:v>
      </x:c>
      <x:c r="Q34" s="20" t="str">
        <x:v>灵力枯竭</x:v>
      </x:c>
      <x:c r="R34" s="20" t="str">
        <x:v>★新增Buff</x:v>
      </x:c>
      <x:c r="S34" s="20" t="str">
        <x:v>救急爆发</x:v>
      </x:c>
    </x:row>
    <x:row r="35" ht="46" customHeight="1">
      <x:c r="A35" s="24" t="n">
        <x:v>31</x:v>
      </x:c>
      <x:c r="B35" s="25" t="str">
        <x:v>木辛寒</x:v>
      </x:c>
      <x:c r="C35" s="25" t="str">
        <x:v>气脉核</x:v>
      </x:c>
      <x:c r="D35" s="25" t="str">
        <x:v>辛</x:v>
      </x:c>
      <x:c r="E35" s="25" t="str">
        <x:v>灵法／气脉</x:v>
      </x:c>
      <x:c r="F35" s="25" t="str">
        <x:v>木</x:v>
      </x:c>
      <x:c r="G35" s="25" t="str">
        <x:v>寒</x:v>
      </x:c>
      <x:c r="H35" s="26" t="n">
        <x:v>-2</x:v>
      </x:c>
      <x:c r="I35" s="25" t="str">
        <x:v>舒展气脉</x:v>
      </x:c>
      <x:c r="J35" s="20" t="str">
        <x:v>长时提高灵力上限，累计承载最多</x:v>
      </x:c>
      <x:c r="K35" s="20" t="str">
        <x:v>常用</x:v>
      </x:c>
      <x:c r="L35" s="20" t="str">
        <x:v>属性Buff</x:v>
      </x:c>
      <x:c r="M35" s="20" t="str">
        <x:v>灵力值增幅</x:v>
      </x:c>
      <x:c r="N35" s="20" t="str">
        <x:v>attr_config:30</x:v>
      </x:c>
      <x:c r="O35" s="20" t="str">
        <x:v>低幅长持续</x:v>
      </x:c>
      <x:c r="P35" s="20" t="str"/>
      <x:c r="Q35" s="20" t="str"/>
      <x:c r="R35" s="20" t="str"/>
      <x:c r="S35" s="20" t="str">
        <x:v>扩脉总量位</x:v>
      </x:c>
    </x:row>
    <x:row r="36" ht="46" customHeight="1">
      <x:c r="A36" s="24" t="n">
        <x:v>32</x:v>
      </x:c>
      <x:c r="B36" s="25" t="str">
        <x:v>木辛凉</x:v>
      </x:c>
      <x:c r="C36" s="25" t="str">
        <x:v>气脉核</x:v>
      </x:c>
      <x:c r="D36" s="25" t="str">
        <x:v>辛</x:v>
      </x:c>
      <x:c r="E36" s="25" t="str">
        <x:v>灵法／气脉</x:v>
      </x:c>
      <x:c r="F36" s="25" t="str">
        <x:v>木</x:v>
      </x:c>
      <x:c r="G36" s="25" t="str">
        <x:v>凉</x:v>
      </x:c>
      <x:c r="H36" s="26" t="n">
        <x:v>-1</x:v>
      </x:c>
      <x:c r="I36" s="25" t="str">
        <x:v>舒展气脉</x:v>
      </x:c>
      <x:c r="J36" s="20" t="str">
        <x:v>每次施法后持续回补少量灵力</x:v>
      </x:c>
      <x:c r="K36" s="20" t="str">
        <x:v>常用</x:v>
      </x:c>
      <x:c r="L36" s="20" t="str">
        <x:v>Buff</x:v>
      </x:c>
      <x:c r="M36" s="20" t="str">
        <x:v>施法后回灵</x:v>
      </x:c>
      <x:c r="N36" s="20" t="str">
        <x:v>★新增Buff</x:v>
      </x:c>
      <x:c r="O36" s="20" t="str">
        <x:v>监听施法事件并回灵</x:v>
      </x:c>
      <x:c r="P36" s="20" t="str"/>
      <x:c r="Q36" s="20" t="str"/>
      <x:c r="R36" s="20" t="str"/>
      <x:c r="S36" s="20" t="str">
        <x:v>修复气脉</x:v>
      </x:c>
    </x:row>
    <x:row r="37" ht="46" customHeight="1">
      <x:c r="A37" s="24" t="n">
        <x:v>33</x:v>
      </x:c>
      <x:c r="B37" s="25" t="str">
        <x:v>木辛平</x:v>
      </x:c>
      <x:c r="C37" s="25" t="str">
        <x:v>气脉核</x:v>
      </x:c>
      <x:c r="D37" s="25" t="str">
        <x:v>辛</x:v>
      </x:c>
      <x:c r="E37" s="25" t="str">
        <x:v>灵法／气脉</x:v>
      </x:c>
      <x:c r="F37" s="25" t="str">
        <x:v>木</x:v>
      </x:c>
      <x:c r="G37" s="25" t="str">
        <x:v>平</x:v>
      </x:c>
      <x:c r="H37" s="26" t="n">
        <x:v>0</x:v>
      </x:c>
      <x:c r="I37" s="25" t="str">
        <x:v>舒展气脉</x:v>
      </x:c>
      <x:c r="J37" s="20" t="str">
        <x:v>提高灵力上限</x:v>
      </x:c>
      <x:c r="K37" s="20" t="str">
        <x:v>常用</x:v>
      </x:c>
      <x:c r="L37" s="20" t="str">
        <x:v>属性Buff</x:v>
      </x:c>
      <x:c r="M37" s="20" t="str">
        <x:v>灵力值／灵力值增幅</x:v>
      </x:c>
      <x:c r="N37" s="20" t="str">
        <x:v>attr_config:2／30</x:v>
      </x:c>
      <x:c r="O37" s="20" t="str">
        <x:v>标准幅度与持续</x:v>
      </x:c>
      <x:c r="P37" s="20" t="str"/>
      <x:c r="Q37" s="20" t="str"/>
      <x:c r="R37" s="20" t="str"/>
      <x:c r="S37" s="20" t="str">
        <x:v>木辛标准本效</x:v>
      </x:c>
    </x:row>
    <x:row r="38" ht="46" customHeight="1">
      <x:c r="A38" s="24" t="n">
        <x:v>34</x:v>
      </x:c>
      <x:c r="B38" s="25" t="str">
        <x:v>木辛温</x:v>
      </x:c>
      <x:c r="C38" s="25" t="str">
        <x:v>气脉核</x:v>
      </x:c>
      <x:c r="D38" s="25" t="str">
        <x:v>辛</x:v>
      </x:c>
      <x:c r="E38" s="25" t="str">
        <x:v>灵法／气脉</x:v>
      </x:c>
      <x:c r="F38" s="25" t="str">
        <x:v>木</x:v>
      </x:c>
      <x:c r="G38" s="25" t="str">
        <x:v>温</x:v>
      </x:c>
      <x:c r="H38" s="26" t="n">
        <x:v>1</x:v>
      </x:c>
      <x:c r="I38" s="25" t="str">
        <x:v>舒展气脉</x:v>
      </x:c>
      <x:c r="J38" s="20" t="str">
        <x:v>提高施法速度</x:v>
      </x:c>
      <x:c r="K38" s="20" t="str">
        <x:v>常用</x:v>
      </x:c>
      <x:c r="L38" s="20" t="str">
        <x:v>属性Buff</x:v>
      </x:c>
      <x:c r="M38" s="20" t="str">
        <x:v>施法速度</x:v>
      </x:c>
      <x:c r="N38" s="20" t="str">
        <x:v>attr_config:19</x:v>
      </x:c>
      <x:c r="O38" s="20" t="str">
        <x:v>高幅短持续</x:v>
      </x:c>
      <x:c r="P38" s="20" t="str"/>
      <x:c r="Q38" s="20" t="str"/>
      <x:c r="R38" s="20" t="str"/>
      <x:c r="S38" s="20" t="str">
        <x:v>舒展后运转更快</x:v>
      </x:c>
    </x:row>
    <x:row r="39" ht="46" customHeight="1">
      <x:c r="A39" s="24" t="n">
        <x:v>35</x:v>
      </x:c>
      <x:c r="B39" s="25" t="str">
        <x:v>木辛热</x:v>
      </x:c>
      <x:c r="C39" s="25" t="str">
        <x:v>气脉核</x:v>
      </x:c>
      <x:c r="D39" s="25" t="str">
        <x:v>辛</x:v>
      </x:c>
      <x:c r="E39" s="25" t="str">
        <x:v>灵法／气脉</x:v>
      </x:c>
      <x:c r="F39" s="25" t="str">
        <x:v>木</x:v>
      </x:c>
      <x:c r="G39" s="25" t="str">
        <x:v>热</x:v>
      </x:c>
      <x:c r="H39" s="26" t="n">
        <x:v>2</x:v>
      </x:c>
      <x:c r="I39" s="25" t="str">
        <x:v>舒展气脉</x:v>
      </x:c>
      <x:c r="J39" s="20" t="str">
        <x:v>短时获得连施能力，结束后气脉疲敝</x:v>
      </x:c>
      <x:c r="K39" s="20" t="str">
        <x:v>偏门</x:v>
      </x:c>
      <x:c r="L39" s="20" t="str">
        <x:v>Buff／技能</x:v>
      </x:c>
      <x:c r="M39" s="20" t="str">
        <x:v>连续施法</x:v>
      </x:c>
      <x:c r="N39" s="20" t="str">
        <x:v>★新增Buff／调用技能</x:v>
      </x:c>
      <x:c r="O39" s="20" t="str">
        <x:v>允许额外充能或重复施法</x:v>
      </x:c>
      <x:c r="P39" s="20" t="str">
        <x:v>Buff</x:v>
      </x:c>
      <x:c r="Q39" s="20" t="str">
        <x:v>气脉疲敝</x:v>
      </x:c>
      <x:c r="R39" s="20" t="str">
        <x:v>★新增Buff</x:v>
      </x:c>
      <x:c r="S39" s="20" t="str">
        <x:v>爆发型扩脉</x:v>
      </x:c>
    </x:row>
    <x:row r="40" ht="46" customHeight="1">
      <x:c r="A40" s="24" t="n">
        <x:v>36</x:v>
      </x:c>
      <x:c r="B40" s="25" t="str">
        <x:v>水辛寒</x:v>
      </x:c>
      <x:c r="C40" s="25" t="str">
        <x:v>气脉核</x:v>
      </x:c>
      <x:c r="D40" s="25" t="str">
        <x:v>辛</x:v>
      </x:c>
      <x:c r="E40" s="25" t="str">
        <x:v>灵法／气脉</x:v>
      </x:c>
      <x:c r="F40" s="25" t="str">
        <x:v>水</x:v>
      </x:c>
      <x:c r="G40" s="25" t="str">
        <x:v>寒</x:v>
      </x:c>
      <x:c r="H40" s="26" t="n">
        <x:v>-2</x:v>
      </x:c>
      <x:c r="I40" s="25" t="str">
        <x:v>回转灵力</x:v>
      </x:c>
      <x:c r="J40" s="20" t="str">
        <x:v>长时回复大量灵力，单颗总恢复最高</x:v>
      </x:c>
      <x:c r="K40" s="20" t="str">
        <x:v>核心</x:v>
      </x:c>
      <x:c r="L40" s="20" t="str">
        <x:v>属性Buff</x:v>
      </x:c>
      <x:c r="M40" s="20" t="str">
        <x:v>每秒回灵</x:v>
      </x:c>
      <x:c r="N40" s="20" t="str">
        <x:v>attr_config:36</x:v>
      </x:c>
      <x:c r="O40" s="20" t="str">
        <x:v>低值长持续</x:v>
      </x:c>
      <x:c r="P40" s="20" t="str"/>
      <x:c r="Q40" s="20" t="str"/>
      <x:c r="R40" s="20" t="str"/>
      <x:c r="S40" s="20" t="str">
        <x:v>慢回灵丹</x:v>
      </x:c>
    </x:row>
    <x:row r="41" ht="46" customHeight="1">
      <x:c r="A41" s="24" t="n">
        <x:v>37</x:v>
      </x:c>
      <x:c r="B41" s="25" t="str">
        <x:v>水辛凉</x:v>
      </x:c>
      <x:c r="C41" s="25" t="str">
        <x:v>气脉核</x:v>
      </x:c>
      <x:c r="D41" s="25" t="str">
        <x:v>辛</x:v>
      </x:c>
      <x:c r="E41" s="25" t="str">
        <x:v>灵法／气脉</x:v>
      </x:c>
      <x:c r="F41" s="25" t="str">
        <x:v>水</x:v>
      </x:c>
      <x:c r="G41" s="25" t="str">
        <x:v>凉</x:v>
      </x:c>
      <x:c r="H41" s="26" t="n">
        <x:v>-1</x:v>
      </x:c>
      <x:c r="I41" s="25" t="str">
        <x:v>回转灵力</x:v>
      </x:c>
      <x:c r="J41" s="20" t="str">
        <x:v>持续回复灵力</x:v>
      </x:c>
      <x:c r="K41" s="20" t="str">
        <x:v>核心</x:v>
      </x:c>
      <x:c r="L41" s="20" t="str">
        <x:v>属性Buff</x:v>
      </x:c>
      <x:c r="M41" s="20" t="str">
        <x:v>每秒回灵</x:v>
      </x:c>
      <x:c r="N41" s="20" t="str">
        <x:v>attr_config:36</x:v>
      </x:c>
      <x:c r="O41" s="20" t="str">
        <x:v>中值长持续</x:v>
      </x:c>
      <x:c r="P41" s="20" t="str"/>
      <x:c r="Q41" s="20" t="str"/>
      <x:c r="R41" s="20" t="str"/>
      <x:c r="S41" s="20" t="str">
        <x:v>持续回灵丹</x:v>
      </x:c>
    </x:row>
    <x:row r="42" ht="46" customHeight="1">
      <x:c r="A42" s="24" t="n">
        <x:v>38</x:v>
      </x:c>
      <x:c r="B42" s="25" t="str">
        <x:v>水辛平</x:v>
      </x:c>
      <x:c r="C42" s="25" t="str">
        <x:v>气脉核</x:v>
      </x:c>
      <x:c r="D42" s="25" t="str">
        <x:v>辛</x:v>
      </x:c>
      <x:c r="E42" s="25" t="str">
        <x:v>灵法／气脉</x:v>
      </x:c>
      <x:c r="F42" s="25" t="str">
        <x:v>水</x:v>
      </x:c>
      <x:c r="G42" s="25" t="str">
        <x:v>平</x:v>
      </x:c>
      <x:c r="H42" s="26" t="n">
        <x:v>0</x:v>
      </x:c>
      <x:c r="I42" s="25" t="str">
        <x:v>回转灵力</x:v>
      </x:c>
      <x:c r="J42" s="20" t="str">
        <x:v>立即恢复固定灵力</x:v>
      </x:c>
      <x:c r="K42" s="20" t="str">
        <x:v>核心</x:v>
      </x:c>
      <x:c r="L42" s="20" t="str">
        <x:v>参数</x:v>
      </x:c>
      <x:c r="M42" s="20" t="str">
        <x:v>当前灵力</x:v>
      </x:c>
      <x:c r="N42" s="20" t="str">
        <x:v>★运行时参数：当前灵力</x:v>
      </x:c>
      <x:c r="O42" s="20" t="str">
        <x:v>一次性恢复</x:v>
      </x:c>
      <x:c r="P42" s="20" t="str"/>
      <x:c r="Q42" s="20" t="str"/>
      <x:c r="R42" s="20" t="str"/>
      <x:c r="S42" s="20" t="str">
        <x:v>水辛标准本效／瞬回灵丹</x:v>
      </x:c>
    </x:row>
    <x:row r="43" ht="46" customHeight="1">
      <x:c r="A43" s="24" t="n">
        <x:v>39</x:v>
      </x:c>
      <x:c r="B43" s="25" t="str">
        <x:v>水辛温</x:v>
      </x:c>
      <x:c r="C43" s="25" t="str">
        <x:v>气脉核</x:v>
      </x:c>
      <x:c r="D43" s="25" t="str">
        <x:v>辛</x:v>
      </x:c>
      <x:c r="E43" s="25" t="str">
        <x:v>灵法／气脉</x:v>
      </x:c>
      <x:c r="F43" s="25" t="str">
        <x:v>水</x:v>
      </x:c>
      <x:c r="G43" s="25" t="str">
        <x:v>温</x:v>
      </x:c>
      <x:c r="H43" s="26" t="n">
        <x:v>1</x:v>
      </x:c>
      <x:c r="I43" s="25" t="str">
        <x:v>回转灵力</x:v>
      </x:c>
      <x:c r="J43" s="20" t="str">
        <x:v>击中或受击时快速回复灵力</x:v>
      </x:c>
      <x:c r="K43" s="20" t="str">
        <x:v>常用</x:v>
      </x:c>
      <x:c r="L43" s="20" t="str">
        <x:v>属性Buff</x:v>
      </x:c>
      <x:c r="M43" s="20" t="str">
        <x:v>击中回灵／受击回灵</x:v>
      </x:c>
      <x:c r="N43" s="20" t="str">
        <x:v>attr_config:39／40</x:v>
      </x:c>
      <x:c r="O43" s="20" t="str">
        <x:v>事件触发，短持续</x:v>
      </x:c>
      <x:c r="P43" s="20" t="str"/>
      <x:c r="Q43" s="20" t="str"/>
      <x:c r="R43" s="20" t="str"/>
      <x:c r="S43" s="20" t="str">
        <x:v>战斗回灵</x:v>
      </x:c>
    </x:row>
    <x:row r="44" ht="46" customHeight="1">
      <x:c r="A44" s="24" t="n">
        <x:v>40</x:v>
      </x:c>
      <x:c r="B44" s="25" t="str">
        <x:v>水辛热</x:v>
      </x:c>
      <x:c r="C44" s="25" t="str">
        <x:v>气脉核</x:v>
      </x:c>
      <x:c r="D44" s="25" t="str">
        <x:v>辛</x:v>
      </x:c>
      <x:c r="E44" s="25" t="str">
        <x:v>灵法／气脉</x:v>
      </x:c>
      <x:c r="F44" s="25" t="str">
        <x:v>水</x:v>
      </x:c>
      <x:c r="G44" s="25" t="str">
        <x:v>热</x:v>
      </x:c>
      <x:c r="H44" s="26" t="n">
        <x:v>2</x:v>
      </x:c>
      <x:c r="I44" s="25" t="str">
        <x:v>回转灵力</x:v>
      </x:c>
      <x:c r="J44" s="20" t="str">
        <x:v>瞬间回满大量灵力，随后进入灵力紊乱</x:v>
      </x:c>
      <x:c r="K44" s="20" t="str">
        <x:v>核心</x:v>
      </x:c>
      <x:c r="L44" s="20" t="str">
        <x:v>参数</x:v>
      </x:c>
      <x:c r="M44" s="20" t="str">
        <x:v>当前灵力</x:v>
      </x:c>
      <x:c r="N44" s="20" t="str">
        <x:v>★运行时参数：当前灵力</x:v>
      </x:c>
      <x:c r="O44" s="20" t="str">
        <x:v>按上限比例瞬时恢复</x:v>
      </x:c>
      <x:c r="P44" s="20" t="str">
        <x:v>Buff</x:v>
      </x:c>
      <x:c r="Q44" s="20" t="str">
        <x:v>灵力紊乱</x:v>
      </x:c>
      <x:c r="R44" s="20" t="str">
        <x:v>★新增Buff</x:v>
      </x:c>
      <x:c r="S44" s="20" t="str">
        <x:v>救急爆发</x:v>
      </x:c>
    </x:row>
    <x:row r="45" ht="46" customHeight="1">
      <x:c r="A45" s="24" t="n">
        <x:v>41</x:v>
      </x:c>
      <x:c r="B45" s="25" t="str">
        <x:v>火辛寒</x:v>
      </x:c>
      <x:c r="C45" s="25" t="str">
        <x:v>气脉核</x:v>
      </x:c>
      <x:c r="D45" s="25" t="str">
        <x:v>辛</x:v>
      </x:c>
      <x:c r="E45" s="25" t="str">
        <x:v>灵法／气脉</x:v>
      </x:c>
      <x:c r="F45" s="25" t="str">
        <x:v>火</x:v>
      </x:c>
      <x:c r="G45" s="25" t="str">
        <x:v>寒</x:v>
      </x:c>
      <x:c r="H45" s="26" t="n">
        <x:v>-2</x:v>
      </x:c>
      <x:c r="I45" s="25" t="str">
        <x:v>催发灵法</x:v>
      </x:c>
      <x:c r="J45" s="20" t="str">
        <x:v>长时小幅提高法术伤害，累计收益最高</x:v>
      </x:c>
      <x:c r="K45" s="20" t="str">
        <x:v>常用</x:v>
      </x:c>
      <x:c r="L45" s="20" t="str">
        <x:v>属性Buff</x:v>
      </x:c>
      <x:c r="M45" s="20" t="str">
        <x:v>法术增伤增幅</x:v>
      </x:c>
      <x:c r="N45" s="20" t="str">
        <x:v>attr_config:44</x:v>
      </x:c>
      <x:c r="O45" s="20" t="str">
        <x:v>低幅长持续</x:v>
      </x:c>
      <x:c r="P45" s="20" t="str"/>
      <x:c r="Q45" s="20" t="str"/>
      <x:c r="R45" s="20" t="str"/>
      <x:c r="S45" s="20" t="str">
        <x:v>长线输出</x:v>
      </x:c>
    </x:row>
    <x:row r="46" ht="46" customHeight="1">
      <x:c r="A46" s="24" t="n">
        <x:v>42</x:v>
      </x:c>
      <x:c r="B46" s="25" t="str">
        <x:v>火辛凉</x:v>
      </x:c>
      <x:c r="C46" s="25" t="str">
        <x:v>气脉核</x:v>
      </x:c>
      <x:c r="D46" s="25" t="str">
        <x:v>辛</x:v>
      </x:c>
      <x:c r="E46" s="25" t="str">
        <x:v>灵法／气脉</x:v>
      </x:c>
      <x:c r="F46" s="25" t="str">
        <x:v>火</x:v>
      </x:c>
      <x:c r="G46" s="25" t="str">
        <x:v>凉</x:v>
      </x:c>
      <x:c r="H46" s="26" t="n">
        <x:v>-1</x:v>
      </x:c>
      <x:c r="I46" s="25" t="str">
        <x:v>催发灵法</x:v>
      </x:c>
      <x:c r="J46" s="20" t="str">
        <x:v>稳定提高法术威力</x:v>
      </x:c>
      <x:c r="K46" s="20" t="str">
        <x:v>常用</x:v>
      </x:c>
      <x:c r="L46" s="20" t="str">
        <x:v>属性Buff</x:v>
      </x:c>
      <x:c r="M46" s="20" t="str">
        <x:v>法术威力</x:v>
      </x:c>
      <x:c r="N46" s="20" t="str">
        <x:v>attr_config:42</x:v>
      </x:c>
      <x:c r="O46" s="20" t="str">
        <x:v>中幅长持续</x:v>
      </x:c>
      <x:c r="P46" s="20" t="str"/>
      <x:c r="Q46" s="20" t="str"/>
      <x:c r="R46" s="20" t="str"/>
      <x:c r="S46" s="20" t="str">
        <x:v>持续术法增益</x:v>
      </x:c>
    </x:row>
    <x:row r="47" ht="46" customHeight="1">
      <x:c r="A47" s="24" t="n">
        <x:v>43</x:v>
      </x:c>
      <x:c r="B47" s="25" t="str">
        <x:v>火辛平</x:v>
      </x:c>
      <x:c r="C47" s="25" t="str">
        <x:v>气脉核</x:v>
      </x:c>
      <x:c r="D47" s="25" t="str">
        <x:v>辛</x:v>
      </x:c>
      <x:c r="E47" s="25" t="str">
        <x:v>灵法／气脉</x:v>
      </x:c>
      <x:c r="F47" s="25" t="str">
        <x:v>火</x:v>
      </x:c>
      <x:c r="G47" s="25" t="str">
        <x:v>平</x:v>
      </x:c>
      <x:c r="H47" s="26" t="n">
        <x:v>0</x:v>
      </x:c>
      <x:c r="I47" s="25" t="str">
        <x:v>催发灵法</x:v>
      </x:c>
      <x:c r="J47" s="20" t="str">
        <x:v>提高法术附带伤害</x:v>
      </x:c>
      <x:c r="K47" s="20" t="str">
        <x:v>常用</x:v>
      </x:c>
      <x:c r="L47" s="20" t="str">
        <x:v>属性Buff</x:v>
      </x:c>
      <x:c r="M47" s="20" t="str">
        <x:v>法术附带伤害</x:v>
      </x:c>
      <x:c r="N47" s="20" t="str">
        <x:v>attr_config:43</x:v>
      </x:c>
      <x:c r="O47" s="20" t="str">
        <x:v>标准幅度与持续</x:v>
      </x:c>
      <x:c r="P47" s="20" t="str"/>
      <x:c r="Q47" s="20" t="str"/>
      <x:c r="R47" s="20" t="str"/>
      <x:c r="S47" s="20" t="str">
        <x:v>火辛标准本效</x:v>
      </x:c>
    </x:row>
    <x:row r="48" ht="46" customHeight="1">
      <x:c r="A48" s="24" t="n">
        <x:v>44</x:v>
      </x:c>
      <x:c r="B48" s="25" t="str">
        <x:v>火辛温</x:v>
      </x:c>
      <x:c r="C48" s="25" t="str">
        <x:v>气脉核</x:v>
      </x:c>
      <x:c r="D48" s="25" t="str">
        <x:v>辛</x:v>
      </x:c>
      <x:c r="E48" s="25" t="str">
        <x:v>灵法／气脉</x:v>
      </x:c>
      <x:c r="F48" s="25" t="str">
        <x:v>火</x:v>
      </x:c>
      <x:c r="G48" s="25" t="str">
        <x:v>温</x:v>
      </x:c>
      <x:c r="H48" s="26" t="n">
        <x:v>1</x:v>
      </x:c>
      <x:c r="I48" s="25" t="str">
        <x:v>催发灵法</x:v>
      </x:c>
      <x:c r="J48" s="20" t="str">
        <x:v>提高施法速度并降低法术冷却</x:v>
      </x:c>
      <x:c r="K48" s="20" t="str">
        <x:v>常用</x:v>
      </x:c>
      <x:c r="L48" s="20" t="str">
        <x:v>属性Buff</x:v>
      </x:c>
      <x:c r="M48" s="20" t="str">
        <x:v>施法速度／法术冷却</x:v>
      </x:c>
      <x:c r="N48" s="20" t="str">
        <x:v>attr_config:19／41</x:v>
      </x:c>
      <x:c r="O48" s="20" t="str">
        <x:v>高幅短持续；冷却数值做减法</x:v>
      </x:c>
      <x:c r="P48" s="20" t="str"/>
      <x:c r="Q48" s="20" t="str"/>
      <x:c r="R48" s="20" t="str"/>
      <x:c r="S48" s="20" t="str">
        <x:v>温主速</x:v>
      </x:c>
    </x:row>
    <x:row r="49" ht="46" customHeight="1">
      <x:c r="A49" s="24" t="n">
        <x:v>45</x:v>
      </x:c>
      <x:c r="B49" s="25" t="str">
        <x:v>火辛热</x:v>
      </x:c>
      <x:c r="C49" s="25" t="str">
        <x:v>气脉核</x:v>
      </x:c>
      <x:c r="D49" s="25" t="str">
        <x:v>辛</x:v>
      </x:c>
      <x:c r="E49" s="25" t="str">
        <x:v>灵法／气脉</x:v>
      </x:c>
      <x:c r="F49" s="25" t="str">
        <x:v>火</x:v>
      </x:c>
      <x:c r="G49" s="25" t="str">
        <x:v>热</x:v>
      </x:c>
      <x:c r="H49" s="26" t="n">
        <x:v>2</x:v>
      </x:c>
      <x:c r="I49" s="25" t="str">
        <x:v>催发灵法</x:v>
      </x:c>
      <x:c r="J49" s="20" t="str">
        <x:v>大幅提高法术爆发并无视部分法防</x:v>
      </x:c>
      <x:c r="K49" s="20" t="str">
        <x:v>核心</x:v>
      </x:c>
      <x:c r="L49" s="20" t="str">
        <x:v>属性Buff</x:v>
      </x:c>
      <x:c r="M49" s="20" t="str">
        <x:v>无视法防／法术增伤</x:v>
      </x:c>
      <x:c r="N49" s="20" t="str">
        <x:v>attr_config:54／55／44</x:v>
      </x:c>
      <x:c r="O49" s="20" t="str">
        <x:v>极高幅短持续</x:v>
      </x:c>
      <x:c r="P49" s="20" t="str">
        <x:v>Buff</x:v>
      </x:c>
      <x:c r="Q49" s="20" t="str">
        <x:v>术后疲敝</x:v>
      </x:c>
      <x:c r="R49" s="20" t="str">
        <x:v>★新增Buff</x:v>
      </x:c>
      <x:c r="S49" s="20" t="str">
        <x:v>热主爆</x:v>
      </x:c>
    </x:row>
    <x:row r="50" ht="46" customHeight="1">
      <x:c r="A50" s="24" t="n">
        <x:v>46</x:v>
      </x:c>
      <x:c r="B50" s="25" t="str">
        <x:v>土辛寒</x:v>
      </x:c>
      <x:c r="C50" s="25" t="str">
        <x:v>气脉核</x:v>
      </x:c>
      <x:c r="D50" s="25" t="str">
        <x:v>辛</x:v>
      </x:c>
      <x:c r="E50" s="25" t="str">
        <x:v>灵法／气脉</x:v>
      </x:c>
      <x:c r="F50" s="25" t="str">
        <x:v>土</x:v>
      </x:c>
      <x:c r="G50" s="25" t="str">
        <x:v>寒</x:v>
      </x:c>
      <x:c r="H50" s="26" t="n">
        <x:v>-2</x:v>
      </x:c>
      <x:c r="I50" s="25" t="str">
        <x:v>稳蓄气脉</x:v>
      </x:c>
      <x:c r="J50" s="20" t="str">
        <x:v>长时提高灵力容量与施法稳定性</x:v>
      </x:c>
      <x:c r="K50" s="20" t="str">
        <x:v>常用</x:v>
      </x:c>
      <x:c r="L50" s="20" t="str">
        <x:v>属性Buff</x:v>
      </x:c>
      <x:c r="M50" s="20" t="str">
        <x:v>灵力值增幅</x:v>
      </x:c>
      <x:c r="N50" s="20" t="str">
        <x:v>attr_config:30</x:v>
      </x:c>
      <x:c r="O50" s="20" t="str">
        <x:v>低幅长持续</x:v>
      </x:c>
      <x:c r="P50" s="20" t="str">
        <x:v>Buff</x:v>
      </x:c>
      <x:c r="Q50" s="20" t="str">
        <x:v>抗打断</x:v>
      </x:c>
      <x:c r="R50" s="20" t="str">
        <x:v>★新增Buff</x:v>
      </x:c>
      <x:c r="S50" s="20" t="str">
        <x:v>稳蓄总量</x:v>
      </x:c>
    </x:row>
    <x:row r="51" ht="46" customHeight="1">
      <x:c r="A51" s="24" t="n">
        <x:v>47</x:v>
      </x:c>
      <x:c r="B51" s="25" t="str">
        <x:v>土辛凉</x:v>
      </x:c>
      <x:c r="C51" s="25" t="str">
        <x:v>气脉核</x:v>
      </x:c>
      <x:c r="D51" s="25" t="str">
        <x:v>辛</x:v>
      </x:c>
      <x:c r="E51" s="25" t="str">
        <x:v>灵法／气脉</x:v>
      </x:c>
      <x:c r="F51" s="25" t="str">
        <x:v>土</x:v>
      </x:c>
      <x:c r="G51" s="25" t="str">
        <x:v>凉</x:v>
      </x:c>
      <x:c r="H51" s="26" t="n">
        <x:v>-1</x:v>
      </x:c>
      <x:c r="I51" s="25" t="str">
        <x:v>稳蓄气脉</x:v>
      </x:c>
      <x:c r="J51" s="20" t="str">
        <x:v>降低施法灵力消耗并提高抗打断</x:v>
      </x:c>
      <x:c r="K51" s="20" t="str">
        <x:v>常用</x:v>
      </x:c>
      <x:c r="L51" s="20" t="str">
        <x:v>Buff</x:v>
      </x:c>
      <x:c r="M51" s="20" t="str">
        <x:v>灵力消耗／抗打断</x:v>
      </x:c>
      <x:c r="N51" s="20" t="str">
        <x:v>★新增Buff</x:v>
      </x:c>
      <x:c r="O51" s="20" t="str">
        <x:v>长持续资源减耗</x:v>
      </x:c>
      <x:c r="P51" s="20" t="str"/>
      <x:c r="Q51" s="20" t="str"/>
      <x:c r="R51" s="20" t="str"/>
      <x:c r="S51" s="20" t="str">
        <x:v>稳定运转</x:v>
      </x:c>
    </x:row>
    <x:row r="52" ht="46" customHeight="1">
      <x:c r="A52" s="24" t="n">
        <x:v>48</x:v>
      </x:c>
      <x:c r="B52" s="25" t="str">
        <x:v>土辛平</x:v>
      </x:c>
      <x:c r="C52" s="25" t="str">
        <x:v>气脉核</x:v>
      </x:c>
      <x:c r="D52" s="25" t="str">
        <x:v>辛</x:v>
      </x:c>
      <x:c r="E52" s="25" t="str">
        <x:v>灵法／气脉</x:v>
      </x:c>
      <x:c r="F52" s="25" t="str">
        <x:v>土</x:v>
      </x:c>
      <x:c r="G52" s="25" t="str">
        <x:v>平</x:v>
      </x:c>
      <x:c r="H52" s="26" t="n">
        <x:v>0</x:v>
      </x:c>
      <x:c r="I52" s="25" t="str">
        <x:v>稳蓄气脉</x:v>
      </x:c>
      <x:c r="J52" s="20" t="str">
        <x:v>提高灵力上限并稳定气脉</x:v>
      </x:c>
      <x:c r="K52" s="20" t="str">
        <x:v>常用</x:v>
      </x:c>
      <x:c r="L52" s="20" t="str">
        <x:v>属性Buff</x:v>
      </x:c>
      <x:c r="M52" s="20" t="str">
        <x:v>灵力值</x:v>
      </x:c>
      <x:c r="N52" s="20" t="str">
        <x:v>attr_config:2／30</x:v>
      </x:c>
      <x:c r="O52" s="20" t="str">
        <x:v>标准幅度与持续</x:v>
      </x:c>
      <x:c r="P52" s="20" t="str"/>
      <x:c r="Q52" s="20" t="str"/>
      <x:c r="R52" s="20" t="str"/>
      <x:c r="S52" s="20" t="str">
        <x:v>土辛标准本效</x:v>
      </x:c>
    </x:row>
    <x:row r="53" ht="46" customHeight="1">
      <x:c r="A53" s="24" t="n">
        <x:v>49</x:v>
      </x:c>
      <x:c r="B53" s="25" t="str">
        <x:v>土辛温</x:v>
      </x:c>
      <x:c r="C53" s="25" t="str">
        <x:v>气脉核</x:v>
      </x:c>
      <x:c r="D53" s="25" t="str">
        <x:v>辛</x:v>
      </x:c>
      <x:c r="E53" s="25" t="str">
        <x:v>灵法／气脉</x:v>
      </x:c>
      <x:c r="F53" s="25" t="str">
        <x:v>土</x:v>
      </x:c>
      <x:c r="G53" s="25" t="str">
        <x:v>温</x:v>
      </x:c>
      <x:c r="H53" s="26" t="n">
        <x:v>1</x:v>
      </x:c>
      <x:c r="I53" s="25" t="str">
        <x:v>稳蓄气脉</x:v>
      </x:c>
      <x:c r="J53" s="20" t="str">
        <x:v>降低法术前摇与后摇</x:v>
      </x:c>
      <x:c r="K53" s="20" t="str">
        <x:v>常用</x:v>
      </x:c>
      <x:c r="L53" s="20" t="str">
        <x:v>属性Buff</x:v>
      </x:c>
      <x:c r="M53" s="20" t="str">
        <x:v>法术前摇／法术后摇</x:v>
      </x:c>
      <x:c r="N53" s="20" t="str">
        <x:v>attr_config:45／46</x:v>
      </x:c>
      <x:c r="O53" s="20" t="str">
        <x:v>短时减值</x:v>
      </x:c>
      <x:c r="P53" s="20" t="str"/>
      <x:c r="Q53" s="20" t="str"/>
      <x:c r="R53" s="20" t="str"/>
      <x:c r="S53" s="20" t="str">
        <x:v>两项数值越小越好</x:v>
      </x:c>
    </x:row>
    <x:row r="54" ht="46" customHeight="1">
      <x:c r="A54" s="24" t="n">
        <x:v>50</x:v>
      </x:c>
      <x:c r="B54" s="25" t="str">
        <x:v>土辛热</x:v>
      </x:c>
      <x:c r="C54" s="25" t="str">
        <x:v>气脉核</x:v>
      </x:c>
      <x:c r="D54" s="25" t="str">
        <x:v>辛</x:v>
      </x:c>
      <x:c r="E54" s="25" t="str">
        <x:v>灵法／气脉</x:v>
      </x:c>
      <x:c r="F54" s="25" t="str">
        <x:v>土</x:v>
      </x:c>
      <x:c r="G54" s="25" t="str">
        <x:v>热</x:v>
      </x:c>
      <x:c r="H54" s="26" t="n">
        <x:v>2</x:v>
      </x:c>
      <x:c r="I54" s="25" t="str">
        <x:v>稳蓄气脉</x:v>
      </x:c>
      <x:c r="J54" s="20" t="str">
        <x:v>把灵力凝成护盾，短时吸收大量伤害</x:v>
      </x:c>
      <x:c r="K54" s="20" t="str">
        <x:v>常用</x:v>
      </x:c>
      <x:c r="L54" s="20" t="str">
        <x:v>Buff／技能</x:v>
      </x:c>
      <x:c r="M54" s="20" t="str">
        <x:v>灵力护盾</x:v>
      </x:c>
      <x:c r="N54" s="20" t="str">
        <x:v>★新增Buff／调用技能</x:v>
      </x:c>
      <x:c r="O54" s="20" t="str">
        <x:v>消耗当前灵力抵伤</x:v>
      </x:c>
      <x:c r="P54" s="20" t="str"/>
      <x:c r="Q54" s="20" t="str"/>
      <x:c r="R54" s="20" t="str"/>
      <x:c r="S54" s="20" t="str">
        <x:v>容量瞬时化为防护</x:v>
      </x:c>
    </x:row>
    <x:row r="55" ht="46" customHeight="1">
      <x:c r="A55" s="27" t="n">
        <x:v>51</x:v>
      </x:c>
      <x:c r="B55" s="28" t="str">
        <x:v>金咸寒</x:v>
      </x:c>
      <x:c r="C55" s="28" t="str">
        <x:v>骨底核</x:v>
      </x:c>
      <x:c r="D55" s="28" t="str">
        <x:v>咸</x:v>
      </x:c>
      <x:c r="E55" s="28" t="str">
        <x:v>根基／骨底</x:v>
      </x:c>
      <x:c r="F55" s="28" t="str">
        <x:v>金</x:v>
      </x:c>
      <x:c r="G55" s="28" t="str">
        <x:v>寒</x:v>
      </x:c>
      <x:c r="H55" s="29" t="n">
        <x:v>-2</x:v>
      </x:c>
      <x:c r="I55" s="28" t="str">
        <x:v>剔除根毒</x:v>
      </x:c>
      <x:c r="J55" s="20" t="str">
        <x:v>长时缓慢清除大量灵根丹毒</x:v>
      </x:c>
      <x:c r="K55" s="20" t="str">
        <x:v>核心</x:v>
      </x:c>
      <x:c r="L55" s="20" t="str">
        <x:v>参数＋Buff</x:v>
      </x:c>
      <x:c r="M55" s="20" t="str">
        <x:v>灵根丹毒</x:v>
      </x:c>
      <x:c r="N55" s="20" t="str">
        <x:v>★新增参数：灵根丹毒</x:v>
      </x:c>
      <x:c r="O55" s="20" t="str">
        <x:v>低速多次扣减</x:v>
      </x:c>
      <x:c r="P55" s="20" t="str"/>
      <x:c r="Q55" s="20" t="str"/>
      <x:c r="R55" s="20" t="str"/>
      <x:c r="S55" s="20" t="str">
        <x:v>总清除量最高</x:v>
      </x:c>
    </x:row>
    <x:row r="56" ht="46" customHeight="1">
      <x:c r="A56" s="27" t="n">
        <x:v>52</x:v>
      </x:c>
      <x:c r="B56" s="28" t="str">
        <x:v>金咸凉</x:v>
      </x:c>
      <x:c r="C56" s="28" t="str">
        <x:v>骨底核</x:v>
      </x:c>
      <x:c r="D56" s="28" t="str">
        <x:v>咸</x:v>
      </x:c>
      <x:c r="E56" s="28" t="str">
        <x:v>根基／骨底</x:v>
      </x:c>
      <x:c r="F56" s="28" t="str">
        <x:v>金</x:v>
      </x:c>
      <x:c r="G56" s="28" t="str">
        <x:v>凉</x:v>
      </x:c>
      <x:c r="H56" s="29" t="n">
        <x:v>-1</x:v>
      </x:c>
      <x:c r="I56" s="28" t="str">
        <x:v>剔除根毒</x:v>
      </x:c>
      <x:c r="J56" s="20" t="str">
        <x:v>持续缩短根基损伤与灵根不稳的剩余时间</x:v>
      </x:c>
      <x:c r="K56" s="20" t="str">
        <x:v>核心</x:v>
      </x:c>
      <x:c r="L56" s="20" t="str">
        <x:v>Buff</x:v>
      </x:c>
      <x:c r="M56" s="20" t="str">
        <x:v>根基损伤</x:v>
      </x:c>
      <x:c r="N56" s="20" t="str">
        <x:v>★新增Buff</x:v>
      </x:c>
      <x:c r="O56" s="20" t="str">
        <x:v>周期缩短剩余时长</x:v>
      </x:c>
      <x:c r="P56" s="20" t="str"/>
      <x:c r="Q56" s="20" t="str"/>
      <x:c r="R56" s="20" t="str"/>
      <x:c r="S56" s="20" t="str">
        <x:v>稳定修复</x:v>
      </x:c>
    </x:row>
    <x:row r="57" ht="46" customHeight="1">
      <x:c r="A57" s="27" t="n">
        <x:v>53</x:v>
      </x:c>
      <x:c r="B57" s="28" t="str">
        <x:v>金咸平</x:v>
      </x:c>
      <x:c r="C57" s="28" t="str">
        <x:v>骨底核</x:v>
      </x:c>
      <x:c r="D57" s="28" t="str">
        <x:v>咸</x:v>
      </x:c>
      <x:c r="E57" s="28" t="str">
        <x:v>根基／骨底</x:v>
      </x:c>
      <x:c r="F57" s="28" t="str">
        <x:v>金</x:v>
      </x:c>
      <x:c r="G57" s="28" t="str">
        <x:v>平</x:v>
      </x:c>
      <x:c r="H57" s="29" t="n">
        <x:v>0</x:v>
      </x:c>
      <x:c r="I57" s="28" t="str">
        <x:v>剔除根毒</x:v>
      </x:c>
      <x:c r="J57" s="20" t="str">
        <x:v>立即清除固定量灵根丹毒</x:v>
      </x:c>
      <x:c r="K57" s="20" t="str">
        <x:v>核心</x:v>
      </x:c>
      <x:c r="L57" s="20" t="str">
        <x:v>参数</x:v>
      </x:c>
      <x:c r="M57" s="20" t="str">
        <x:v>灵根丹毒</x:v>
      </x:c>
      <x:c r="N57" s="20" t="str">
        <x:v>★新增参数：灵根丹毒</x:v>
      </x:c>
      <x:c r="O57" s="20" t="str">
        <x:v>一次性扣减固定值</x:v>
      </x:c>
      <x:c r="P57" s="20" t="str"/>
      <x:c r="Q57" s="20" t="str"/>
      <x:c r="R57" s="20" t="str"/>
      <x:c r="S57" s="20" t="str">
        <x:v>金咸标准本效</x:v>
      </x:c>
    </x:row>
    <x:row r="58" ht="46" customHeight="1">
      <x:c r="A58" s="27" t="n">
        <x:v>54</x:v>
      </x:c>
      <x:c r="B58" s="28" t="str">
        <x:v>金咸温</x:v>
      </x:c>
      <x:c r="C58" s="28" t="str">
        <x:v>骨底核</x:v>
      </x:c>
      <x:c r="D58" s="28" t="str">
        <x:v>咸</x:v>
      </x:c>
      <x:c r="E58" s="28" t="str">
        <x:v>根基／骨底</x:v>
      </x:c>
      <x:c r="F58" s="28" t="str">
        <x:v>金</x:v>
      </x:c>
      <x:c r="G58" s="28" t="str">
        <x:v>温</x:v>
      </x:c>
      <x:c r="H58" s="29" t="n">
        <x:v>1</x:v>
      </x:c>
      <x:c r="I58" s="28" t="str">
        <x:v>剔除根毒</x:v>
      </x:c>
      <x:c r="J58" s="20" t="str">
        <x:v>快速清除根基损伤并短时提高抗性</x:v>
      </x:c>
      <x:c r="K58" s="20" t="str">
        <x:v>常用</x:v>
      </x:c>
      <x:c r="L58" s="20" t="str">
        <x:v>Buff移除＋Buff</x:v>
      </x:c>
      <x:c r="M58" s="20" t="str">
        <x:v>根基损伤／免暴击率</x:v>
      </x:c>
      <x:c r="N58" s="20" t="str">
        <x:v>对应Buff／attr_config:16</x:v>
      </x:c>
      <x:c r="O58" s="20" t="str">
        <x:v>移除后附短时抗性</x:v>
      </x:c>
      <x:c r="P58" s="20" t="str"/>
      <x:c r="Q58" s="20" t="str"/>
      <x:c r="R58" s="20" t="str"/>
      <x:c r="S58" s="20" t="str">
        <x:v>温主速</x:v>
      </x:c>
    </x:row>
    <x:row r="59" ht="46" customHeight="1">
      <x:c r="A59" s="27" t="n">
        <x:v>55</x:v>
      </x:c>
      <x:c r="B59" s="28" t="str">
        <x:v>金咸热</x:v>
      </x:c>
      <x:c r="C59" s="28" t="str">
        <x:v>骨底核</x:v>
      </x:c>
      <x:c r="D59" s="28" t="str">
        <x:v>咸</x:v>
      </x:c>
      <x:c r="E59" s="28" t="str">
        <x:v>根基／骨底</x:v>
      </x:c>
      <x:c r="F59" s="28" t="str">
        <x:v>金</x:v>
      </x:c>
      <x:c r="G59" s="28" t="str">
        <x:v>热</x:v>
      </x:c>
      <x:c r="H59" s="29" t="n">
        <x:v>2</x:v>
      </x:c>
      <x:c r="I59" s="28" t="str">
        <x:v>剔除根毒</x:v>
      </x:c>
      <x:c r="J59" s="20" t="str">
        <x:v>强制荡清灵根丹毒，代价是根基虚弱</x:v>
      </x:c>
      <x:c r="K59" s="20" t="str">
        <x:v>核心</x:v>
      </x:c>
      <x:c r="L59" s="20" t="str">
        <x:v>参数</x:v>
      </x:c>
      <x:c r="M59" s="20" t="str">
        <x:v>灵根丹毒</x:v>
      </x:c>
      <x:c r="N59" s="20" t="str">
        <x:v>★新增参数：灵根丹毒</x:v>
      </x:c>
      <x:c r="O59" s="20" t="str">
        <x:v>高额或清空</x:v>
      </x:c>
      <x:c r="P59" s="20" t="str">
        <x:v>Buff</x:v>
      </x:c>
      <x:c r="Q59" s="20" t="str">
        <x:v>根基虚弱</x:v>
      </x:c>
      <x:c r="R59" s="20" t="str">
        <x:v>★新增Buff</x:v>
      </x:c>
      <x:c r="S59" s="20" t="str">
        <x:v>稀有救急丹</x:v>
      </x:c>
    </x:row>
    <x:row r="60" ht="46" customHeight="1">
      <x:c r="A60" s="27" t="n">
        <x:v>56</x:v>
      </x:c>
      <x:c r="B60" s="28" t="str">
        <x:v>木咸寒</x:v>
      </x:c>
      <x:c r="C60" s="28" t="str">
        <x:v>骨底核</x:v>
      </x:c>
      <x:c r="D60" s="28" t="str">
        <x:v>咸</x:v>
      </x:c>
      <x:c r="E60" s="28" t="str">
        <x:v>根基／骨底</x:v>
      </x:c>
      <x:c r="F60" s="28" t="str">
        <x:v>木</x:v>
      </x:c>
      <x:c r="G60" s="28" t="str">
        <x:v>寒</x:v>
      </x:c>
      <x:c r="H60" s="29" t="n">
        <x:v>-2</x:v>
      </x:c>
      <x:c r="I60" s="28" t="str">
        <x:v>生长根骨</x:v>
      </x:c>
      <x:c r="J60" s="20" t="str">
        <x:v>长时缓慢增长物防与法防，累计总量最高</x:v>
      </x:c>
      <x:c r="K60" s="20" t="str">
        <x:v>常用</x:v>
      </x:c>
      <x:c r="L60" s="20" t="str">
        <x:v>属性Buff</x:v>
      </x:c>
      <x:c r="M60" s="20" t="str">
        <x:v>物防／法防</x:v>
      </x:c>
      <x:c r="N60" s="20" t="str">
        <x:v>attr_config:7-10</x:v>
      </x:c>
      <x:c r="O60" s="20" t="str">
        <x:v>低幅长持续</x:v>
      </x:c>
      <x:c r="P60" s="20" t="str"/>
      <x:c r="Q60" s="20" t="str"/>
      <x:c r="R60" s="20" t="str"/>
      <x:c r="S60" s="20" t="str">
        <x:v>根骨生长</x:v>
      </x:c>
    </x:row>
    <x:row r="61" ht="46" customHeight="1">
      <x:c r="A61" s="27" t="n">
        <x:v>57</x:v>
      </x:c>
      <x:c r="B61" s="28" t="str">
        <x:v>木咸凉</x:v>
      </x:c>
      <x:c r="C61" s="28" t="str">
        <x:v>骨底核</x:v>
      </x:c>
      <x:c r="D61" s="28" t="str">
        <x:v>咸</x:v>
      </x:c>
      <x:c r="E61" s="28" t="str">
        <x:v>根基／骨底</x:v>
      </x:c>
      <x:c r="F61" s="28" t="str">
        <x:v>木</x:v>
      </x:c>
      <x:c r="G61" s="28" t="str">
        <x:v>凉</x:v>
      </x:c>
      <x:c r="H61" s="29" t="n">
        <x:v>-1</x:v>
      </x:c>
      <x:c r="I61" s="28" t="str">
        <x:v>生长根骨</x:v>
      </x:c>
      <x:c r="J61" s="20" t="str">
        <x:v>持续修复根基并提高伤害减免</x:v>
      </x:c>
      <x:c r="K61" s="20" t="str">
        <x:v>常用</x:v>
      </x:c>
      <x:c r="L61" s="20" t="str">
        <x:v>属性Buff</x:v>
      </x:c>
      <x:c r="M61" s="20" t="str">
        <x:v>伤害减免增幅</x:v>
      </x:c>
      <x:c r="N61" s="20" t="str">
        <x:v>attr_config:34</x:v>
      </x:c>
      <x:c r="O61" s="20" t="str">
        <x:v>中低幅长持续</x:v>
      </x:c>
      <x:c r="P61" s="20" t="str"/>
      <x:c r="Q61" s="20" t="str"/>
      <x:c r="R61" s="20" t="str"/>
      <x:c r="S61" s="20" t="str">
        <x:v>续养</x:v>
      </x:c>
    </x:row>
    <x:row r="62" ht="46" customHeight="1">
      <x:c r="A62" s="27" t="n">
        <x:v>58</x:v>
      </x:c>
      <x:c r="B62" s="28" t="str">
        <x:v>木咸平</x:v>
      </x:c>
      <x:c r="C62" s="28" t="str">
        <x:v>骨底核</x:v>
      </x:c>
      <x:c r="D62" s="28" t="str">
        <x:v>咸</x:v>
      </x:c>
      <x:c r="E62" s="28" t="str">
        <x:v>根基／骨底</x:v>
      </x:c>
      <x:c r="F62" s="28" t="str">
        <x:v>木</x:v>
      </x:c>
      <x:c r="G62" s="28" t="str">
        <x:v>平</x:v>
      </x:c>
      <x:c r="H62" s="29" t="n">
        <x:v>0</x:v>
      </x:c>
      <x:c r="I62" s="28" t="str">
        <x:v>生长根骨</x:v>
      </x:c>
      <x:c r="J62" s="20" t="str">
        <x:v>提高物防与法防</x:v>
      </x:c>
      <x:c r="K62" s="20" t="str">
        <x:v>常用</x:v>
      </x:c>
      <x:c r="L62" s="20" t="str">
        <x:v>属性Buff</x:v>
      </x:c>
      <x:c r="M62" s="20" t="str">
        <x:v>物防／法防</x:v>
      </x:c>
      <x:c r="N62" s="20" t="str">
        <x:v>attr_config:7-10</x:v>
      </x:c>
      <x:c r="O62" s="20" t="str">
        <x:v>标准幅度与持续</x:v>
      </x:c>
      <x:c r="P62" s="20" t="str"/>
      <x:c r="Q62" s="20" t="str"/>
      <x:c r="R62" s="20" t="str"/>
      <x:c r="S62" s="20" t="str">
        <x:v>木咸标准本效</x:v>
      </x:c>
    </x:row>
    <x:row r="63" ht="46" customHeight="1">
      <x:c r="A63" s="27" t="n">
        <x:v>59</x:v>
      </x:c>
      <x:c r="B63" s="28" t="str">
        <x:v>木咸温</x:v>
      </x:c>
      <x:c r="C63" s="28" t="str">
        <x:v>骨底核</x:v>
      </x:c>
      <x:c r="D63" s="28" t="str">
        <x:v>咸</x:v>
      </x:c>
      <x:c r="E63" s="28" t="str">
        <x:v>根基／骨底</x:v>
      </x:c>
      <x:c r="F63" s="28" t="str">
        <x:v>木</x:v>
      </x:c>
      <x:c r="G63" s="28" t="str">
        <x:v>温</x:v>
      </x:c>
      <x:c r="H63" s="29" t="n">
        <x:v>1</x:v>
      </x:c>
      <x:c r="I63" s="28" t="str">
        <x:v>生长根骨</x:v>
      </x:c>
      <x:c r="J63" s="20" t="str">
        <x:v>短时提高防御增幅与免暴击率</x:v>
      </x:c>
      <x:c r="K63" s="20" t="str">
        <x:v>常用</x:v>
      </x:c>
      <x:c r="L63" s="20" t="str">
        <x:v>属性Buff</x:v>
      </x:c>
      <x:c r="M63" s="20" t="str">
        <x:v>防御增幅／免暴击率</x:v>
      </x:c>
      <x:c r="N63" s="20" t="str">
        <x:v>attr_config:24-27／16</x:v>
      </x:c>
      <x:c r="O63" s="20" t="str">
        <x:v>高幅短持续</x:v>
      </x:c>
      <x:c r="P63" s="20" t="str"/>
      <x:c r="Q63" s="20" t="str"/>
      <x:c r="R63" s="20" t="str"/>
      <x:c r="S63" s="20" t="str">
        <x:v>快速成骨</x:v>
      </x:c>
    </x:row>
    <x:row r="64" ht="46" customHeight="1">
      <x:c r="A64" s="27" t="n">
        <x:v>60</x:v>
      </x:c>
      <x:c r="B64" s="28" t="str">
        <x:v>木咸热</x:v>
      </x:c>
      <x:c r="C64" s="28" t="str">
        <x:v>骨底核</x:v>
      </x:c>
      <x:c r="D64" s="28" t="str">
        <x:v>咸</x:v>
      </x:c>
      <x:c r="E64" s="28" t="str">
        <x:v>根基／骨底</x:v>
      </x:c>
      <x:c r="F64" s="28" t="str">
        <x:v>木</x:v>
      </x:c>
      <x:c r="G64" s="28" t="str">
        <x:v>热</x:v>
      </x:c>
      <x:c r="H64" s="29" t="n">
        <x:v>2</x:v>
      </x:c>
      <x:c r="I64" s="28" t="str">
        <x:v>生长根骨</x:v>
      </x:c>
      <x:c r="J64" s="20" t="str">
        <x:v>瞬间修补重伤根基并获得高防，随后根骨疲弱</x:v>
      </x:c>
      <x:c r="K64" s="20" t="str">
        <x:v>偏门</x:v>
      </x:c>
      <x:c r="L64" s="20" t="str">
        <x:v>Buff移除＋Buff</x:v>
      </x:c>
      <x:c r="M64" s="20" t="str">
        <x:v>根基重伤／高防</x:v>
      </x:c>
      <x:c r="N64" s="20" t="str">
        <x:v>★新增Buff／attr_config:24-27</x:v>
      </x:c>
      <x:c r="O64" s="20" t="str">
        <x:v>立即修复并短时高防</x:v>
      </x:c>
      <x:c r="P64" s="20" t="str">
        <x:v>Buff</x:v>
      </x:c>
      <x:c r="Q64" s="20" t="str">
        <x:v>根骨疲弱</x:v>
      </x:c>
      <x:c r="R64" s="20" t="str">
        <x:v>★新增Buff</x:v>
      </x:c>
      <x:c r="S64" s="20" t="str">
        <x:v>爆发修复</x:v>
      </x:c>
    </x:row>
    <x:row r="65" ht="46" customHeight="1">
      <x:c r="A65" s="27" t="n">
        <x:v>61</x:v>
      </x:c>
      <x:c r="B65" s="28" t="str">
        <x:v>水咸寒</x:v>
      </x:c>
      <x:c r="C65" s="28" t="str">
        <x:v>骨底核</x:v>
      </x:c>
      <x:c r="D65" s="28" t="str">
        <x:v>咸</x:v>
      </x:c>
      <x:c r="E65" s="28" t="str">
        <x:v>根基／骨底</x:v>
      </x:c>
      <x:c r="F65" s="28" t="str">
        <x:v>水</x:v>
      </x:c>
      <x:c r="G65" s="28" t="str">
        <x:v>寒</x:v>
      </x:c>
      <x:c r="H65" s="29" t="n">
        <x:v>-2</x:v>
      </x:c>
      <x:c r="I65" s="28" t="str">
        <x:v>滋养寿基</x:v>
      </x:c>
      <x:c r="J65" s="20" t="str">
        <x:v>长时炼化后增加较多寿元，生效最慢</x:v>
      </x:c>
      <x:c r="K65" s="20" t="str">
        <x:v>核心</x:v>
      </x:c>
      <x:c r="L65" s="20" t="str">
        <x:v>参数＋Buff</x:v>
      </x:c>
      <x:c r="M65" s="20" t="str">
        <x:v>寿元</x:v>
      </x:c>
      <x:c r="N65" s="20" t="str">
        <x:v>★新增参数：寿元</x:v>
      </x:c>
      <x:c r="O65" s="20" t="str">
        <x:v>延迟分段或期满写入</x:v>
      </x:c>
      <x:c r="P65" s="20" t="str"/>
      <x:c r="Q65" s="20" t="str"/>
      <x:c r="R65" s="20" t="str"/>
      <x:c r="S65" s="20" t="str">
        <x:v>养命延寿，总量位</x:v>
      </x:c>
    </x:row>
    <x:row r="66" ht="46" customHeight="1">
      <x:c r="A66" s="27" t="n">
        <x:v>62</x:v>
      </x:c>
      <x:c r="B66" s="28" t="str">
        <x:v>水咸凉</x:v>
      </x:c>
      <x:c r="C66" s="28" t="str">
        <x:v>骨底核</x:v>
      </x:c>
      <x:c r="D66" s="28" t="str">
        <x:v>咸</x:v>
      </x:c>
      <x:c r="E66" s="28" t="str">
        <x:v>根基／骨底</x:v>
      </x:c>
      <x:c r="F66" s="28" t="str">
        <x:v>水</x:v>
      </x:c>
      <x:c r="G66" s="28" t="str">
        <x:v>凉</x:v>
      </x:c>
      <x:c r="H66" s="29" t="n">
        <x:v>-1</x:v>
      </x:c>
      <x:c r="I66" s="28" t="str">
        <x:v>滋养寿基</x:v>
      </x:c>
      <x:c r="J66" s="20" t="str">
        <x:v>稳定增加寿元，代价较低</x:v>
      </x:c>
      <x:c r="K66" s="20" t="str">
        <x:v>核心</x:v>
      </x:c>
      <x:c r="L66" s="20" t="str">
        <x:v>参数</x:v>
      </x:c>
      <x:c r="M66" s="20" t="str">
        <x:v>寿元</x:v>
      </x:c>
      <x:c r="N66" s="20" t="str">
        <x:v>★新增参数：寿元</x:v>
      </x:c>
      <x:c r="O66" s="20" t="str">
        <x:v>延迟后一次性写入</x:v>
      </x:c>
      <x:c r="P66" s="20" t="str"/>
      <x:c r="Q66" s="20" t="str"/>
      <x:c r="R66" s="20" t="str"/>
      <x:c r="S66" s="20" t="str">
        <x:v>长效稳妥</x:v>
      </x:c>
    </x:row>
    <x:row r="67" ht="46" customHeight="1">
      <x:c r="A67" s="27" t="n">
        <x:v>63</x:v>
      </x:c>
      <x:c r="B67" s="28" t="str">
        <x:v>水咸平</x:v>
      </x:c>
      <x:c r="C67" s="28" t="str">
        <x:v>骨底核</x:v>
      </x:c>
      <x:c r="D67" s="28" t="str">
        <x:v>咸</x:v>
      </x:c>
      <x:c r="E67" s="28" t="str">
        <x:v>根基／骨底</x:v>
      </x:c>
      <x:c r="F67" s="28" t="str">
        <x:v>水</x:v>
      </x:c>
      <x:c r="G67" s="28" t="str">
        <x:v>平</x:v>
      </x:c>
      <x:c r="H67" s="29" t="n">
        <x:v>0</x:v>
      </x:c>
      <x:c r="I67" s="28" t="str">
        <x:v>滋养寿基</x:v>
      </x:c>
      <x:c r="J67" s="20" t="str">
        <x:v>增加固定寿元</x:v>
      </x:c>
      <x:c r="K67" s="20" t="str">
        <x:v>核心</x:v>
      </x:c>
      <x:c r="L67" s="20" t="str">
        <x:v>参数</x:v>
      </x:c>
      <x:c r="M67" s="20" t="str">
        <x:v>寿元</x:v>
      </x:c>
      <x:c r="N67" s="20" t="str">
        <x:v>★新增参数：寿元</x:v>
      </x:c>
      <x:c r="O67" s="20" t="str">
        <x:v>一次性写入</x:v>
      </x:c>
      <x:c r="P67" s="20" t="str"/>
      <x:c r="Q67" s="20" t="str"/>
      <x:c r="R67" s="20" t="str"/>
      <x:c r="S67" s="20" t="str">
        <x:v>水咸标准本效／延寿丹</x:v>
      </x:c>
    </x:row>
    <x:row r="68" ht="46" customHeight="1">
      <x:c r="A68" s="27" t="n">
        <x:v>64</x:v>
      </x:c>
      <x:c r="B68" s="28" t="str">
        <x:v>水咸温</x:v>
      </x:c>
      <x:c r="C68" s="28" t="str">
        <x:v>骨底核</x:v>
      </x:c>
      <x:c r="D68" s="28" t="str">
        <x:v>咸</x:v>
      </x:c>
      <x:c r="E68" s="28" t="str">
        <x:v>根基／骨底</x:v>
      </x:c>
      <x:c r="F68" s="28" t="str">
        <x:v>水</x:v>
      </x:c>
      <x:c r="G68" s="28" t="str">
        <x:v>温</x:v>
      </x:c>
      <x:c r="H68" s="29" t="n">
        <x:v>1</x:v>
      </x:c>
      <x:c r="I68" s="28" t="str">
        <x:v>滋养寿基</x:v>
      </x:c>
      <x:c r="J68" s="20" t="str">
        <x:v>快速延续将尽之寿，增加寿元较少</x:v>
      </x:c>
      <x:c r="K68" s="20" t="str">
        <x:v>核心</x:v>
      </x:c>
      <x:c r="L68" s="20" t="str">
        <x:v>参数</x:v>
      </x:c>
      <x:c r="M68" s="20" t="str">
        <x:v>寿元</x:v>
      </x:c>
      <x:c r="N68" s="20" t="str">
        <x:v>★新增参数：寿元</x:v>
      </x:c>
      <x:c r="O68" s="20" t="str">
        <x:v>立即写入较小值</x:v>
      </x:c>
      <x:c r="P68" s="20" t="str"/>
      <x:c r="Q68" s="20" t="str"/>
      <x:c r="R68" s="20" t="str"/>
      <x:c r="S68" s="20" t="str">
        <x:v>救急延命</x:v>
      </x:c>
    </x:row>
    <x:row r="69" ht="46" customHeight="1">
      <x:c r="A69" s="27" t="n">
        <x:v>65</x:v>
      </x:c>
      <x:c r="B69" s="28" t="str">
        <x:v>水咸热</x:v>
      </x:c>
      <x:c r="C69" s="28" t="str">
        <x:v>骨底核</x:v>
      </x:c>
      <x:c r="D69" s="28" t="str">
        <x:v>咸</x:v>
      </x:c>
      <x:c r="E69" s="28" t="str">
        <x:v>根基／骨底</x:v>
      </x:c>
      <x:c r="F69" s="28" t="str">
        <x:v>水</x:v>
      </x:c>
      <x:c r="G69" s="28" t="str">
        <x:v>热</x:v>
      </x:c>
      <x:c r="H69" s="29" t="n">
        <x:v>2</x:v>
      </x:c>
      <x:c r="I69" s="28" t="str">
        <x:v>滋养寿基</x:v>
      </x:c>
      <x:c r="J69" s="20" t="str">
        <x:v>抵挡一次寿尽或致命结算，随后折损根基</x:v>
      </x:c>
      <x:c r="K69" s="20" t="str">
        <x:v>偏门</x:v>
      </x:c>
      <x:c r="L69" s="20" t="str">
        <x:v>Buff／技能</x:v>
      </x:c>
      <x:c r="M69" s="20" t="str">
        <x:v>续命</x:v>
      </x:c>
      <x:c r="N69" s="20" t="str">
        <x:v>★新增Buff／调用技能</x:v>
      </x:c>
      <x:c r="O69" s="20" t="str">
        <x:v>一次性免死或延迟死亡</x:v>
      </x:c>
      <x:c r="P69" s="20" t="str">
        <x:v>Buff</x:v>
      </x:c>
      <x:c r="Q69" s="20" t="str">
        <x:v>根基折损</x:v>
      </x:c>
      <x:c r="R69" s="20" t="str">
        <x:v>★新增Buff</x:v>
      </x:c>
      <x:c r="S69" s="20" t="str">
        <x:v>续命丹，极稀有</x:v>
      </x:c>
    </x:row>
    <x:row r="70" ht="46" customHeight="1">
      <x:c r="A70" s="27" t="n">
        <x:v>66</x:v>
      </x:c>
      <x:c r="B70" s="28" t="str">
        <x:v>火咸寒</x:v>
      </x:c>
      <x:c r="C70" s="28" t="str">
        <x:v>骨底核</x:v>
      </x:c>
      <x:c r="D70" s="28" t="str">
        <x:v>咸</x:v>
      </x:c>
      <x:c r="E70" s="28" t="str">
        <x:v>根基／骨底</x:v>
      </x:c>
      <x:c r="F70" s="28" t="str">
        <x:v>火</x:v>
      </x:c>
      <x:c r="G70" s="28" t="str">
        <x:v>寒</x:v>
      </x:c>
      <x:c r="H70" s="29" t="n">
        <x:v>-2</x:v>
      </x:c>
      <x:c r="I70" s="28" t="str">
        <x:v>激化灵根</x:v>
      </x:c>
      <x:c r="J70" s="20" t="str">
        <x:v>长时提高灵根共鸣，总培养收益最高</x:v>
      </x:c>
      <x:c r="K70" s="20" t="str">
        <x:v>偏门</x:v>
      </x:c>
      <x:c r="L70" s="20" t="str">
        <x:v>Buff</x:v>
      </x:c>
      <x:c r="M70" s="20" t="str">
        <x:v>灵根共鸣</x:v>
      </x:c>
      <x:c r="N70" s="20" t="str">
        <x:v>★新增Buff／灵根参数</x:v>
      </x:c>
      <x:c r="O70" s="20" t="str">
        <x:v>低幅长持续</x:v>
      </x:c>
      <x:c r="P70" s="20" t="str"/>
      <x:c r="Q70" s="20" t="str"/>
      <x:c r="R70" s="20" t="str"/>
      <x:c r="S70" s="20" t="str">
        <x:v>不直接洗根</x:v>
      </x:c>
    </x:row>
    <x:row r="71" ht="46" customHeight="1">
      <x:c r="A71" s="27" t="n">
        <x:v>67</x:v>
      </x:c>
      <x:c r="B71" s="28" t="str">
        <x:v>火咸凉</x:v>
      </x:c>
      <x:c r="C71" s="28" t="str">
        <x:v>骨底核</x:v>
      </x:c>
      <x:c r="D71" s="28" t="str">
        <x:v>咸</x:v>
      </x:c>
      <x:c r="E71" s="28" t="str">
        <x:v>根基／骨底</x:v>
      </x:c>
      <x:c r="F71" s="28" t="str">
        <x:v>火</x:v>
      </x:c>
      <x:c r="G71" s="28" t="str">
        <x:v>凉</x:v>
      </x:c>
      <x:c r="H71" s="29" t="n">
        <x:v>-1</x:v>
      </x:c>
      <x:c r="I71" s="28" t="str">
        <x:v>激化灵根</x:v>
      </x:c>
      <x:c r="J71" s="20" t="str">
        <x:v>稳定灵根并降低灵根丹毒生成</x:v>
      </x:c>
      <x:c r="K71" s="20" t="str">
        <x:v>常用</x:v>
      </x:c>
      <x:c r="L71" s="20" t="str">
        <x:v>Buff</x:v>
      </x:c>
      <x:c r="M71" s="20" t="str">
        <x:v>灵根丹毒生成率</x:v>
      </x:c>
      <x:c r="N71" s="20" t="str">
        <x:v>★新增Buff</x:v>
      </x:c>
      <x:c r="O71" s="20" t="str">
        <x:v>长持续减免</x:v>
      </x:c>
      <x:c r="P71" s="20" t="str"/>
      <x:c r="Q71" s="20" t="str"/>
      <x:c r="R71" s="20" t="str"/>
      <x:c r="S71" s="20" t="str">
        <x:v>续护灵根</x:v>
      </x:c>
    </x:row>
    <x:row r="72" ht="46" customHeight="1">
      <x:c r="A72" s="27" t="n">
        <x:v>68</x:v>
      </x:c>
      <x:c r="B72" s="28" t="str">
        <x:v>火咸平</x:v>
      </x:c>
      <x:c r="C72" s="28" t="str">
        <x:v>骨底核</x:v>
      </x:c>
      <x:c r="D72" s="28" t="str">
        <x:v>咸</x:v>
      </x:c>
      <x:c r="E72" s="28" t="str">
        <x:v>根基／骨底</x:v>
      </x:c>
      <x:c r="F72" s="28" t="str">
        <x:v>火</x:v>
      </x:c>
      <x:c r="G72" s="28" t="str">
        <x:v>平</x:v>
      </x:c>
      <x:c r="H72" s="29" t="n">
        <x:v>0</x:v>
      </x:c>
      <x:c r="I72" s="28" t="str">
        <x:v>激化灵根</x:v>
      </x:c>
      <x:c r="J72" s="20" t="str">
        <x:v>永久强化指定灵根的一项基础亲和</x:v>
      </x:c>
      <x:c r="K72" s="20" t="str">
        <x:v>核心</x:v>
      </x:c>
      <x:c r="L72" s="20" t="str">
        <x:v>参数</x:v>
      </x:c>
      <x:c r="M72" s="20" t="str">
        <x:v>灵根亲和</x:v>
      </x:c>
      <x:c r="N72" s="20" t="str">
        <x:v>★灵根系统参数</x:v>
      </x:c>
      <x:c r="O72" s="20" t="str">
        <x:v>固定小幅永久写入</x:v>
      </x:c>
      <x:c r="P72" s="20" t="str"/>
      <x:c r="Q72" s="20" t="str"/>
      <x:c r="R72" s="20" t="str"/>
      <x:c r="S72" s="20" t="str">
        <x:v>火咸标准本效</x:v>
      </x:c>
    </x:row>
    <x:row r="73" ht="46" customHeight="1">
      <x:c r="A73" s="27" t="n">
        <x:v>69</x:v>
      </x:c>
      <x:c r="B73" s="28" t="str">
        <x:v>火咸温</x:v>
      </x:c>
      <x:c r="C73" s="28" t="str">
        <x:v>骨底核</x:v>
      </x:c>
      <x:c r="D73" s="28" t="str">
        <x:v>咸</x:v>
      </x:c>
      <x:c r="E73" s="28" t="str">
        <x:v>根基／骨底</x:v>
      </x:c>
      <x:c r="F73" s="28" t="str">
        <x:v>火</x:v>
      </x:c>
      <x:c r="G73" s="28" t="str">
        <x:v>温</x:v>
      </x:c>
      <x:c r="H73" s="29" t="n">
        <x:v>1</x:v>
      </x:c>
      <x:c r="I73" s="28" t="str">
        <x:v>激化灵根</x:v>
      </x:c>
      <x:c r="J73" s="20" t="str">
        <x:v>短时激活指定灵根，提高对应修炼或战斗效果</x:v>
      </x:c>
      <x:c r="K73" s="20" t="str">
        <x:v>常用</x:v>
      </x:c>
      <x:c r="L73" s="20" t="str">
        <x:v>Buff</x:v>
      </x:c>
      <x:c r="M73" s="20" t="str">
        <x:v>灵根激活</x:v>
      </x:c>
      <x:c r="N73" s="20" t="str">
        <x:v>★新增Buff</x:v>
      </x:c>
      <x:c r="O73" s="20" t="str">
        <x:v>高幅短持续</x:v>
      </x:c>
      <x:c r="P73" s="20" t="str"/>
      <x:c r="Q73" s="20" t="str"/>
      <x:c r="R73" s="20" t="str"/>
      <x:c r="S73" s="20" t="str">
        <x:v>快速激化</x:v>
      </x:c>
    </x:row>
    <x:row r="74" ht="46" customHeight="1">
      <x:c r="A74" s="27" t="n">
        <x:v>70</x:v>
      </x:c>
      <x:c r="B74" s="28" t="str">
        <x:v>火咸热</x:v>
      </x:c>
      <x:c r="C74" s="28" t="str">
        <x:v>骨底核</x:v>
      </x:c>
      <x:c r="D74" s="28" t="str">
        <x:v>咸</x:v>
      </x:c>
      <x:c r="E74" s="28" t="str">
        <x:v>根基／骨底</x:v>
      </x:c>
      <x:c r="F74" s="28" t="str">
        <x:v>火</x:v>
      </x:c>
      <x:c r="G74" s="28" t="str">
        <x:v>热</x:v>
      </x:c>
      <x:c r="H74" s="29" t="n">
        <x:v>2</x:v>
      </x:c>
      <x:c r="I74" s="28" t="str">
        <x:v>激化灵根</x:v>
      </x:c>
      <x:c r="J74" s="20" t="str">
        <x:v>洗去旧灵根结构并重新生成灵根，产生大量灵根丹毒</x:v>
      </x:c>
      <x:c r="K74" s="20" t="str">
        <x:v>核心</x:v>
      </x:c>
      <x:c r="L74" s="20" t="str">
        <x:v>特殊功能</x:v>
      </x:c>
      <x:c r="M74" s="20" t="str">
        <x:v>洗灵根</x:v>
      </x:c>
      <x:c r="N74" s="20" t="str">
        <x:v>★灵根系统特殊调用</x:v>
      </x:c>
      <x:c r="O74" s="20" t="str">
        <x:v>不分境界的唯一洗灵丹逻辑</x:v>
      </x:c>
      <x:c r="P74" s="20" t="str">
        <x:v>参数</x:v>
      </x:c>
      <x:c r="Q74" s="20" t="str">
        <x:v>灵根丹毒</x:v>
      </x:c>
      <x:c r="R74" s="20" t="str">
        <x:v>★新增参数</x:v>
      </x:c>
      <x:c r="S74" s="20" t="str">
        <x:v>需特殊君核；不按八境复制</x:v>
      </x:c>
    </x:row>
    <x:row r="75" ht="46" customHeight="1">
      <x:c r="A75" s="27" t="n">
        <x:v>71</x:v>
      </x:c>
      <x:c r="B75" s="28" t="str">
        <x:v>土咸寒</x:v>
      </x:c>
      <x:c r="C75" s="28" t="str">
        <x:v>骨底核</x:v>
      </x:c>
      <x:c r="D75" s="28" t="str">
        <x:v>咸</x:v>
      </x:c>
      <x:c r="E75" s="28" t="str">
        <x:v>根基／骨底</x:v>
      </x:c>
      <x:c r="F75" s="28" t="str">
        <x:v>土</x:v>
      </x:c>
      <x:c r="G75" s="28" t="str">
        <x:v>寒</x:v>
      </x:c>
      <x:c r="H75" s="29" t="n">
        <x:v>-2</x:v>
      </x:c>
      <x:c r="I75" s="28" t="str">
        <x:v>固炼根基</x:v>
      </x:c>
      <x:c r="J75" s="20" t="str">
        <x:v>长时提高防御与减伤，累计防护量最高</x:v>
      </x:c>
      <x:c r="K75" s="20" t="str">
        <x:v>常用</x:v>
      </x:c>
      <x:c r="L75" s="20" t="str">
        <x:v>属性Buff</x:v>
      </x:c>
      <x:c r="M75" s="20" t="str">
        <x:v>防御／伤害减免</x:v>
      </x:c>
      <x:c r="N75" s="20" t="str">
        <x:v>attr_config:24-27／34</x:v>
      </x:c>
      <x:c r="O75" s="20" t="str">
        <x:v>低幅长持续</x:v>
      </x:c>
      <x:c r="P75" s="20" t="str"/>
      <x:c r="Q75" s="20" t="str"/>
      <x:c r="R75" s="20" t="str"/>
      <x:c r="S75" s="20" t="str">
        <x:v>厚重长效</x:v>
      </x:c>
    </x:row>
    <x:row r="76" ht="46" customHeight="1">
      <x:c r="A76" s="27" t="n">
        <x:v>72</x:v>
      </x:c>
      <x:c r="B76" s="28" t="str">
        <x:v>土咸凉</x:v>
      </x:c>
      <x:c r="C76" s="28" t="str">
        <x:v>骨底核</x:v>
      </x:c>
      <x:c r="D76" s="28" t="str">
        <x:v>咸</x:v>
      </x:c>
      <x:c r="E76" s="28" t="str">
        <x:v>根基／骨底</x:v>
      </x:c>
      <x:c r="F76" s="28" t="str">
        <x:v>土</x:v>
      </x:c>
      <x:c r="G76" s="28" t="str">
        <x:v>凉</x:v>
      </x:c>
      <x:c r="H76" s="29" t="n">
        <x:v>-1</x:v>
      </x:c>
      <x:c r="I76" s="28" t="str">
        <x:v>固炼根基</x:v>
      </x:c>
      <x:c r="J76" s="20" t="str">
        <x:v>持续提高伤害减免</x:v>
      </x:c>
      <x:c r="K76" s="20" t="str">
        <x:v>常用</x:v>
      </x:c>
      <x:c r="L76" s="20" t="str">
        <x:v>属性Buff</x:v>
      </x:c>
      <x:c r="M76" s="20" t="str">
        <x:v>伤害减免增幅</x:v>
      </x:c>
      <x:c r="N76" s="20" t="str">
        <x:v>attr_config:34</x:v>
      </x:c>
      <x:c r="O76" s="20" t="str">
        <x:v>中幅长持续</x:v>
      </x:c>
      <x:c r="P76" s="20" t="str"/>
      <x:c r="Q76" s="20" t="str"/>
      <x:c r="R76" s="20" t="str"/>
      <x:c r="S76" s="20" t="str">
        <x:v>稳固根基</x:v>
      </x:c>
    </x:row>
    <x:row r="77" ht="46" customHeight="1">
      <x:c r="A77" s="27" t="n">
        <x:v>73</x:v>
      </x:c>
      <x:c r="B77" s="28" t="str">
        <x:v>土咸平</x:v>
      </x:c>
      <x:c r="C77" s="28" t="str">
        <x:v>骨底核</x:v>
      </x:c>
      <x:c r="D77" s="28" t="str">
        <x:v>咸</x:v>
      </x:c>
      <x:c r="E77" s="28" t="str">
        <x:v>根基／骨底</x:v>
      </x:c>
      <x:c r="F77" s="28" t="str">
        <x:v>土</x:v>
      </x:c>
      <x:c r="G77" s="28" t="str">
        <x:v>平</x:v>
      </x:c>
      <x:c r="H77" s="29" t="n">
        <x:v>0</x:v>
      </x:c>
      <x:c r="I77" s="28" t="str">
        <x:v>固炼根基</x:v>
      </x:c>
      <x:c r="J77" s="20" t="str">
        <x:v>永久或长效提高物防、法防</x:v>
      </x:c>
      <x:c r="K77" s="20" t="str">
        <x:v>核心</x:v>
      </x:c>
      <x:c r="L77" s="20" t="str">
        <x:v>属性／永久属性</x:v>
      </x:c>
      <x:c r="M77" s="20" t="str">
        <x:v>物防／法防</x:v>
      </x:c>
      <x:c r="N77" s="20" t="str">
        <x:v>attr_config:7-10／24-27</x:v>
      </x:c>
      <x:c r="O77" s="20" t="str">
        <x:v>按永久强化规则写入或长效Buff</x:v>
      </x:c>
      <x:c r="P77" s="20" t="str"/>
      <x:c r="Q77" s="20" t="str"/>
      <x:c r="R77" s="20" t="str"/>
      <x:c r="S77" s="20" t="str">
        <x:v>土咸标准本效／淬体</x:v>
      </x:c>
    </x:row>
    <x:row r="78" ht="46" customHeight="1">
      <x:c r="A78" s="27" t="n">
        <x:v>74</x:v>
      </x:c>
      <x:c r="B78" s="28" t="str">
        <x:v>土咸温</x:v>
      </x:c>
      <x:c r="C78" s="28" t="str">
        <x:v>骨底核</x:v>
      </x:c>
      <x:c r="D78" s="28" t="str">
        <x:v>咸</x:v>
      </x:c>
      <x:c r="E78" s="28" t="str">
        <x:v>根基／骨底</x:v>
      </x:c>
      <x:c r="F78" s="28" t="str">
        <x:v>土</x:v>
      </x:c>
      <x:c r="G78" s="28" t="str">
        <x:v>温</x:v>
      </x:c>
      <x:c r="H78" s="29" t="n">
        <x:v>1</x:v>
      </x:c>
      <x:c r="I78" s="28" t="str">
        <x:v>固炼根基</x:v>
      </x:c>
      <x:c r="J78" s="20" t="str">
        <x:v>短时提高免暴击率与天佑</x:v>
      </x:c>
      <x:c r="K78" s="20" t="str">
        <x:v>常用</x:v>
      </x:c>
      <x:c r="L78" s="20" t="str">
        <x:v>属性Buff</x:v>
      </x:c>
      <x:c r="M78" s="20" t="str">
        <x:v>免暴击率／天佑</x:v>
      </x:c>
      <x:c r="N78" s="20" t="str">
        <x:v>attr_config:16／59</x:v>
      </x:c>
      <x:c r="O78" s="20" t="str">
        <x:v>高幅短持续</x:v>
      </x:c>
      <x:c r="P78" s="20" t="str"/>
      <x:c r="Q78" s="20" t="str"/>
      <x:c r="R78" s="20" t="str"/>
      <x:c r="S78" s="20" t="str">
        <x:v>快速固守</x:v>
      </x:c>
    </x:row>
    <x:row r="79" ht="46" customHeight="1">
      <x:c r="A79" s="27" t="n">
        <x:v>75</x:v>
      </x:c>
      <x:c r="B79" s="28" t="str">
        <x:v>土咸热</x:v>
      </x:c>
      <x:c r="C79" s="28" t="str">
        <x:v>骨底核</x:v>
      </x:c>
      <x:c r="D79" s="28" t="str">
        <x:v>咸</x:v>
      </x:c>
      <x:c r="E79" s="28" t="str">
        <x:v>根基／骨底</x:v>
      </x:c>
      <x:c r="F79" s="28" t="str">
        <x:v>土</x:v>
      </x:c>
      <x:c r="G79" s="28" t="str">
        <x:v>热</x:v>
      </x:c>
      <x:c r="H79" s="29" t="n">
        <x:v>2</x:v>
      </x:c>
      <x:c r="I79" s="28" t="str">
        <x:v>固炼根基</x:v>
      </x:c>
      <x:c r="J79" s="20" t="str">
        <x:v>短时获得极高减伤与Boss减伤，结束后行动迟缓</x:v>
      </x:c>
      <x:c r="K79" s="20" t="str">
        <x:v>常用</x:v>
      </x:c>
      <x:c r="L79" s="20" t="str">
        <x:v>属性Buff</x:v>
      </x:c>
      <x:c r="M79" s="20" t="str">
        <x:v>伤害减免／Boss伤害减免</x:v>
      </x:c>
      <x:c r="N79" s="20" t="str">
        <x:v>attr_config:32-34／61／63</x:v>
      </x:c>
      <x:c r="O79" s="20" t="str">
        <x:v>极高幅短持续</x:v>
      </x:c>
      <x:c r="P79" s="20" t="str">
        <x:v>Buff</x:v>
      </x:c>
      <x:c r="Q79" s="20" t="str">
        <x:v>迟缓</x:v>
      </x:c>
      <x:c r="R79" s="20" t="str">
        <x:v>★新增Buff</x:v>
      </x:c>
      <x:c r="S79" s="20" t="str">
        <x:v>热性根基盾</x:v>
      </x:c>
    </x:row>
    <x:row r="80" ht="46" customHeight="1">
      <x:c r="A80" s="30" t="n">
        <x:v>76</x:v>
      </x:c>
      <x:c r="B80" s="31" t="str">
        <x:v>金苦寒</x:v>
      </x:c>
      <x:c r="C80" s="31" t="str">
        <x:v>心神核</x:v>
      </x:c>
      <x:c r="D80" s="31" t="str">
        <x:v>苦</x:v>
      </x:c>
      <x:c r="E80" s="31" t="str">
        <x:v>心神</x:v>
      </x:c>
      <x:c r="F80" s="31" t="str">
        <x:v>金</x:v>
      </x:c>
      <x:c r="G80" s="31" t="str">
        <x:v>寒</x:v>
      </x:c>
      <x:c r="H80" s="32" t="n">
        <x:v>-2</x:v>
      </x:c>
      <x:c r="I80" s="31" t="str">
        <x:v>清心破妄</x:v>
      </x:c>
      <x:c r="J80" s="20" t="str">
        <x:v>长时提高对幻觉、心魔与控制的抵抗</x:v>
      </x:c>
      <x:c r="K80" s="20" t="str">
        <x:v>常用</x:v>
      </x:c>
      <x:c r="L80" s="20" t="str">
        <x:v>Buff</x:v>
      </x:c>
      <x:c r="M80" s="20" t="str">
        <x:v>精神状态抗性</x:v>
      </x:c>
      <x:c r="N80" s="20" t="str">
        <x:v>★新增Buff</x:v>
      </x:c>
      <x:c r="O80" s="20" t="str">
        <x:v>低幅长持续</x:v>
      </x:c>
      <x:c r="P80" s="20" t="str"/>
      <x:c r="Q80" s="20" t="str"/>
      <x:c r="R80" s="20" t="str"/>
      <x:c r="S80" s="20" t="str">
        <x:v>总防护量高</x:v>
      </x:c>
    </x:row>
    <x:row r="81" ht="46" customHeight="1">
      <x:c r="A81" s="30" t="n">
        <x:v>77</x:v>
      </x:c>
      <x:c r="B81" s="31" t="str">
        <x:v>金苦凉</x:v>
      </x:c>
      <x:c r="C81" s="31" t="str">
        <x:v>心神核</x:v>
      </x:c>
      <x:c r="D81" s="31" t="str">
        <x:v>苦</x:v>
      </x:c>
      <x:c r="E81" s="31" t="str">
        <x:v>心神</x:v>
      </x:c>
      <x:c r="F81" s="31" t="str">
        <x:v>金</x:v>
      </x:c>
      <x:c r="G81" s="31" t="str">
        <x:v>凉</x:v>
      </x:c>
      <x:c r="H81" s="32" t="n">
        <x:v>-1</x:v>
      </x:c>
      <x:c r="I81" s="31" t="str">
        <x:v>清心破妄</x:v>
      </x:c>
      <x:c r="J81" s="20" t="str">
        <x:v>持续缩短心魔、幻觉与控制的剩余时间</x:v>
      </x:c>
      <x:c r="K81" s="20" t="str">
        <x:v>常用</x:v>
      </x:c>
      <x:c r="L81" s="20" t="str">
        <x:v>Buff</x:v>
      </x:c>
      <x:c r="M81" s="20" t="str">
        <x:v>精神负面时长</x:v>
      </x:c>
      <x:c r="N81" s="20" t="str">
        <x:v>★新增Buff</x:v>
      </x:c>
      <x:c r="O81" s="20" t="str">
        <x:v>周期缩短剩余时长</x:v>
      </x:c>
      <x:c r="P81" s="20" t="str"/>
      <x:c r="Q81" s="20" t="str"/>
      <x:c r="R81" s="20" t="str"/>
      <x:c r="S81" s="20" t="str">
        <x:v>续解</x:v>
      </x:c>
    </x:row>
    <x:row r="82" ht="46" customHeight="1">
      <x:c r="A82" s="30" t="n">
        <x:v>78</x:v>
      </x:c>
      <x:c r="B82" s="31" t="str">
        <x:v>金苦平</x:v>
      </x:c>
      <x:c r="C82" s="31" t="str">
        <x:v>心神核</x:v>
      </x:c>
      <x:c r="D82" s="31" t="str">
        <x:v>苦</x:v>
      </x:c>
      <x:c r="E82" s="31" t="str">
        <x:v>心神</x:v>
      </x:c>
      <x:c r="F82" s="31" t="str">
        <x:v>金</x:v>
      </x:c>
      <x:c r="G82" s="31" t="str">
        <x:v>平</x:v>
      </x:c>
      <x:c r="H82" s="32" t="n">
        <x:v>0</x:v>
      </x:c>
      <x:c r="I82" s="31" t="str">
        <x:v>清心破妄</x:v>
      </x:c>
      <x:c r="J82" s="20" t="str">
        <x:v>立即解除一种心神负面状态</x:v>
      </x:c>
      <x:c r="K82" s="20" t="str">
        <x:v>常用</x:v>
      </x:c>
      <x:c r="L82" s="20" t="str">
        <x:v>Buff移除</x:v>
      </x:c>
      <x:c r="M82" s="20" t="str">
        <x:v>心魔／幻觉／控制</x:v>
      </x:c>
      <x:c r="N82" s="20" t="str">
        <x:v>对应Buff识别ID</x:v>
      </x:c>
      <x:c r="O82" s="20" t="str">
        <x:v>按优先级移除一个</x:v>
      </x:c>
      <x:c r="P82" s="20" t="str"/>
      <x:c r="Q82" s="20" t="str"/>
      <x:c r="R82" s="20" t="str"/>
      <x:c r="S82" s="20" t="str">
        <x:v>金苦标准本效</x:v>
      </x:c>
    </x:row>
    <x:row r="83" ht="46" customHeight="1">
      <x:c r="A83" s="30" t="n">
        <x:v>79</x:v>
      </x:c>
      <x:c r="B83" s="31" t="str">
        <x:v>金苦温</x:v>
      </x:c>
      <x:c r="C83" s="31" t="str">
        <x:v>心神核</x:v>
      </x:c>
      <x:c r="D83" s="31" t="str">
        <x:v>苦</x:v>
      </x:c>
      <x:c r="E83" s="31" t="str">
        <x:v>心神</x:v>
      </x:c>
      <x:c r="F83" s="31" t="str">
        <x:v>金</x:v>
      </x:c>
      <x:c r="G83" s="31" t="str">
        <x:v>温</x:v>
      </x:c>
      <x:c r="H83" s="32" t="n">
        <x:v>1</x:v>
      </x:c>
      <x:c r="I83" s="31" t="str">
        <x:v>清心破妄</x:v>
      </x:c>
      <x:c r="J83" s="20" t="str">
        <x:v>快速恢复神识操控并解除神识受损</x:v>
      </x:c>
      <x:c r="K83" s="20" t="str">
        <x:v>常用</x:v>
      </x:c>
      <x:c r="L83" s="20" t="str">
        <x:v>Buff移除＋属性Buff</x:v>
      </x:c>
      <x:c r="M83" s="20" t="str">
        <x:v>神识操控</x:v>
      </x:c>
      <x:c r="N83" s="20" t="str">
        <x:v>待新增：神识操控</x:v>
      </x:c>
      <x:c r="O83" s="20" t="str">
        <x:v>移除负面并短时提高</x:v>
      </x:c>
      <x:c r="P83" s="20" t="str"/>
      <x:c r="Q83" s="20" t="str"/>
      <x:c r="R83" s="20" t="str"/>
      <x:c r="S83" s="20" t="str">
        <x:v>炼丹与御器均可受益</x:v>
      </x:c>
    </x:row>
    <x:row r="84" ht="46" customHeight="1">
      <x:c r="A84" s="30" t="n">
        <x:v>80</x:v>
      </x:c>
      <x:c r="B84" s="31" t="str">
        <x:v>金苦热</x:v>
      </x:c>
      <x:c r="C84" s="31" t="str">
        <x:v>心神核</x:v>
      </x:c>
      <x:c r="D84" s="31" t="str">
        <x:v>苦</x:v>
      </x:c>
      <x:c r="E84" s="31" t="str">
        <x:v>心神</x:v>
      </x:c>
      <x:c r="F84" s="31" t="str">
        <x:v>金</x:v>
      </x:c>
      <x:c r="G84" s="31" t="str">
        <x:v>热</x:v>
      </x:c>
      <x:c r="H84" s="32" t="n">
        <x:v>2</x:v>
      </x:c>
      <x:c r="I84" s="31" t="str">
        <x:v>清心破妄</x:v>
      </x:c>
      <x:c r="J84" s="20" t="str">
        <x:v>强行破除全部控制并短时免控，随后心神虚弱</x:v>
      </x:c>
      <x:c r="K84" s="20" t="str">
        <x:v>核心</x:v>
      </x:c>
      <x:c r="L84" s="20" t="str">
        <x:v>Buff移除＋Buff</x:v>
      </x:c>
      <x:c r="M84" s="20" t="str">
        <x:v>全控解除／免控</x:v>
      </x:c>
      <x:c r="N84" s="20" t="str">
        <x:v>★新增Buff</x:v>
      </x:c>
      <x:c r="O84" s="20" t="str">
        <x:v>立即解除并短时免疫</x:v>
      </x:c>
      <x:c r="P84" s="20" t="str">
        <x:v>Buff</x:v>
      </x:c>
      <x:c r="Q84" s="20" t="str">
        <x:v>心神虚弱</x:v>
      </x:c>
      <x:c r="R84" s="20" t="str">
        <x:v>★新增Buff</x:v>
      </x:c>
      <x:c r="S84" s="20" t="str">
        <x:v>战斗救急</x:v>
      </x:c>
    </x:row>
    <x:row r="85" ht="46" customHeight="1">
      <x:c r="A85" s="30" t="n">
        <x:v>81</x:v>
      </x:c>
      <x:c r="B85" s="31" t="str">
        <x:v>木苦寒</x:v>
      </x:c>
      <x:c r="C85" s="31" t="str">
        <x:v>心神核</x:v>
      </x:c>
      <x:c r="D85" s="31" t="str">
        <x:v>苦</x:v>
      </x:c>
      <x:c r="E85" s="31" t="str">
        <x:v>心神</x:v>
      </x:c>
      <x:c r="F85" s="31" t="str">
        <x:v>木</x:v>
      </x:c>
      <x:c r="G85" s="31" t="str">
        <x:v>寒</x:v>
      </x:c>
      <x:c r="H85" s="32" t="n">
        <x:v>-2</x:v>
      </x:c>
      <x:c r="I85" s="31" t="str">
        <x:v>滋长神识</x:v>
      </x:c>
      <x:c r="J85" s="20" t="str">
        <x:v>长时缓慢增长神识上限，累计总量最高</x:v>
      </x:c>
      <x:c r="K85" s="20" t="str">
        <x:v>核心</x:v>
      </x:c>
      <x:c r="L85" s="20" t="str">
        <x:v>永久属性／Buff</x:v>
      </x:c>
      <x:c r="M85" s="20" t="str">
        <x:v>神识上限</x:v>
      </x:c>
      <x:c r="N85" s="20" t="str">
        <x:v>待新增：神识上限</x:v>
      </x:c>
      <x:c r="O85" s="20" t="str">
        <x:v>期满或分段永久写入</x:v>
      </x:c>
      <x:c r="P85" s="20" t="str"/>
      <x:c r="Q85" s="20" t="str"/>
      <x:c r="R85" s="20" t="str"/>
      <x:c r="S85" s="20" t="str">
        <x:v>高阶养神</x:v>
      </x:c>
    </x:row>
    <x:row r="86" ht="46" customHeight="1">
      <x:c r="A86" s="30" t="n">
        <x:v>82</x:v>
      </x:c>
      <x:c r="B86" s="31" t="str">
        <x:v>木苦凉</x:v>
      </x:c>
      <x:c r="C86" s="31" t="str">
        <x:v>心神核</x:v>
      </x:c>
      <x:c r="D86" s="31" t="str">
        <x:v>苦</x:v>
      </x:c>
      <x:c r="E86" s="31" t="str">
        <x:v>心神</x:v>
      </x:c>
      <x:c r="F86" s="31" t="str">
        <x:v>木</x:v>
      </x:c>
      <x:c r="G86" s="31" t="str">
        <x:v>凉</x:v>
      </x:c>
      <x:c r="H86" s="32" t="n">
        <x:v>-1</x:v>
      </x:c>
      <x:c r="I86" s="31" t="str">
        <x:v>滋长神识</x:v>
      </x:c>
      <x:c r="J86" s="20" t="str">
        <x:v>持续修复并提高神识操控</x:v>
      </x:c>
      <x:c r="K86" s="20" t="str">
        <x:v>常用</x:v>
      </x:c>
      <x:c r="L86" s="20" t="str">
        <x:v>属性Buff</x:v>
      </x:c>
      <x:c r="M86" s="20" t="str">
        <x:v>神识操控</x:v>
      </x:c>
      <x:c r="N86" s="20" t="str">
        <x:v>待新增：神识操控</x:v>
      </x:c>
      <x:c r="O86" s="20" t="str">
        <x:v>中低幅长持续</x:v>
      </x:c>
      <x:c r="P86" s="20" t="str"/>
      <x:c r="Q86" s="20" t="str"/>
      <x:c r="R86" s="20" t="str"/>
      <x:c r="S86" s="20" t="str">
        <x:v>稳定养神</x:v>
      </x:c>
    </x:row>
    <x:row r="87" ht="46" customHeight="1">
      <x:c r="A87" s="30" t="n">
        <x:v>83</x:v>
      </x:c>
      <x:c r="B87" s="31" t="str">
        <x:v>木苦平</x:v>
      </x:c>
      <x:c r="C87" s="31" t="str">
        <x:v>心神核</x:v>
      </x:c>
      <x:c r="D87" s="31" t="str">
        <x:v>苦</x:v>
      </x:c>
      <x:c r="E87" s="31" t="str">
        <x:v>心神</x:v>
      </x:c>
      <x:c r="F87" s="31" t="str">
        <x:v>木</x:v>
      </x:c>
      <x:c r="G87" s="31" t="str">
        <x:v>平</x:v>
      </x:c>
      <x:c r="H87" s="32" t="n">
        <x:v>0</x:v>
      </x:c>
      <x:c r="I87" s="31" t="str">
        <x:v>滋长神识</x:v>
      </x:c>
      <x:c r="J87" s="20" t="str">
        <x:v>永久提高神识上限</x:v>
      </x:c>
      <x:c r="K87" s="20" t="str">
        <x:v>核心</x:v>
      </x:c>
      <x:c r="L87" s="20" t="str">
        <x:v>永久属性</x:v>
      </x:c>
      <x:c r="M87" s="20" t="str">
        <x:v>神识上限</x:v>
      </x:c>
      <x:c r="N87" s="20" t="str">
        <x:v>待新增：神识上限</x:v>
      </x:c>
      <x:c r="O87" s="20" t="str">
        <x:v>固定小幅永久写入</x:v>
      </x:c>
      <x:c r="P87" s="20" t="str"/>
      <x:c r="Q87" s="20" t="str"/>
      <x:c r="R87" s="20" t="str"/>
      <x:c r="S87" s="20" t="str">
        <x:v>木苦标准本效</x:v>
      </x:c>
    </x:row>
    <x:row r="88" ht="46" customHeight="1">
      <x:c r="A88" s="30" t="n">
        <x:v>84</x:v>
      </x:c>
      <x:c r="B88" s="31" t="str">
        <x:v>木苦温</x:v>
      </x:c>
      <x:c r="C88" s="31" t="str">
        <x:v>心神核</x:v>
      </x:c>
      <x:c r="D88" s="31" t="str">
        <x:v>苦</x:v>
      </x:c>
      <x:c r="E88" s="31" t="str">
        <x:v>心神</x:v>
      </x:c>
      <x:c r="F88" s="31" t="str">
        <x:v>木</x:v>
      </x:c>
      <x:c r="G88" s="31" t="str">
        <x:v>温</x:v>
      </x:c>
      <x:c r="H88" s="32" t="n">
        <x:v>1</x:v>
      </x:c>
      <x:c r="I88" s="31" t="str">
        <x:v>滋长神识</x:v>
      </x:c>
      <x:c r="J88" s="20" t="str">
        <x:v>短时提高神识操控，使炼丹与御器更精确</x:v>
      </x:c>
      <x:c r="K88" s="20" t="str">
        <x:v>常用</x:v>
      </x:c>
      <x:c r="L88" s="20" t="str">
        <x:v>属性Buff</x:v>
      </x:c>
      <x:c r="M88" s="20" t="str">
        <x:v>神识操控</x:v>
      </x:c>
      <x:c r="N88" s="20" t="str">
        <x:v>待新增：神识操控</x:v>
      </x:c>
      <x:c r="O88" s="20" t="str">
        <x:v>高幅短持续</x:v>
      </x:c>
      <x:c r="P88" s="20" t="str"/>
      <x:c r="Q88" s="20" t="str"/>
      <x:c r="R88" s="20" t="str"/>
      <x:c r="S88" s="20" t="str">
        <x:v>温主速／精度</x:v>
      </x:c>
    </x:row>
    <x:row r="89" ht="46" customHeight="1">
      <x:c r="A89" s="30" t="n">
        <x:v>85</x:v>
      </x:c>
      <x:c r="B89" s="31" t="str">
        <x:v>木苦热</x:v>
      </x:c>
      <x:c r="C89" s="31" t="str">
        <x:v>心神核</x:v>
      </x:c>
      <x:c r="D89" s="31" t="str">
        <x:v>苦</x:v>
      </x:c>
      <x:c r="E89" s="31" t="str">
        <x:v>心神</x:v>
      </x:c>
      <x:c r="F89" s="31" t="str">
        <x:v>木</x:v>
      </x:c>
      <x:c r="G89" s="31" t="str">
        <x:v>热</x:v>
      </x:c>
      <x:c r="H89" s="32" t="n">
        <x:v>2</x:v>
      </x:c>
      <x:c r="I89" s="31" t="str">
        <x:v>滋长神识</x:v>
      </x:c>
      <x:c r="J89" s="20" t="str">
        <x:v>短时大幅提高神识上限与操控，结束后神识灼伤</x:v>
      </x:c>
      <x:c r="K89" s="20" t="str">
        <x:v>核心</x:v>
      </x:c>
      <x:c r="L89" s="20" t="str">
        <x:v>属性Buff</x:v>
      </x:c>
      <x:c r="M89" s="20" t="str">
        <x:v>神识上限／操控</x:v>
      </x:c>
      <x:c r="N89" s="20" t="str">
        <x:v>待新增两属性</x:v>
      </x:c>
      <x:c r="O89" s="20" t="str">
        <x:v>极高幅短持续</x:v>
      </x:c>
      <x:c r="P89" s="20" t="str">
        <x:v>Buff</x:v>
      </x:c>
      <x:c r="Q89" s="20" t="str">
        <x:v>神识灼伤</x:v>
      </x:c>
      <x:c r="R89" s="20" t="str">
        <x:v>★新增Buff</x:v>
      </x:c>
      <x:c r="S89" s="20" t="str">
        <x:v>爆发心神</x:v>
      </x:c>
    </x:row>
    <x:row r="90" ht="46" customHeight="1">
      <x:c r="A90" s="30" t="n">
        <x:v>86</x:v>
      </x:c>
      <x:c r="B90" s="31" t="str">
        <x:v>水苦寒</x:v>
      </x:c>
      <x:c r="C90" s="31" t="str">
        <x:v>心神核</x:v>
      </x:c>
      <x:c r="D90" s="31" t="str">
        <x:v>苦</x:v>
      </x:c>
      <x:c r="E90" s="31" t="str">
        <x:v>心神</x:v>
      </x:c>
      <x:c r="F90" s="31" t="str">
        <x:v>水</x:v>
      </x:c>
      <x:c r="G90" s="31" t="str">
        <x:v>寒</x:v>
      </x:c>
      <x:c r="H90" s="32" t="n">
        <x:v>-2</x:v>
      </x:c>
      <x:c r="I90" s="31" t="str">
        <x:v>流转感知</x:v>
      </x:c>
      <x:c r="J90" s="20" t="str">
        <x:v>长时扩大警戒与感知范围，累计侦测收益最高</x:v>
      </x:c>
      <x:c r="K90" s="20" t="str">
        <x:v>常用</x:v>
      </x:c>
      <x:c r="L90" s="20" t="str">
        <x:v>属性Buff</x:v>
      </x:c>
      <x:c r="M90" s="20" t="str">
        <x:v>警戒范围</x:v>
      </x:c>
      <x:c r="N90" s="20" t="str">
        <x:v>attr_config:58</x:v>
      </x:c>
      <x:c r="O90" s="20" t="str">
        <x:v>低幅长持续</x:v>
      </x:c>
      <x:c r="P90" s="20" t="str"/>
      <x:c r="Q90" s="20" t="str"/>
      <x:c r="R90" s="20" t="str"/>
      <x:c r="S90" s="20" t="str">
        <x:v>远察</x:v>
      </x:c>
    </x:row>
    <x:row r="91" ht="46" customHeight="1">
      <x:c r="A91" s="30" t="n">
        <x:v>87</x:v>
      </x:c>
      <x:c r="B91" s="31" t="str">
        <x:v>水苦凉</x:v>
      </x:c>
      <x:c r="C91" s="31" t="str">
        <x:v>心神核</x:v>
      </x:c>
      <x:c r="D91" s="31" t="str">
        <x:v>苦</x:v>
      </x:c>
      <x:c r="E91" s="31" t="str">
        <x:v>心神</x:v>
      </x:c>
      <x:c r="F91" s="31" t="str">
        <x:v>水</x:v>
      </x:c>
      <x:c r="G91" s="31" t="str">
        <x:v>凉</x:v>
      </x:c>
      <x:c r="H91" s="32" t="n">
        <x:v>-1</x:v>
      </x:c>
      <x:c r="I91" s="31" t="str">
        <x:v>流转感知</x:v>
      </x:c>
      <x:c r="J91" s="20" t="str">
        <x:v>持续提高闪避与警戒范围</x:v>
      </x:c>
      <x:c r="K91" s="20" t="str">
        <x:v>常用</x:v>
      </x:c>
      <x:c r="L91" s="20" t="str">
        <x:v>属性Buff</x:v>
      </x:c>
      <x:c r="M91" s="20" t="str">
        <x:v>闪避／警戒范围</x:v>
      </x:c>
      <x:c r="N91" s="20" t="str">
        <x:v>attr_config:13／58</x:v>
      </x:c>
      <x:c r="O91" s="20" t="str">
        <x:v>中低幅长持续</x:v>
      </x:c>
      <x:c r="P91" s="20" t="str"/>
      <x:c r="Q91" s="20" t="str"/>
      <x:c r="R91" s="20" t="str"/>
      <x:c r="S91" s="20" t="str">
        <x:v>感知流转</x:v>
      </x:c>
    </x:row>
    <x:row r="92" ht="46" customHeight="1">
      <x:c r="A92" s="30" t="n">
        <x:v>88</x:v>
      </x:c>
      <x:c r="B92" s="31" t="str">
        <x:v>水苦平</x:v>
      </x:c>
      <x:c r="C92" s="31" t="str">
        <x:v>心神核</x:v>
      </x:c>
      <x:c r="D92" s="31" t="str">
        <x:v>苦</x:v>
      </x:c>
      <x:c r="E92" s="31" t="str">
        <x:v>心神</x:v>
      </x:c>
      <x:c r="F92" s="31" t="str">
        <x:v>水</x:v>
      </x:c>
      <x:c r="G92" s="31" t="str">
        <x:v>平</x:v>
      </x:c>
      <x:c r="H92" s="32" t="n">
        <x:v>0</x:v>
      </x:c>
      <x:c r="I92" s="31" t="str">
        <x:v>流转感知</x:v>
      </x:c>
      <x:c r="J92" s="20" t="str">
        <x:v>提高命中与警戒范围</x:v>
      </x:c>
      <x:c r="K92" s="20" t="str">
        <x:v>常用</x:v>
      </x:c>
      <x:c r="L92" s="20" t="str">
        <x:v>属性Buff</x:v>
      </x:c>
      <x:c r="M92" s="20" t="str">
        <x:v>命中／警戒范围</x:v>
      </x:c>
      <x:c r="N92" s="20" t="str">
        <x:v>attr_config:12／58</x:v>
      </x:c>
      <x:c r="O92" s="20" t="str">
        <x:v>标准幅度与持续</x:v>
      </x:c>
      <x:c r="P92" s="20" t="str"/>
      <x:c r="Q92" s="20" t="str"/>
      <x:c r="R92" s="20" t="str"/>
      <x:c r="S92" s="20" t="str">
        <x:v>水苦标准本效</x:v>
      </x:c>
    </x:row>
    <x:row r="93" ht="46" customHeight="1">
      <x:c r="A93" s="30" t="n">
        <x:v>89</x:v>
      </x:c>
      <x:c r="B93" s="31" t="str">
        <x:v>水苦温</x:v>
      </x:c>
      <x:c r="C93" s="31" t="str">
        <x:v>心神核</x:v>
      </x:c>
      <x:c r="D93" s="31" t="str">
        <x:v>苦</x:v>
      </x:c>
      <x:c r="E93" s="31" t="str">
        <x:v>心神</x:v>
      </x:c>
      <x:c r="F93" s="31" t="str">
        <x:v>水</x:v>
      </x:c>
      <x:c r="G93" s="31" t="str">
        <x:v>温</x:v>
      </x:c>
      <x:c r="H93" s="32" t="n">
        <x:v>1</x:v>
      </x:c>
      <x:c r="I93" s="31" t="str">
        <x:v>流转感知</x:v>
      </x:c>
      <x:c r="J93" s="20" t="str">
        <x:v>短时提高命中、闪避与反应范围</x:v>
      </x:c>
      <x:c r="K93" s="20" t="str">
        <x:v>常用</x:v>
      </x:c>
      <x:c r="L93" s="20" t="str">
        <x:v>属性Buff</x:v>
      </x:c>
      <x:c r="M93" s="20" t="str">
        <x:v>命中／闪避／攻击范围</x:v>
      </x:c>
      <x:c r="N93" s="20" t="str">
        <x:v>attr_config:12／13／57</x:v>
      </x:c>
      <x:c r="O93" s="20" t="str">
        <x:v>高幅短持续</x:v>
      </x:c>
      <x:c r="P93" s="20" t="str"/>
      <x:c r="Q93" s="20" t="str"/>
      <x:c r="R93" s="20" t="str"/>
      <x:c r="S93" s="20" t="str">
        <x:v>快速感知</x:v>
      </x:c>
    </x:row>
    <x:row r="94" ht="46" customHeight="1">
      <x:c r="A94" s="30" t="n">
        <x:v>90</x:v>
      </x:c>
      <x:c r="B94" s="31" t="str">
        <x:v>水苦热</x:v>
      </x:c>
      <x:c r="C94" s="31" t="str">
        <x:v>心神核</x:v>
      </x:c>
      <x:c r="D94" s="31" t="str">
        <x:v>苦</x:v>
      </x:c>
      <x:c r="E94" s="31" t="str">
        <x:v>心神</x:v>
      </x:c>
      <x:c r="F94" s="31" t="str">
        <x:v>水</x:v>
      </x:c>
      <x:c r="G94" s="31" t="str">
        <x:v>热</x:v>
      </x:c>
      <x:c r="H94" s="32" t="n">
        <x:v>2</x:v>
      </x:c>
      <x:c r="I94" s="31" t="str">
        <x:v>流转感知</x:v>
      </x:c>
      <x:c r="J94" s="20" t="str">
        <x:v>短时洞察范围内隐匿目标并显著扩大攻击范围</x:v>
      </x:c>
      <x:c r="K94" s="20" t="str">
        <x:v>偏门</x:v>
      </x:c>
      <x:c r="L94" s="20" t="str">
        <x:v>调用技能＋属性Buff</x:v>
      </x:c>
      <x:c r="M94" s="20" t="str">
        <x:v>显隐／攻击范围</x:v>
      </x:c>
      <x:c r="N94" s="20" t="str">
        <x:v>★新增调用技能／attr_config:57</x:v>
      </x:c>
      <x:c r="O94" s="20" t="str">
        <x:v>范围显形并短时加射程</x:v>
      </x:c>
      <x:c r="P94" s="20" t="str">
        <x:v>Buff</x:v>
      </x:c>
      <x:c r="Q94" s="20" t="str">
        <x:v>感知过载</x:v>
      </x:c>
      <x:c r="R94" s="20" t="str">
        <x:v>★新增Buff</x:v>
      </x:c>
      <x:c r="S94" s="20" t="str">
        <x:v>侦察爆发</x:v>
      </x:c>
    </x:row>
    <x:row r="95" ht="46" customHeight="1">
      <x:c r="A95" s="30" t="n">
        <x:v>91</x:v>
      </x:c>
      <x:c r="B95" s="31" t="str">
        <x:v>火苦寒</x:v>
      </x:c>
      <x:c r="C95" s="31" t="str">
        <x:v>心神核</x:v>
      </x:c>
      <x:c r="D95" s="31" t="str">
        <x:v>苦</x:v>
      </x:c>
      <x:c r="E95" s="31" t="str">
        <x:v>心神</x:v>
      </x:c>
      <x:c r="F95" s="31" t="str">
        <x:v>火</x:v>
      </x:c>
      <x:c r="G95" s="31" t="str">
        <x:v>寒</x:v>
      </x:c>
      <x:c r="H95" s="32" t="n">
        <x:v>-2</x:v>
      </x:c>
      <x:c r="I95" s="31" t="str">
        <x:v>点燃心神</x:v>
      </x:c>
      <x:c r="J95" s="20" t="str">
        <x:v>长时小幅提高暴击收益，累计收益最高</x:v>
      </x:c>
      <x:c r="K95" s="20" t="str">
        <x:v>常用</x:v>
      </x:c>
      <x:c r="L95" s="20" t="str">
        <x:v>属性Buff</x:v>
      </x:c>
      <x:c r="M95" s="20" t="str">
        <x:v>暴击率／暴击伤害</x:v>
      </x:c>
      <x:c r="N95" s="20" t="str">
        <x:v>attr_config:14／15</x:v>
      </x:c>
      <x:c r="O95" s="20" t="str">
        <x:v>低幅长持续</x:v>
      </x:c>
      <x:c r="P95" s="20" t="str"/>
      <x:c r="Q95" s="20" t="str"/>
      <x:c r="R95" s="20" t="str"/>
      <x:c r="S95" s="20" t="str">
        <x:v>长线专注</x:v>
      </x:c>
    </x:row>
    <x:row r="96" ht="46" customHeight="1">
      <x:c r="A96" s="30" t="n">
        <x:v>92</x:v>
      </x:c>
      <x:c r="B96" s="31" t="str">
        <x:v>火苦凉</x:v>
      </x:c>
      <x:c r="C96" s="31" t="str">
        <x:v>心神核</x:v>
      </x:c>
      <x:c r="D96" s="31" t="str">
        <x:v>苦</x:v>
      </x:c>
      <x:c r="E96" s="31" t="str">
        <x:v>心神</x:v>
      </x:c>
      <x:c r="F96" s="31" t="str">
        <x:v>火</x:v>
      </x:c>
      <x:c r="G96" s="31" t="str">
        <x:v>凉</x:v>
      </x:c>
      <x:c r="H96" s="32" t="n">
        <x:v>-1</x:v>
      </x:c>
      <x:c r="I96" s="31" t="str">
        <x:v>点燃心神</x:v>
      </x:c>
      <x:c r="J96" s="20" t="str">
        <x:v>稳定提高命中与暴击率</x:v>
      </x:c>
      <x:c r="K96" s="20" t="str">
        <x:v>常用</x:v>
      </x:c>
      <x:c r="L96" s="20" t="str">
        <x:v>属性Buff</x:v>
      </x:c>
      <x:c r="M96" s="20" t="str">
        <x:v>命中／暴击率</x:v>
      </x:c>
      <x:c r="N96" s="20" t="str">
        <x:v>attr_config:12／14</x:v>
      </x:c>
      <x:c r="O96" s="20" t="str">
        <x:v>中幅长持续</x:v>
      </x:c>
      <x:c r="P96" s="20" t="str"/>
      <x:c r="Q96" s="20" t="str"/>
      <x:c r="R96" s="20" t="str"/>
      <x:c r="S96" s="20" t="str">
        <x:v>持续专注</x:v>
      </x:c>
    </x:row>
    <x:row r="97" ht="46" customHeight="1">
      <x:c r="A97" s="30" t="n">
        <x:v>93</x:v>
      </x:c>
      <x:c r="B97" s="31" t="str">
        <x:v>火苦平</x:v>
      </x:c>
      <x:c r="C97" s="31" t="str">
        <x:v>心神核</x:v>
      </x:c>
      <x:c r="D97" s="31" t="str">
        <x:v>苦</x:v>
      </x:c>
      <x:c r="E97" s="31" t="str">
        <x:v>心神</x:v>
      </x:c>
      <x:c r="F97" s="31" t="str">
        <x:v>火</x:v>
      </x:c>
      <x:c r="G97" s="31" t="str">
        <x:v>平</x:v>
      </x:c>
      <x:c r="H97" s="32" t="n">
        <x:v>0</x:v>
      </x:c>
      <x:c r="I97" s="31" t="str">
        <x:v>点燃心神</x:v>
      </x:c>
      <x:c r="J97" s="20" t="str">
        <x:v>提高暴击率</x:v>
      </x:c>
      <x:c r="K97" s="20" t="str">
        <x:v>常用</x:v>
      </x:c>
      <x:c r="L97" s="20" t="str">
        <x:v>属性Buff</x:v>
      </x:c>
      <x:c r="M97" s="20" t="str">
        <x:v>暴击率</x:v>
      </x:c>
      <x:c r="N97" s="20" t="str">
        <x:v>attr_config:14</x:v>
      </x:c>
      <x:c r="O97" s="20" t="str">
        <x:v>标准幅度与持续</x:v>
      </x:c>
      <x:c r="P97" s="20" t="str"/>
      <x:c r="Q97" s="20" t="str"/>
      <x:c r="R97" s="20" t="str"/>
      <x:c r="S97" s="20" t="str">
        <x:v>火苦标准本效</x:v>
      </x:c>
    </x:row>
    <x:row r="98" ht="46" customHeight="1">
      <x:c r="A98" s="30" t="n">
        <x:v>94</x:v>
      </x:c>
      <x:c r="B98" s="31" t="str">
        <x:v>火苦温</x:v>
      </x:c>
      <x:c r="C98" s="31" t="str">
        <x:v>心神核</x:v>
      </x:c>
      <x:c r="D98" s="31" t="str">
        <x:v>苦</x:v>
      </x:c>
      <x:c r="E98" s="31" t="str">
        <x:v>心神</x:v>
      </x:c>
      <x:c r="F98" s="31" t="str">
        <x:v>火</x:v>
      </x:c>
      <x:c r="G98" s="31" t="str">
        <x:v>温</x:v>
      </x:c>
      <x:c r="H98" s="32" t="n">
        <x:v>1</x:v>
      </x:c>
      <x:c r="I98" s="31" t="str">
        <x:v>点燃心神</x:v>
      </x:c>
      <x:c r="J98" s="20" t="str">
        <x:v>短时提高暴击伤害与反应速度</x:v>
      </x:c>
      <x:c r="K98" s="20" t="str">
        <x:v>常用</x:v>
      </x:c>
      <x:c r="L98" s="20" t="str">
        <x:v>属性Buff</x:v>
      </x:c>
      <x:c r="M98" s="20" t="str">
        <x:v>暴击伤害／命中</x:v>
      </x:c>
      <x:c r="N98" s="20" t="str">
        <x:v>attr_config:15／17／12</x:v>
      </x:c>
      <x:c r="O98" s="20" t="str">
        <x:v>高幅短持续</x:v>
      </x:c>
      <x:c r="P98" s="20" t="str"/>
      <x:c r="Q98" s="20" t="str"/>
      <x:c r="R98" s="20" t="str"/>
      <x:c r="S98" s="20" t="str">
        <x:v>温主速</x:v>
      </x:c>
    </x:row>
    <x:row r="99" ht="46" customHeight="1">
      <x:c r="A99" s="30" t="n">
        <x:v>95</x:v>
      </x:c>
      <x:c r="B99" s="31" t="str">
        <x:v>火苦热</x:v>
      </x:c>
      <x:c r="C99" s="31" t="str">
        <x:v>心神核</x:v>
      </x:c>
      <x:c r="D99" s="31" t="str">
        <x:v>苦</x:v>
      </x:c>
      <x:c r="E99" s="31" t="str">
        <x:v>心神</x:v>
      </x:c>
      <x:c r="F99" s="31" t="str">
        <x:v>火</x:v>
      </x:c>
      <x:c r="G99" s="31" t="str">
        <x:v>热</x:v>
      </x:c>
      <x:c r="H99" s="32" t="n">
        <x:v>2</x:v>
      </x:c>
      <x:c r="I99" s="31" t="str">
        <x:v>点燃心神</x:v>
      </x:c>
      <x:c r="J99" s="20" t="str">
        <x:v>短时进入极度专注，暴击爆发大增，结束后心神虚弱</x:v>
      </x:c>
      <x:c r="K99" s="20" t="str">
        <x:v>核心</x:v>
      </x:c>
      <x:c r="L99" s="20" t="str">
        <x:v>属性Buff</x:v>
      </x:c>
      <x:c r="M99" s="20" t="str">
        <x:v>暴击率／暴击伤害</x:v>
      </x:c>
      <x:c r="N99" s="20" t="str">
        <x:v>attr_config:14／15／17</x:v>
      </x:c>
      <x:c r="O99" s="20" t="str">
        <x:v>极高幅短持续</x:v>
      </x:c>
      <x:c r="P99" s="20" t="str">
        <x:v>Buff</x:v>
      </x:c>
      <x:c r="Q99" s="20" t="str">
        <x:v>心神虚弱</x:v>
      </x:c>
      <x:c r="R99" s="20" t="str">
        <x:v>★新增Buff</x:v>
      </x:c>
      <x:c r="S99" s="20" t="str">
        <x:v>热主爆</x:v>
      </x:c>
    </x:row>
    <x:row r="100" ht="46" customHeight="1">
      <x:c r="A100" s="30" t="n">
        <x:v>96</x:v>
      </x:c>
      <x:c r="B100" s="31" t="str">
        <x:v>土苦寒</x:v>
      </x:c>
      <x:c r="C100" s="31" t="str">
        <x:v>心神核</x:v>
      </x:c>
      <x:c r="D100" s="31" t="str">
        <x:v>苦</x:v>
      </x:c>
      <x:c r="E100" s="31" t="str">
        <x:v>心神</x:v>
      </x:c>
      <x:c r="F100" s="31" t="str">
        <x:v>土</x:v>
      </x:c>
      <x:c r="G100" s="31" t="str">
        <x:v>寒</x:v>
      </x:c>
      <x:c r="H100" s="32" t="n">
        <x:v>-2</x:v>
      </x:c>
      <x:c r="I100" s="31" t="str">
        <x:v>镇定心神</x:v>
      </x:c>
      <x:c r="J100" s="20" t="str">
        <x:v>长时提高神识稳定与免控能力</x:v>
      </x:c>
      <x:c r="K100" s="20" t="str">
        <x:v>常用</x:v>
      </x:c>
      <x:c r="L100" s="20" t="str">
        <x:v>Buff</x:v>
      </x:c>
      <x:c r="M100" s="20" t="str">
        <x:v>神识稳定／免控</x:v>
      </x:c>
      <x:c r="N100" s="20" t="str">
        <x:v>★新增Buff</x:v>
      </x:c>
      <x:c r="O100" s="20" t="str">
        <x:v>低幅长持续</x:v>
      </x:c>
      <x:c r="P100" s="20" t="str"/>
      <x:c r="Q100" s="20" t="str"/>
      <x:c r="R100" s="20" t="str"/>
      <x:c r="S100" s="20" t="str">
        <x:v>厚重守心</x:v>
      </x:c>
    </x:row>
    <x:row r="101" ht="46" customHeight="1">
      <x:c r="A101" s="30" t="n">
        <x:v>97</x:v>
      </x:c>
      <x:c r="B101" s="31" t="str">
        <x:v>土苦凉</x:v>
      </x:c>
      <x:c r="C101" s="31" t="str">
        <x:v>心神核</x:v>
      </x:c>
      <x:c r="D101" s="31" t="str">
        <x:v>苦</x:v>
      </x:c>
      <x:c r="E101" s="31" t="str">
        <x:v>心神</x:v>
      </x:c>
      <x:c r="F101" s="31" t="str">
        <x:v>土</x:v>
      </x:c>
      <x:c r="G101" s="31" t="str">
        <x:v>凉</x:v>
      </x:c>
      <x:c r="H101" s="32" t="n">
        <x:v>-1</x:v>
      </x:c>
      <x:c r="I101" s="31" t="str">
        <x:v>镇定心神</x:v>
      </x:c>
      <x:c r="J101" s="20" t="str">
        <x:v>持续提高免暴击率与精神抗性</x:v>
      </x:c>
      <x:c r="K101" s="20" t="str">
        <x:v>常用</x:v>
      </x:c>
      <x:c r="L101" s="20" t="str">
        <x:v>属性Buff</x:v>
      </x:c>
      <x:c r="M101" s="20" t="str">
        <x:v>免暴击率</x:v>
      </x:c>
      <x:c r="N101" s="20" t="str">
        <x:v>attr_config:16</x:v>
      </x:c>
      <x:c r="O101" s="20" t="str">
        <x:v>中低幅长持续</x:v>
      </x:c>
      <x:c r="P101" s="20" t="str">
        <x:v>Buff</x:v>
      </x:c>
      <x:c r="Q101" s="20" t="str">
        <x:v>精神抗性</x:v>
      </x:c>
      <x:c r="R101" s="20" t="str">
        <x:v>★新增Buff</x:v>
      </x:c>
      <x:c r="S101" s="20" t="str">
        <x:v>稳定守心</x:v>
      </x:c>
    </x:row>
    <x:row r="102" ht="46" customHeight="1">
      <x:c r="A102" s="30" t="n">
        <x:v>98</x:v>
      </x:c>
      <x:c r="B102" s="31" t="str">
        <x:v>土苦平</x:v>
      </x:c>
      <x:c r="C102" s="31" t="str">
        <x:v>心神核</x:v>
      </x:c>
      <x:c r="D102" s="31" t="str">
        <x:v>苦</x:v>
      </x:c>
      <x:c r="E102" s="31" t="str">
        <x:v>心神</x:v>
      </x:c>
      <x:c r="F102" s="31" t="str">
        <x:v>土</x:v>
      </x:c>
      <x:c r="G102" s="31" t="str">
        <x:v>平</x:v>
      </x:c>
      <x:c r="H102" s="32" t="n">
        <x:v>0</x:v>
      </x:c>
      <x:c r="I102" s="31" t="str">
        <x:v>镇定心神</x:v>
      </x:c>
      <x:c r="J102" s="20" t="str">
        <x:v>永久提高神识操控</x:v>
      </x:c>
      <x:c r="K102" s="20" t="str">
        <x:v>核心</x:v>
      </x:c>
      <x:c r="L102" s="20" t="str">
        <x:v>永久属性</x:v>
      </x:c>
      <x:c r="M102" s="20" t="str">
        <x:v>神识操控</x:v>
      </x:c>
      <x:c r="N102" s="20" t="str">
        <x:v>待新增：神识操控</x:v>
      </x:c>
      <x:c r="O102" s="20" t="str">
        <x:v>固定小幅永久写入</x:v>
      </x:c>
      <x:c r="P102" s="20" t="str"/>
      <x:c r="Q102" s="20" t="str"/>
      <x:c r="R102" s="20" t="str"/>
      <x:c r="S102" s="20" t="str">
        <x:v>土苦标准本效</x:v>
      </x:c>
    </x:row>
    <x:row r="103" ht="46" customHeight="1">
      <x:c r="A103" s="30" t="n">
        <x:v>99</x:v>
      </x:c>
      <x:c r="B103" s="31" t="str">
        <x:v>土苦温</x:v>
      </x:c>
      <x:c r="C103" s="31" t="str">
        <x:v>心神核</x:v>
      </x:c>
      <x:c r="D103" s="31" t="str">
        <x:v>苦</x:v>
      </x:c>
      <x:c r="E103" s="31" t="str">
        <x:v>心神</x:v>
      </x:c>
      <x:c r="F103" s="31" t="str">
        <x:v>土</x:v>
      </x:c>
      <x:c r="G103" s="31" t="str">
        <x:v>温</x:v>
      </x:c>
      <x:c r="H103" s="32" t="n">
        <x:v>1</x:v>
      </x:c>
      <x:c r="I103" s="31" t="str">
        <x:v>镇定心神</x:v>
      </x:c>
      <x:c r="J103" s="20" t="str">
        <x:v>短时提高天运、天佑与神识操控</x:v>
      </x:c>
      <x:c r="K103" s="20" t="str">
        <x:v>偏门</x:v>
      </x:c>
      <x:c r="L103" s="20" t="str">
        <x:v>属性Buff</x:v>
      </x:c>
      <x:c r="M103" s="20" t="str">
        <x:v>天运／天佑／神识操控</x:v>
      </x:c>
      <x:c r="N103" s="20" t="str">
        <x:v>attr_config:11／59／待新增</x:v>
      </x:c>
      <x:c r="O103" s="20" t="str">
        <x:v>高幅短持续</x:v>
      </x:c>
      <x:c r="P103" s="20" t="str"/>
      <x:c r="Q103" s="20" t="str"/>
      <x:c r="R103" s="20" t="str"/>
      <x:c r="S103" s="20" t="str">
        <x:v>快速定神</x:v>
      </x:c>
    </x:row>
    <x:row r="104" ht="46" customHeight="1">
      <x:c r="A104" s="30" t="n">
        <x:v>100</x:v>
      </x:c>
      <x:c r="B104" s="31" t="str">
        <x:v>土苦热</x:v>
      </x:c>
      <x:c r="C104" s="31" t="str">
        <x:v>心神核</x:v>
      </x:c>
      <x:c r="D104" s="31" t="str">
        <x:v>苦</x:v>
      </x:c>
      <x:c r="E104" s="31" t="str">
        <x:v>心神</x:v>
      </x:c>
      <x:c r="F104" s="31" t="str">
        <x:v>土</x:v>
      </x:c>
      <x:c r="G104" s="31" t="str">
        <x:v>热</x:v>
      </x:c>
      <x:c r="H104" s="32" t="n">
        <x:v>2</x:v>
      </x:c>
      <x:c r="I104" s="31" t="str">
        <x:v>镇定心神</x:v>
      </x:c>
      <x:c r="J104" s="20" t="str">
        <x:v>生成一次心神屏障，抵挡控制或致命心神冲击</x:v>
      </x:c>
      <x:c r="K104" s="20" t="str">
        <x:v>偏门</x:v>
      </x:c>
      <x:c r="L104" s="20" t="str">
        <x:v>Buff</x:v>
      </x:c>
      <x:c r="M104" s="20" t="str">
        <x:v>心神屏障</x:v>
      </x:c>
      <x:c r="N104" s="20" t="str">
        <x:v>★新增Buff</x:v>
      </x:c>
      <x:c r="O104" s="20" t="str">
        <x:v>消耗一次后移除</x:v>
      </x:c>
      <x:c r="P104" s="20" t="str">
        <x:v>Buff</x:v>
      </x:c>
      <x:c r="Q104" s="20" t="str">
        <x:v>反应迟滞</x:v>
      </x:c>
      <x:c r="R104" s="20" t="str">
        <x:v>★新增Buff</x:v>
      </x:c>
      <x:c r="S104" s="20" t="str">
        <x:v>瞬时绝对防护</x:v>
      </x:c>
    </x:row>
    <x:row r="105" ht="46" customHeight="1">
      <x:c r="A105" s="33" t="n">
        <x:v>101</x:v>
      </x:c>
      <x:c r="B105" s="34" t="str">
        <x:v>金酸寒</x:v>
      </x:c>
      <x:c r="C105" s="34" t="str">
        <x:v>血肉核</x:v>
      </x:c>
      <x:c r="D105" s="34" t="str">
        <x:v>酸</x:v>
      </x:c>
      <x:c r="E105" s="34" t="str">
        <x:v>气血／血肉</x:v>
      </x:c>
      <x:c r="F105" s="34" t="str">
        <x:v>金</x:v>
      </x:c>
      <x:c r="G105" s="34" t="str">
        <x:v>寒</x:v>
      </x:c>
      <x:c r="H105" s="35" t="n">
        <x:v>-2</x:v>
      </x:c>
      <x:c r="I105" s="34" t="str">
        <x:v>剔毒止创</x:v>
      </x:c>
      <x:c r="J105" s="20" t="str">
        <x:v>长时缓慢清除大量中毒、流血与外伤层数</x:v>
      </x:c>
      <x:c r="K105" s="20" t="str">
        <x:v>常用</x:v>
      </x:c>
      <x:c r="L105" s="20" t="str">
        <x:v>Buff移除</x:v>
      </x:c>
      <x:c r="M105" s="20" t="str">
        <x:v>中毒／流血／外伤</x:v>
      </x:c>
      <x:c r="N105" s="20" t="str">
        <x:v>buff_config:210002识别族／新增状态</x:v>
      </x:c>
      <x:c r="O105" s="20" t="str">
        <x:v>周期削减层数</x:v>
      </x:c>
      <x:c r="P105" s="20" t="str"/>
      <x:c r="Q105" s="20" t="str"/>
      <x:c r="R105" s="20" t="str"/>
      <x:c r="S105" s="20" t="str">
        <x:v>总清除量高</x:v>
      </x:c>
    </x:row>
    <x:row r="106" ht="46" customHeight="1">
      <x:c r="A106" s="33" t="n">
        <x:v>102</x:v>
      </x:c>
      <x:c r="B106" s="34" t="str">
        <x:v>金酸凉</x:v>
      </x:c>
      <x:c r="C106" s="34" t="str">
        <x:v>血肉核</x:v>
      </x:c>
      <x:c r="D106" s="34" t="str">
        <x:v>酸</x:v>
      </x:c>
      <x:c r="E106" s="34" t="str">
        <x:v>气血／血肉</x:v>
      </x:c>
      <x:c r="F106" s="34" t="str">
        <x:v>金</x:v>
      </x:c>
      <x:c r="G106" s="34" t="str">
        <x:v>凉</x:v>
      </x:c>
      <x:c r="H106" s="35" t="n">
        <x:v>-1</x:v>
      </x:c>
      <x:c r="I106" s="34" t="str">
        <x:v>剔毒止创</x:v>
      </x:c>
      <x:c r="J106" s="20" t="str">
        <x:v>持续缩短中毒、流血与外伤的剩余时间</x:v>
      </x:c>
      <x:c r="K106" s="20" t="str">
        <x:v>常用</x:v>
      </x:c>
      <x:c r="L106" s="20" t="str">
        <x:v>Buff</x:v>
      </x:c>
      <x:c r="M106" s="20" t="str">
        <x:v>肉身负面时长</x:v>
      </x:c>
      <x:c r="N106" s="20" t="str">
        <x:v>buff_config:210002识别族／新增Buff</x:v>
      </x:c>
      <x:c r="O106" s="20" t="str">
        <x:v>周期缩短剩余时长</x:v>
      </x:c>
      <x:c r="P106" s="20" t="str"/>
      <x:c r="Q106" s="20" t="str"/>
      <x:c r="R106" s="20" t="str"/>
      <x:c r="S106" s="20" t="str">
        <x:v>续解</x:v>
      </x:c>
    </x:row>
    <x:row r="107" ht="46" customHeight="1">
      <x:c r="A107" s="33" t="n">
        <x:v>103</x:v>
      </x:c>
      <x:c r="B107" s="34" t="str">
        <x:v>金酸平</x:v>
      </x:c>
      <x:c r="C107" s="34" t="str">
        <x:v>血肉核</x:v>
      </x:c>
      <x:c r="D107" s="34" t="str">
        <x:v>酸</x:v>
      </x:c>
      <x:c r="E107" s="34" t="str">
        <x:v>气血／血肉</x:v>
      </x:c>
      <x:c r="F107" s="34" t="str">
        <x:v>金</x:v>
      </x:c>
      <x:c r="G107" s="34" t="str">
        <x:v>平</x:v>
      </x:c>
      <x:c r="H107" s="35" t="n">
        <x:v>0</x:v>
      </x:c>
      <x:c r="I107" s="34" t="str">
        <x:v>剔毒止创</x:v>
      </x:c>
      <x:c r="J107" s="20" t="str">
        <x:v>立即解除一种肉身负面状态</x:v>
      </x:c>
      <x:c r="K107" s="20" t="str">
        <x:v>核心</x:v>
      </x:c>
      <x:c r="L107" s="20" t="str">
        <x:v>Buff移除</x:v>
      </x:c>
      <x:c r="M107" s="20" t="str">
        <x:v>中毒／流血／外伤</x:v>
      </x:c>
      <x:c r="N107" s="20" t="str">
        <x:v>buff_config:210002识别族／新增状态</x:v>
      </x:c>
      <x:c r="O107" s="20" t="str">
        <x:v>按优先级移除一个</x:v>
      </x:c>
      <x:c r="P107" s="20" t="str"/>
      <x:c r="Q107" s="20" t="str"/>
      <x:c r="R107" s="20" t="str"/>
      <x:c r="S107" s="20" t="str">
        <x:v>金酸标准本效／解毒丹</x:v>
      </x:c>
    </x:row>
    <x:row r="108" ht="46" customHeight="1">
      <x:c r="A108" s="33" t="n">
        <x:v>104</x:v>
      </x:c>
      <x:c r="B108" s="34" t="str">
        <x:v>金酸温</x:v>
      </x:c>
      <x:c r="C108" s="34" t="str">
        <x:v>血肉核</x:v>
      </x:c>
      <x:c r="D108" s="34" t="str">
        <x:v>酸</x:v>
      </x:c>
      <x:c r="E108" s="34" t="str">
        <x:v>气血／血肉</x:v>
      </x:c>
      <x:c r="F108" s="34" t="str">
        <x:v>金</x:v>
      </x:c>
      <x:c r="G108" s="34" t="str">
        <x:v>温</x:v>
      </x:c>
      <x:c r="H108" s="35" t="n">
        <x:v>1</x:v>
      </x:c>
      <x:c r="I108" s="34" t="str">
        <x:v>剔毒止创</x:v>
      </x:c>
      <x:c r="J108" s="20" t="str">
        <x:v>快速止血疗创，并短时提高状态抗性</x:v>
      </x:c>
      <x:c r="K108" s="20" t="str">
        <x:v>常用</x:v>
      </x:c>
      <x:c r="L108" s="20" t="str">
        <x:v>Buff移除＋Buff</x:v>
      </x:c>
      <x:c r="M108" s="20" t="str">
        <x:v>流血／外伤／状态抗性</x:v>
      </x:c>
      <x:c r="N108" s="20" t="str">
        <x:v>对应Buff</x:v>
      </x:c>
      <x:c r="O108" s="20" t="str">
        <x:v>快速移除并附抗性</x:v>
      </x:c>
      <x:c r="P108" s="20" t="str"/>
      <x:c r="Q108" s="20" t="str"/>
      <x:c r="R108" s="20" t="str"/>
      <x:c r="S108" s="20" t="str">
        <x:v>战斗解创</x:v>
      </x:c>
    </x:row>
    <x:row r="109" ht="46" customHeight="1">
      <x:c r="A109" s="33" t="n">
        <x:v>105</x:v>
      </x:c>
      <x:c r="B109" s="34" t="str">
        <x:v>金酸热</x:v>
      </x:c>
      <x:c r="C109" s="34" t="str">
        <x:v>血肉核</x:v>
      </x:c>
      <x:c r="D109" s="34" t="str">
        <x:v>酸</x:v>
      </x:c>
      <x:c r="E109" s="34" t="str">
        <x:v>气血／血肉</x:v>
      </x:c>
      <x:c r="F109" s="34" t="str">
        <x:v>金</x:v>
      </x:c>
      <x:c r="G109" s="34" t="str">
        <x:v>热</x:v>
      </x:c>
      <x:c r="H109" s="35" t="n">
        <x:v>2</x:v>
      </x:c>
      <x:c r="I109" s="34" t="str">
        <x:v>剔毒止创</x:v>
      </x:c>
      <x:c r="J109" s="20" t="str">
        <x:v>强制排尽全部肉身毒伤，立即损失部分生命</x:v>
      </x:c>
      <x:c r="K109" s="20" t="str">
        <x:v>核心</x:v>
      </x:c>
      <x:c r="L109" s="20" t="str">
        <x:v>Buff移除</x:v>
      </x:c>
      <x:c r="M109" s="20" t="str">
        <x:v>全部中毒／流血</x:v>
      </x:c>
      <x:c r="N109" s="20" t="str">
        <x:v>buff_config:210002识别族／新增状态</x:v>
      </x:c>
      <x:c r="O109" s="20" t="str">
        <x:v>批量移除</x:v>
      </x:c>
      <x:c r="P109" s="20" t="str">
        <x:v>参数</x:v>
      </x:c>
      <x:c r="Q109" s="20" t="str">
        <x:v>当前生命损失</x:v>
      </x:c>
      <x:c r="R109" s="20" t="str">
        <x:v>★运行时参数</x:v>
      </x:c>
      <x:c r="S109" s="20" t="str">
        <x:v>爆发解毒的代价</x:v>
      </x:c>
    </x:row>
    <x:row r="110" ht="46" customHeight="1">
      <x:c r="A110" s="33" t="n">
        <x:v>106</x:v>
      </x:c>
      <x:c r="B110" s="34" t="str">
        <x:v>木酸寒</x:v>
      </x:c>
      <x:c r="C110" s="34" t="str">
        <x:v>血肉核</x:v>
      </x:c>
      <x:c r="D110" s="34" t="str">
        <x:v>酸</x:v>
      </x:c>
      <x:c r="E110" s="34" t="str">
        <x:v>气血／血肉</x:v>
      </x:c>
      <x:c r="F110" s="34" t="str">
        <x:v>木</x:v>
      </x:c>
      <x:c r="G110" s="34" t="str">
        <x:v>寒</x:v>
      </x:c>
      <x:c r="H110" s="35" t="n">
        <x:v>-2</x:v>
      </x:c>
      <x:c r="I110" s="34" t="str">
        <x:v>生肌续血</x:v>
      </x:c>
      <x:c r="J110" s="20" t="str">
        <x:v>长时回复大量生命，单颗总治疗最高</x:v>
      </x:c>
      <x:c r="K110" s="20" t="str">
        <x:v>核心</x:v>
      </x:c>
      <x:c r="L110" s="20" t="str">
        <x:v>属性Buff</x:v>
      </x:c>
      <x:c r="M110" s="20" t="str">
        <x:v>每秒回血</x:v>
      </x:c>
      <x:c r="N110" s="20" t="str">
        <x:v>attr_config:35</x:v>
      </x:c>
      <x:c r="O110" s="20" t="str">
        <x:v>低值长持续</x:v>
      </x:c>
      <x:c r="P110" s="20" t="str"/>
      <x:c r="Q110" s="20" t="str"/>
      <x:c r="R110" s="20" t="str"/>
      <x:c r="S110" s="20" t="str">
        <x:v>慢回血丹</x:v>
      </x:c>
    </x:row>
    <x:row r="111" ht="46" customHeight="1">
      <x:c r="A111" s="33" t="n">
        <x:v>107</x:v>
      </x:c>
      <x:c r="B111" s="34" t="str">
        <x:v>木酸凉</x:v>
      </x:c>
      <x:c r="C111" s="34" t="str">
        <x:v>血肉核</x:v>
      </x:c>
      <x:c r="D111" s="34" t="str">
        <x:v>酸</x:v>
      </x:c>
      <x:c r="E111" s="34" t="str">
        <x:v>气血／血肉</x:v>
      </x:c>
      <x:c r="F111" s="34" t="str">
        <x:v>木</x:v>
      </x:c>
      <x:c r="G111" s="34" t="str">
        <x:v>凉</x:v>
      </x:c>
      <x:c r="H111" s="35" t="n">
        <x:v>-1</x:v>
      </x:c>
      <x:c r="I111" s="34" t="str">
        <x:v>生肌续血</x:v>
      </x:c>
      <x:c r="J111" s="20" t="str">
        <x:v>持续回复生命</x:v>
      </x:c>
      <x:c r="K111" s="20" t="str">
        <x:v>核心</x:v>
      </x:c>
      <x:c r="L111" s="20" t="str">
        <x:v>属性Buff</x:v>
      </x:c>
      <x:c r="M111" s="20" t="str">
        <x:v>每秒回血</x:v>
      </x:c>
      <x:c r="N111" s="20" t="str">
        <x:v>attr_config:35</x:v>
      </x:c>
      <x:c r="O111" s="20" t="str">
        <x:v>中值长持续</x:v>
      </x:c>
      <x:c r="P111" s="20" t="str"/>
      <x:c r="Q111" s="20" t="str"/>
      <x:c r="R111" s="20" t="str"/>
      <x:c r="S111" s="20" t="str">
        <x:v>持续回血丹</x:v>
      </x:c>
    </x:row>
    <x:row r="112" ht="46" customHeight="1">
      <x:c r="A112" s="33" t="n">
        <x:v>108</x:v>
      </x:c>
      <x:c r="B112" s="34" t="str">
        <x:v>木酸平</x:v>
      </x:c>
      <x:c r="C112" s="34" t="str">
        <x:v>血肉核</x:v>
      </x:c>
      <x:c r="D112" s="34" t="str">
        <x:v>酸</x:v>
      </x:c>
      <x:c r="E112" s="34" t="str">
        <x:v>气血／血肉</x:v>
      </x:c>
      <x:c r="F112" s="34" t="str">
        <x:v>木</x:v>
      </x:c>
      <x:c r="G112" s="34" t="str">
        <x:v>平</x:v>
      </x:c>
      <x:c r="H112" s="35" t="n">
        <x:v>0</x:v>
      </x:c>
      <x:c r="I112" s="34" t="str">
        <x:v>生肌续血</x:v>
      </x:c>
      <x:c r="J112" s="20" t="str">
        <x:v>立即恢复固定生命</x:v>
      </x:c>
      <x:c r="K112" s="20" t="str">
        <x:v>核心</x:v>
      </x:c>
      <x:c r="L112" s="20" t="str">
        <x:v>参数</x:v>
      </x:c>
      <x:c r="M112" s="20" t="str">
        <x:v>当前生命</x:v>
      </x:c>
      <x:c r="N112" s="20" t="str">
        <x:v>★运行时参数：当前生命</x:v>
      </x:c>
      <x:c r="O112" s="20" t="str">
        <x:v>一次性恢复</x:v>
      </x:c>
      <x:c r="P112" s="20" t="str"/>
      <x:c r="Q112" s="20" t="str"/>
      <x:c r="R112" s="20" t="str"/>
      <x:c r="S112" s="20" t="str">
        <x:v>木酸标准本效／瞬回生命丹</x:v>
      </x:c>
    </x:row>
    <x:row r="113" ht="46" customHeight="1">
      <x:c r="A113" s="33" t="n">
        <x:v>109</x:v>
      </x:c>
      <x:c r="B113" s="34" t="str">
        <x:v>木酸温</x:v>
      </x:c>
      <x:c r="C113" s="34" t="str">
        <x:v>血肉核</x:v>
      </x:c>
      <x:c r="D113" s="34" t="str">
        <x:v>酸</x:v>
      </x:c>
      <x:c r="E113" s="34" t="str">
        <x:v>气血／血肉</x:v>
      </x:c>
      <x:c r="F113" s="34" t="str">
        <x:v>木</x:v>
      </x:c>
      <x:c r="G113" s="34" t="str">
        <x:v>温</x:v>
      </x:c>
      <x:c r="H113" s="35" t="n">
        <x:v>1</x:v>
      </x:c>
      <x:c r="I113" s="34" t="str">
        <x:v>生肌续血</x:v>
      </x:c>
      <x:c r="J113" s="20" t="str">
        <x:v>击中或受击时快速恢复生命</x:v>
      </x:c>
      <x:c r="K113" s="20" t="str">
        <x:v>常用</x:v>
      </x:c>
      <x:c r="L113" s="20" t="str">
        <x:v>属性Buff</x:v>
      </x:c>
      <x:c r="M113" s="20" t="str">
        <x:v>击中回血／受击回血</x:v>
      </x:c>
      <x:c r="N113" s="20" t="str">
        <x:v>attr_config:37／38</x:v>
      </x:c>
      <x:c r="O113" s="20" t="str">
        <x:v>事件触发，短持续</x:v>
      </x:c>
      <x:c r="P113" s="20" t="str"/>
      <x:c r="Q113" s="20" t="str"/>
      <x:c r="R113" s="20" t="str"/>
      <x:c r="S113" s="20" t="str">
        <x:v>战斗治疗</x:v>
      </x:c>
    </x:row>
    <x:row r="114" ht="46" customHeight="1">
      <x:c r="A114" s="33" t="n">
        <x:v>110</x:v>
      </x:c>
      <x:c r="B114" s="34" t="str">
        <x:v>木酸热</x:v>
      </x:c>
      <x:c r="C114" s="34" t="str">
        <x:v>血肉核</x:v>
      </x:c>
      <x:c r="D114" s="34" t="str">
        <x:v>酸</x:v>
      </x:c>
      <x:c r="E114" s="34" t="str">
        <x:v>气血／血肉</x:v>
      </x:c>
      <x:c r="F114" s="34" t="str">
        <x:v>木</x:v>
      </x:c>
      <x:c r="G114" s="34" t="str">
        <x:v>热</x:v>
      </x:c>
      <x:c r="H114" s="35" t="n">
        <x:v>2</x:v>
      </x:c>
      <x:c r="I114" s="34" t="str">
        <x:v>生肌续血</x:v>
      </x:c>
      <x:c r="J114" s="20" t="str">
        <x:v>瞬间恢复大量生命或避免一次死亡，随后肉身虚弱</x:v>
      </x:c>
      <x:c r="K114" s="20" t="str">
        <x:v>核心</x:v>
      </x:c>
      <x:c r="L114" s="20" t="str">
        <x:v>参数／Buff</x:v>
      </x:c>
      <x:c r="M114" s="20" t="str">
        <x:v>当前生命／续命</x:v>
      </x:c>
      <x:c r="N114" s="20" t="str">
        <x:v>★运行时参数／新增Buff</x:v>
      </x:c>
      <x:c r="O114" s="20" t="str">
        <x:v>高额恢复或一次保命</x:v>
      </x:c>
      <x:c r="P114" s="20" t="str">
        <x:v>Buff</x:v>
      </x:c>
      <x:c r="Q114" s="20" t="str">
        <x:v>肉身虚弱</x:v>
      </x:c>
      <x:c r="R114" s="20" t="str">
        <x:v>buff_config:21001001或新增</x:v>
      </x:c>
      <x:c r="S114" s="20" t="str">
        <x:v>救急血丹</x:v>
      </x:c>
    </x:row>
    <x:row r="115" ht="46" customHeight="1">
      <x:c r="A115" s="33" t="n">
        <x:v>111</x:v>
      </x:c>
      <x:c r="B115" s="34" t="str">
        <x:v>水酸寒</x:v>
      </x:c>
      <x:c r="C115" s="34" t="str">
        <x:v>血肉核</x:v>
      </x:c>
      <x:c r="D115" s="34" t="str">
        <x:v>酸</x:v>
      </x:c>
      <x:c r="E115" s="34" t="str">
        <x:v>气血／血肉</x:v>
      </x:c>
      <x:c r="F115" s="34" t="str">
        <x:v>水</x:v>
      </x:c>
      <x:c r="G115" s="34" t="str">
        <x:v>寒</x:v>
      </x:c>
      <x:c r="H115" s="35" t="n">
        <x:v>-2</x:v>
      </x:c>
      <x:c r="I115" s="34" t="str">
        <x:v>活血回生</x:v>
      </x:c>
      <x:c r="J115" s="20" t="str">
        <x:v>长时获得低比例吸血，累计回复量最高</x:v>
      </x:c>
      <x:c r="K115" s="20" t="str">
        <x:v>常用</x:v>
      </x:c>
      <x:c r="L115" s="20" t="str">
        <x:v>Buff</x:v>
      </x:c>
      <x:c r="M115" s="20" t="str">
        <x:v>攻击吸血</x:v>
      </x:c>
      <x:c r="N115" s="20" t="str">
        <x:v>★新增Buff</x:v>
      </x:c>
      <x:c r="O115" s="20" t="str">
        <x:v>按造成伤害比例回血</x:v>
      </x:c>
      <x:c r="P115" s="20" t="str"/>
      <x:c r="Q115" s="20" t="str"/>
      <x:c r="R115" s="20" t="str"/>
      <x:c r="S115" s="20" t="str">
        <x:v>长线吸血</x:v>
      </x:c>
    </x:row>
    <x:row r="116" ht="46" customHeight="1">
      <x:c r="A116" s="33" t="n">
        <x:v>112</x:v>
      </x:c>
      <x:c r="B116" s="34" t="str">
        <x:v>水酸凉</x:v>
      </x:c>
      <x:c r="C116" s="34" t="str">
        <x:v>血肉核</x:v>
      </x:c>
      <x:c r="D116" s="34" t="str">
        <x:v>酸</x:v>
      </x:c>
      <x:c r="E116" s="34" t="str">
        <x:v>气血／血肉</x:v>
      </x:c>
      <x:c r="F116" s="34" t="str">
        <x:v>水</x:v>
      </x:c>
      <x:c r="G116" s="34" t="str">
        <x:v>凉</x:v>
      </x:c>
      <x:c r="H116" s="35" t="n">
        <x:v>-1</x:v>
      </x:c>
      <x:c r="I116" s="34" t="str">
        <x:v>活血回生</x:v>
      </x:c>
      <x:c r="J116" s="20" t="str">
        <x:v>受击后持续回补生命</x:v>
      </x:c>
      <x:c r="K116" s="20" t="str">
        <x:v>常用</x:v>
      </x:c>
      <x:c r="L116" s="20" t="str">
        <x:v>属性Buff</x:v>
      </x:c>
      <x:c r="M116" s="20" t="str">
        <x:v>受击回血</x:v>
      </x:c>
      <x:c r="N116" s="20" t="str">
        <x:v>attr_config:38</x:v>
      </x:c>
      <x:c r="O116" s="20" t="str">
        <x:v>中低幅长持续</x:v>
      </x:c>
      <x:c r="P116" s="20" t="str"/>
      <x:c r="Q116" s="20" t="str"/>
      <x:c r="R116" s="20" t="str"/>
      <x:c r="S116" s="20" t="str">
        <x:v>血行自复</x:v>
      </x:c>
    </x:row>
    <x:row r="117" ht="46" customHeight="1">
      <x:c r="A117" s="33" t="n">
        <x:v>113</x:v>
      </x:c>
      <x:c r="B117" s="34" t="str">
        <x:v>水酸平</x:v>
      </x:c>
      <x:c r="C117" s="34" t="str">
        <x:v>血肉核</x:v>
      </x:c>
      <x:c r="D117" s="34" t="str">
        <x:v>酸</x:v>
      </x:c>
      <x:c r="E117" s="34" t="str">
        <x:v>气血／血肉</x:v>
      </x:c>
      <x:c r="F117" s="34" t="str">
        <x:v>水</x:v>
      </x:c>
      <x:c r="G117" s="34" t="str">
        <x:v>平</x:v>
      </x:c>
      <x:c r="H117" s="35" t="n">
        <x:v>0</x:v>
      </x:c>
      <x:c r="I117" s="34" t="str">
        <x:v>活血回生</x:v>
      </x:c>
      <x:c r="J117" s="20" t="str">
        <x:v>击中敌人时恢复生命</x:v>
      </x:c>
      <x:c r="K117" s="20" t="str">
        <x:v>常用</x:v>
      </x:c>
      <x:c r="L117" s="20" t="str">
        <x:v>属性Buff</x:v>
      </x:c>
      <x:c r="M117" s="20" t="str">
        <x:v>击中回血</x:v>
      </x:c>
      <x:c r="N117" s="20" t="str">
        <x:v>attr_config:37</x:v>
      </x:c>
      <x:c r="O117" s="20" t="str">
        <x:v>标准幅度与持续</x:v>
      </x:c>
      <x:c r="P117" s="20" t="str"/>
      <x:c r="Q117" s="20" t="str"/>
      <x:c r="R117" s="20" t="str"/>
      <x:c r="S117" s="20" t="str">
        <x:v>水酸标准本效</x:v>
      </x:c>
    </x:row>
    <x:row r="118" ht="46" customHeight="1">
      <x:c r="A118" s="33" t="n">
        <x:v>114</x:v>
      </x:c>
      <x:c r="B118" s="34" t="str">
        <x:v>水酸温</x:v>
      </x:c>
      <x:c r="C118" s="34" t="str">
        <x:v>血肉核</x:v>
      </x:c>
      <x:c r="D118" s="34" t="str">
        <x:v>酸</x:v>
      </x:c>
      <x:c r="E118" s="34" t="str">
        <x:v>气血／血肉</x:v>
      </x:c>
      <x:c r="F118" s="34" t="str">
        <x:v>水</x:v>
      </x:c>
      <x:c r="G118" s="34" t="str">
        <x:v>温</x:v>
      </x:c>
      <x:c r="H118" s="35" t="n">
        <x:v>1</x:v>
      </x:c>
      <x:c r="I118" s="34" t="str">
        <x:v>活血回生</x:v>
      </x:c>
      <x:c r="J118" s="20" t="str">
        <x:v>提高攻击与移动节奏，并使击中回血更频繁</x:v>
      </x:c>
      <x:c r="K118" s="20" t="str">
        <x:v>常用</x:v>
      </x:c>
      <x:c r="L118" s="20" t="str">
        <x:v>属性Buff</x:v>
      </x:c>
      <x:c r="M118" s="20" t="str">
        <x:v>攻击速度／移动速度／击中回血</x:v>
      </x:c>
      <x:c r="N118" s="20" t="str">
        <x:v>attr_config:18／56／37</x:v>
      </x:c>
      <x:c r="O118" s="20" t="str">
        <x:v>高幅短持续</x:v>
      </x:c>
      <x:c r="P118" s="20" t="str"/>
      <x:c r="Q118" s="20" t="str"/>
      <x:c r="R118" s="20" t="str"/>
      <x:c r="S118" s="20" t="str">
        <x:v>血行加速</x:v>
      </x:c>
    </x:row>
    <x:row r="119" ht="46" customHeight="1">
      <x:c r="A119" s="33" t="n">
        <x:v>115</x:v>
      </x:c>
      <x:c r="B119" s="34" t="str">
        <x:v>水酸热</x:v>
      </x:c>
      <x:c r="C119" s="34" t="str">
        <x:v>血肉核</x:v>
      </x:c>
      <x:c r="D119" s="34" t="str">
        <x:v>酸</x:v>
      </x:c>
      <x:c r="E119" s="34" t="str">
        <x:v>气血／血肉</x:v>
      </x:c>
      <x:c r="F119" s="34" t="str">
        <x:v>水</x:v>
      </x:c>
      <x:c r="G119" s="34" t="str">
        <x:v>热</x:v>
      </x:c>
      <x:c r="H119" s="35" t="n">
        <x:v>2</x:v>
      </x:c>
      <x:c r="I119" s="34" t="str">
        <x:v>活血回生</x:v>
      </x:c>
      <x:c r="J119" s="20" t="str">
        <x:v>短时获得高额吸血，结束后失血</x:v>
      </x:c>
      <x:c r="K119" s="20" t="str">
        <x:v>偏门</x:v>
      </x:c>
      <x:c r="L119" s="20" t="str">
        <x:v>Buff</x:v>
      </x:c>
      <x:c r="M119" s="20" t="str">
        <x:v>高额攻击吸血</x:v>
      </x:c>
      <x:c r="N119" s="20" t="str">
        <x:v>★新增Buff</x:v>
      </x:c>
      <x:c r="O119" s="20" t="str">
        <x:v>极高比例短持续</x:v>
      </x:c>
      <x:c r="P119" s="20" t="str">
        <x:v>Buff</x:v>
      </x:c>
      <x:c r="Q119" s="20" t="str">
        <x:v>失血</x:v>
      </x:c>
      <x:c r="R119" s="20" t="str">
        <x:v>★新增Buff</x:v>
      </x:c>
      <x:c r="S119" s="20" t="str">
        <x:v>爆发回生</x:v>
      </x:c>
    </x:row>
    <x:row r="120" ht="46" customHeight="1">
      <x:c r="A120" s="33" t="n">
        <x:v>116</x:v>
      </x:c>
      <x:c r="B120" s="34" t="str">
        <x:v>火酸寒</x:v>
      </x:c>
      <x:c r="C120" s="34" t="str">
        <x:v>血肉核</x:v>
      </x:c>
      <x:c r="D120" s="34" t="str">
        <x:v>酸</x:v>
      </x:c>
      <x:c r="E120" s="34" t="str">
        <x:v>气血／血肉</x:v>
      </x:c>
      <x:c r="F120" s="34" t="str">
        <x:v>火</x:v>
      </x:c>
      <x:c r="G120" s="34" t="str">
        <x:v>寒</x:v>
      </x:c>
      <x:c r="H120" s="35" t="n">
        <x:v>-2</x:v>
      </x:c>
      <x:c r="I120" s="34" t="str">
        <x:v>催发战力</x:v>
      </x:c>
      <x:c r="J120" s="20" t="str">
        <x:v>长时小幅提高伤害，累计输出收益最高</x:v>
      </x:c>
      <x:c r="K120" s="20" t="str">
        <x:v>常用</x:v>
      </x:c>
      <x:c r="L120" s="20" t="str">
        <x:v>属性Buff</x:v>
      </x:c>
      <x:c r="M120" s="20" t="str">
        <x:v>伤害提升增幅</x:v>
      </x:c>
      <x:c r="N120" s="20" t="str">
        <x:v>attr_config:33</x:v>
      </x:c>
      <x:c r="O120" s="20" t="str">
        <x:v>低幅长持续</x:v>
      </x:c>
      <x:c r="P120" s="20" t="str"/>
      <x:c r="Q120" s="20" t="str"/>
      <x:c r="R120" s="20" t="str"/>
      <x:c r="S120" s="20" t="str">
        <x:v>长线输出</x:v>
      </x:c>
    </x:row>
    <x:row r="121" ht="46" customHeight="1">
      <x:c r="A121" s="33" t="n">
        <x:v>117</x:v>
      </x:c>
      <x:c r="B121" s="34" t="str">
        <x:v>火酸凉</x:v>
      </x:c>
      <x:c r="C121" s="34" t="str">
        <x:v>血肉核</x:v>
      </x:c>
      <x:c r="D121" s="34" t="str">
        <x:v>酸</x:v>
      </x:c>
      <x:c r="E121" s="34" t="str">
        <x:v>气血／血肉</x:v>
      </x:c>
      <x:c r="F121" s="34" t="str">
        <x:v>火</x:v>
      </x:c>
      <x:c r="G121" s="34" t="str">
        <x:v>凉</x:v>
      </x:c>
      <x:c r="H121" s="35" t="n">
        <x:v>-1</x:v>
      </x:c>
      <x:c r="I121" s="34" t="str">
        <x:v>催发战力</x:v>
      </x:c>
      <x:c r="J121" s="20" t="str">
        <x:v>稳定提高攻击下限与伤害</x:v>
      </x:c>
      <x:c r="K121" s="20" t="str">
        <x:v>常用</x:v>
      </x:c>
      <x:c r="L121" s="20" t="str">
        <x:v>属性Buff</x:v>
      </x:c>
      <x:c r="M121" s="20" t="str">
        <x:v>攻击下限／伤害提升</x:v>
      </x:c>
      <x:c r="N121" s="20" t="str">
        <x:v>attr_config:3／20／31</x:v>
      </x:c>
      <x:c r="O121" s="20" t="str">
        <x:v>中幅长持续</x:v>
      </x:c>
      <x:c r="P121" s="20" t="str"/>
      <x:c r="Q121" s="20" t="str"/>
      <x:c r="R121" s="20" t="str"/>
      <x:c r="S121" s="20" t="str">
        <x:v>持续战斗</x:v>
      </x:c>
    </x:row>
    <x:row r="122" ht="46" customHeight="1">
      <x:c r="A122" s="33" t="n">
        <x:v>118</x:v>
      </x:c>
      <x:c r="B122" s="34" t="str">
        <x:v>火酸平</x:v>
      </x:c>
      <x:c r="C122" s="34" t="str">
        <x:v>血肉核</x:v>
      </x:c>
      <x:c r="D122" s="34" t="str">
        <x:v>酸</x:v>
      </x:c>
      <x:c r="E122" s="34" t="str">
        <x:v>气血／血肉</x:v>
      </x:c>
      <x:c r="F122" s="34" t="str">
        <x:v>火</x:v>
      </x:c>
      <x:c r="G122" s="34" t="str">
        <x:v>平</x:v>
      </x:c>
      <x:c r="H122" s="35" t="n">
        <x:v>0</x:v>
      </x:c>
      <x:c r="I122" s="34" t="str">
        <x:v>催发战力</x:v>
      </x:c>
      <x:c r="J122" s="20" t="str">
        <x:v>提高物理攻击</x:v>
      </x:c>
      <x:c r="K122" s="20" t="str">
        <x:v>常用</x:v>
      </x:c>
      <x:c r="L122" s="20" t="str">
        <x:v>属性Buff</x:v>
      </x:c>
      <x:c r="M122" s="20" t="str">
        <x:v>攻击下限／攻击上限</x:v>
      </x:c>
      <x:c r="N122" s="20" t="str">
        <x:v>attr_config:3／4／20／21</x:v>
      </x:c>
      <x:c r="O122" s="20" t="str">
        <x:v>标准幅度与持续</x:v>
      </x:c>
      <x:c r="P122" s="20" t="str"/>
      <x:c r="Q122" s="20" t="str"/>
      <x:c r="R122" s="20" t="str"/>
      <x:c r="S122" s="20" t="str">
        <x:v>火酸标准本效</x:v>
      </x:c>
    </x:row>
    <x:row r="123" ht="46" customHeight="1">
      <x:c r="A123" s="33" t="n">
        <x:v>119</x:v>
      </x:c>
      <x:c r="B123" s="34" t="str">
        <x:v>火酸温</x:v>
      </x:c>
      <x:c r="C123" s="34" t="str">
        <x:v>血肉核</x:v>
      </x:c>
      <x:c r="D123" s="34" t="str">
        <x:v>酸</x:v>
      </x:c>
      <x:c r="E123" s="34" t="str">
        <x:v>气血／血肉</x:v>
      </x:c>
      <x:c r="F123" s="34" t="str">
        <x:v>火</x:v>
      </x:c>
      <x:c r="G123" s="34" t="str">
        <x:v>温</x:v>
      </x:c>
      <x:c r="H123" s="35" t="n">
        <x:v>1</x:v>
      </x:c>
      <x:c r="I123" s="34" t="str">
        <x:v>催发战力</x:v>
      </x:c>
      <x:c r="J123" s="20" t="str">
        <x:v>提高攻击速度并降低攻击间隔</x:v>
      </x:c>
      <x:c r="K123" s="20" t="str">
        <x:v>核心</x:v>
      </x:c>
      <x:c r="L123" s="20" t="str">
        <x:v>属性Buff</x:v>
      </x:c>
      <x:c r="M123" s="20" t="str">
        <x:v>攻击速度／攻击间隔</x:v>
      </x:c>
      <x:c r="N123" s="20" t="str">
        <x:v>attr_config:18／51</x:v>
      </x:c>
      <x:c r="O123" s="20" t="str">
        <x:v>高幅短持续；攻击间隔做减法</x:v>
      </x:c>
      <x:c r="P123" s="20" t="str"/>
      <x:c r="Q123" s="20" t="str"/>
      <x:c r="R123" s="20" t="str"/>
      <x:c r="S123" s="20" t="str">
        <x:v>温主速</x:v>
      </x:c>
    </x:row>
    <x:row r="124" ht="46" customHeight="1">
      <x:c r="A124" s="33" t="n">
        <x:v>120</x:v>
      </x:c>
      <x:c r="B124" s="34" t="str">
        <x:v>火酸热</x:v>
      </x:c>
      <x:c r="C124" s="34" t="str">
        <x:v>血肉核</x:v>
      </x:c>
      <x:c r="D124" s="34" t="str">
        <x:v>酸</x:v>
      </x:c>
      <x:c r="E124" s="34" t="str">
        <x:v>气血／血肉</x:v>
      </x:c>
      <x:c r="F124" s="34" t="str">
        <x:v>火</x:v>
      </x:c>
      <x:c r="G124" s="34" t="str">
        <x:v>热</x:v>
      </x:c>
      <x:c r="H124" s="35" t="n">
        <x:v>2</x:v>
      </x:c>
      <x:c r="I124" s="34" t="str">
        <x:v>催发战力</x:v>
      </x:c>
      <x:c r="J124" s="20" t="str">
        <x:v>大幅提高爆发伤害并无视部分防御</x:v>
      </x:c>
      <x:c r="K124" s="20" t="str">
        <x:v>核心</x:v>
      </x:c>
      <x:c r="L124" s="20" t="str">
        <x:v>属性Buff</x:v>
      </x:c>
      <x:c r="M124" s="20" t="str">
        <x:v>伤害提升／无视防御</x:v>
      </x:c>
      <x:c r="N124" s="20" t="str">
        <x:v>attr_config:31／33／52／53</x:v>
      </x:c>
      <x:c r="O124" s="20" t="str">
        <x:v>极高幅短持续</x:v>
      </x:c>
      <x:c r="P124" s="20" t="str">
        <x:v>Buff</x:v>
      </x:c>
      <x:c r="Q124" s="20" t="str">
        <x:v>战后虚弱</x:v>
      </x:c>
      <x:c r="R124" s="20" t="str">
        <x:v>buff_config:21001001或新增</x:v>
      </x:c>
      <x:c r="S124" s="20" t="str">
        <x:v>热主爆</x:v>
      </x:c>
    </x:row>
    <x:row r="125" ht="46" customHeight="1">
      <x:c r="A125" s="33" t="n">
        <x:v>121</x:v>
      </x:c>
      <x:c r="B125" s="34" t="str">
        <x:v>土酸寒</x:v>
      </x:c>
      <x:c r="C125" s="34" t="str">
        <x:v>血肉核</x:v>
      </x:c>
      <x:c r="D125" s="34" t="str">
        <x:v>酸</x:v>
      </x:c>
      <x:c r="E125" s="34" t="str">
        <x:v>气血／血肉</x:v>
      </x:c>
      <x:c r="F125" s="34" t="str">
        <x:v>土</x:v>
      </x:c>
      <x:c r="G125" s="34" t="str">
        <x:v>寒</x:v>
      </x:c>
      <x:c r="H125" s="35" t="n">
        <x:v>-2</x:v>
      </x:c>
      <x:c r="I125" s="34" t="str">
        <x:v>固养血肉</x:v>
      </x:c>
      <x:c r="J125" s="20" t="str">
        <x:v>长时提高生命上限与承伤总量</x:v>
      </x:c>
      <x:c r="K125" s="20" t="str">
        <x:v>常用</x:v>
      </x:c>
      <x:c r="L125" s="20" t="str">
        <x:v>属性Buff</x:v>
      </x:c>
      <x:c r="M125" s="20" t="str">
        <x:v>生命值增幅</x:v>
      </x:c>
      <x:c r="N125" s="20" t="str">
        <x:v>attr_config:29</x:v>
      </x:c>
      <x:c r="O125" s="20" t="str">
        <x:v>低幅长持续</x:v>
      </x:c>
      <x:c r="P125" s="20" t="str"/>
      <x:c r="Q125" s="20" t="str"/>
      <x:c r="R125" s="20" t="str"/>
      <x:c r="S125" s="20" t="str">
        <x:v>厚养总量</x:v>
      </x:c>
    </x:row>
    <x:row r="126" ht="46" customHeight="1">
      <x:c r="A126" s="33" t="n">
        <x:v>122</x:v>
      </x:c>
      <x:c r="B126" s="34" t="str">
        <x:v>土酸凉</x:v>
      </x:c>
      <x:c r="C126" s="34" t="str">
        <x:v>血肉核</x:v>
      </x:c>
      <x:c r="D126" s="34" t="str">
        <x:v>酸</x:v>
      </x:c>
      <x:c r="E126" s="34" t="str">
        <x:v>气血／血肉</x:v>
      </x:c>
      <x:c r="F126" s="34" t="str">
        <x:v>土</x:v>
      </x:c>
      <x:c r="G126" s="34" t="str">
        <x:v>凉</x:v>
      </x:c>
      <x:c r="H126" s="35" t="n">
        <x:v>-1</x:v>
      </x:c>
      <x:c r="I126" s="34" t="str">
        <x:v>固养血肉</x:v>
      </x:c>
      <x:c r="J126" s="20" t="str">
        <x:v>持续提高生命上限与伤害减免</x:v>
      </x:c>
      <x:c r="K126" s="20" t="str">
        <x:v>常用</x:v>
      </x:c>
      <x:c r="L126" s="20" t="str">
        <x:v>属性Buff</x:v>
      </x:c>
      <x:c r="M126" s="20" t="str">
        <x:v>生命值增幅／伤害减免</x:v>
      </x:c>
      <x:c r="N126" s="20" t="str">
        <x:v>attr_config:29／34</x:v>
      </x:c>
      <x:c r="O126" s="20" t="str">
        <x:v>中低幅长持续</x:v>
      </x:c>
      <x:c r="P126" s="20" t="str"/>
      <x:c r="Q126" s="20" t="str"/>
      <x:c r="R126" s="20" t="str"/>
      <x:c r="S126" s="20" t="str">
        <x:v>稳定承伤</x:v>
      </x:c>
    </x:row>
    <x:row r="127" ht="46" customHeight="1">
      <x:c r="A127" s="33" t="n">
        <x:v>123</x:v>
      </x:c>
      <x:c r="B127" s="34" t="str">
        <x:v>土酸平</x:v>
      </x:c>
      <x:c r="C127" s="34" t="str">
        <x:v>血肉核</x:v>
      </x:c>
      <x:c r="D127" s="34" t="str">
        <x:v>酸</x:v>
      </x:c>
      <x:c r="E127" s="34" t="str">
        <x:v>气血／血肉</x:v>
      </x:c>
      <x:c r="F127" s="34" t="str">
        <x:v>土</x:v>
      </x:c>
      <x:c r="G127" s="34" t="str">
        <x:v>平</x:v>
      </x:c>
      <x:c r="H127" s="35" t="n">
        <x:v>0</x:v>
      </x:c>
      <x:c r="I127" s="34" t="str">
        <x:v>固养血肉</x:v>
      </x:c>
      <x:c r="J127" s="20" t="str">
        <x:v>永久或长效提高生命上限</x:v>
      </x:c>
      <x:c r="K127" s="20" t="str">
        <x:v>核心</x:v>
      </x:c>
      <x:c r="L127" s="20" t="str">
        <x:v>属性／永久属性</x:v>
      </x:c>
      <x:c r="M127" s="20" t="str">
        <x:v>生命值／生命值增幅</x:v>
      </x:c>
      <x:c r="N127" s="20" t="str">
        <x:v>attr_config:1／29</x:v>
      </x:c>
      <x:c r="O127" s="20" t="str">
        <x:v>按永久强化规则写入或长效Buff</x:v>
      </x:c>
      <x:c r="P127" s="20" t="str"/>
      <x:c r="Q127" s="20" t="str"/>
      <x:c r="R127" s="20" t="str"/>
      <x:c r="S127" s="20" t="str">
        <x:v>土酸标准本效／淬体生命</x:v>
      </x:c>
    </x:row>
    <x:row r="128" ht="46" customHeight="1">
      <x:c r="A128" s="33" t="n">
        <x:v>124</x:v>
      </x:c>
      <x:c r="B128" s="34" t="str">
        <x:v>土酸温</x:v>
      </x:c>
      <x:c r="C128" s="34" t="str">
        <x:v>血肉核</x:v>
      </x:c>
      <x:c r="D128" s="34" t="str">
        <x:v>酸</x:v>
      </x:c>
      <x:c r="E128" s="34" t="str">
        <x:v>气血／血肉</x:v>
      </x:c>
      <x:c r="F128" s="34" t="str">
        <x:v>土</x:v>
      </x:c>
      <x:c r="G128" s="34" t="str">
        <x:v>温</x:v>
      </x:c>
      <x:c r="H128" s="35" t="n">
        <x:v>1</x:v>
      </x:c>
      <x:c r="I128" s="34" t="str">
        <x:v>固养血肉</x:v>
      </x:c>
      <x:c r="J128" s="20" t="str">
        <x:v>短时提高生命上限、免暴与回复效率</x:v>
      </x:c>
      <x:c r="K128" s="20" t="str">
        <x:v>常用</x:v>
      </x:c>
      <x:c r="L128" s="20" t="str">
        <x:v>属性Buff</x:v>
      </x:c>
      <x:c r="M128" s="20" t="str">
        <x:v>生命值增幅／免暴击率</x:v>
      </x:c>
      <x:c r="N128" s="20" t="str">
        <x:v>attr_config:29／16</x:v>
      </x:c>
      <x:c r="O128" s="20" t="str">
        <x:v>高幅短持续</x:v>
      </x:c>
      <x:c r="P128" s="20" t="str">
        <x:v>Buff</x:v>
      </x:c>
      <x:c r="Q128" s="20" t="str">
        <x:v>药品恢复增强</x:v>
      </x:c>
      <x:c r="R128" s="20" t="str">
        <x:v>★如启用对应属性或Buff</x:v>
      </x:c>
      <x:c r="S128" s="20" t="str">
        <x:v>快速固身</x:v>
      </x:c>
    </x:row>
    <x:row r="129" ht="46" customHeight="1">
      <x:c r="A129" s="33" t="n">
        <x:v>125</x:v>
      </x:c>
      <x:c r="B129" s="34" t="str">
        <x:v>土酸热</x:v>
      </x:c>
      <x:c r="C129" s="34" t="str">
        <x:v>血肉核</x:v>
      </x:c>
      <x:c r="D129" s="34" t="str">
        <x:v>酸</x:v>
      </x:c>
      <x:c r="E129" s="34" t="str">
        <x:v>气血／血肉</x:v>
      </x:c>
      <x:c r="F129" s="34" t="str">
        <x:v>土</x:v>
      </x:c>
      <x:c r="G129" s="34" t="str">
        <x:v>热</x:v>
      </x:c>
      <x:c r="H129" s="35" t="n">
        <x:v>2</x:v>
      </x:c>
      <x:c r="I129" s="34" t="str">
        <x:v>固养血肉</x:v>
      </x:c>
      <x:c r="J129" s="20" t="str">
        <x:v>短时获得巨额生命与肉身护盾，结束后行动迟缓</x:v>
      </x:c>
      <x:c r="K129" s="20" t="str">
        <x:v>常用</x:v>
      </x:c>
      <x:c r="L129" s="20" t="str">
        <x:v>Buff</x:v>
      </x:c>
      <x:c r="M129" s="20" t="str">
        <x:v>巨额生命／护盾</x:v>
      </x:c>
      <x:c r="N129" s="20" t="str">
        <x:v>attr_config:1／29／★新增护盾Buff</x:v>
      </x:c>
      <x:c r="O129" s="20" t="str">
        <x:v>极高幅短持续</x:v>
      </x:c>
      <x:c r="P129" s="20" t="str">
        <x:v>Buff</x:v>
      </x:c>
      <x:c r="Q129" s="20" t="str">
        <x:v>迟缓</x:v>
      </x:c>
      <x:c r="R129" s="20" t="str">
        <x:v>★新增Buff</x:v>
      </x:c>
      <x:c r="S129" s="20" t="str">
        <x:v>爆发承载</x:v>
      </x:c>
    </x:row>
  </x:sheetData>
  <x:mergeCells>
    <x:mergeCell ref="A1:S1"/>
    <x:mergeCell ref="A2:S2"/>
  </x:mergeCells>
  <x:conditionalFormatting sqref="K5:K129">
    <x:cfRule type="containsText" dxfId="0" priority="1" operator="containsText" text="核心"/>
    <x:cfRule type="containsText" dxfId="1" priority="2" operator="containsText" text="常用"/>
    <x:cfRule type="containsText" dxfId="2" priority="3" operator="containsText" text="偏门"/>
  </x:conditionalFormatting>
  <x:conditionalFormatting sqref="G5:G129">
    <x:cfRule type="containsText" dxfId="3" priority="4" operator="containsText" text="寒"/>
    <x:cfRule type="containsText" dxfId="4" priority="5" operator="containsText" text="凉"/>
    <x:cfRule type="containsText" dxfId="5" priority="6" operator="containsText" text="平"/>
    <x:cfRule type="containsText" dxfId="6" priority="7" operator="containsText" text="温"/>
    <x:cfRule type="containsText" dxfId="7" priority="8" operator="containsText" text="热"/>
  </x:conditionalFormatting>
  <x:pageMargins left="0.7" right="0.7" top="0.75" bottom="0.75" header="0.3" footer="0.3"/>
  <x:tableParts count="1">
    <x:tablePart xmlns:r="http://schemas.openxmlformats.org/officeDocument/2006/relationships" r:id="R65966efab23043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35" hidden="0" customWidth="1"/>
    <x:col min="5" max="5" width="4" hidden="0" customWidth="1"/>
    <x:col min="6" max="6" width="12" hidden="0" customWidth="1"/>
    <x:col min="7" max="7" width="24" hidden="0" customWidth="1"/>
    <x:col min="8" max="8" width="28" hidden="0" customWidth="1"/>
  </x:cols>
  <x:sheetData>
    <x:row r="1" ht="34" customHeight="1">
      <x:c r="A1" s="45" t="str">
        <x:v>第30轮母表｜口诀、角色与判定规则</x:v>
      </x:c>
      <x:c r="B1" s="45"/>
      <x:c r="C1" s="45"/>
      <x:c r="D1" s="45"/>
      <x:c r="E1" s="45"/>
      <x:c r="F1" s="45"/>
      <x:c r="G1" s="45"/>
      <x:c r="H1" s="45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 ht="30" customHeight="1">
      <x:c r="A3" s="43" t="str">
        <x:v>角色</x:v>
      </x:c>
      <x:c r="B3" s="43" t="str">
        <x:v>决定什么</x:v>
      </x:c>
      <x:c r="C3" s="43" t="str">
        <x:v>数量</x:v>
      </x:c>
      <x:c r="D3" s="43" t="str">
        <x:v>字段</x:v>
      </x:c>
      <x:c r="E3" s="15"/>
      <x:c r="F3" s="43" t="str">
        <x:v>五味</x:v>
      </x:c>
      <x:c r="G3" s="43" t="str">
        <x:v>归处</x:v>
      </x:c>
      <x:c r="H3" s="43" t="str">
        <x:v>标准君核</x:v>
      </x:c>
    </x:row>
    <x:row r="4" ht="30" customHeight="1">
      <x:c r="A4" s="44" t="str">
        <x:v>君</x:v>
      </x:c>
      <x:c r="B4" s="44" t="str">
        <x:v>一君一丹；定药力上限与2—3档品质池</x:v>
      </x:c>
      <x:c r="C4" s="44" t="str">
        <x:v>固定1</x:v>
      </x:c>
      <x:c r="D4" s="44" t="str">
        <x:v>君核类型、性、药力、U、品质上下界</x:v>
      </x:c>
      <x:c r="E4" s="15"/>
      <x:c r="F4" s="44" t="str">
        <x:v>甘</x:v>
      </x:c>
      <x:c r="G4" s="44" t="str">
        <x:v>修炼／丹田</x:v>
      </x:c>
      <x:c r="H4" s="44" t="str">
        <x:v>丹田核</x:v>
      </x:c>
    </x:row>
    <x:row r="5" ht="30" customHeight="1">
      <x:c r="A5" s="44" t="str">
        <x:v>臣</x:v>
      </x:c>
      <x:c r="B5" s="44" t="str">
        <x:v>定五行：怎么做</x:v>
      </x:c>
      <x:c r="C5" s="44" t="str">
        <x:v>自由整数≥1</x:v>
      </x:c>
      <x:c r="D5" s="44" t="str">
        <x:v>五行、性、药力</x:v>
      </x:c>
      <x:c r="E5" s="15"/>
      <x:c r="F5" s="44" t="str">
        <x:v>辛</x:v>
      </x:c>
      <x:c r="G5" s="44" t="str">
        <x:v>灵法／气脉</x:v>
      </x:c>
      <x:c r="H5" s="44" t="str">
        <x:v>气脉核</x:v>
      </x:c>
    </x:row>
    <x:row r="6" ht="30" customHeight="1">
      <x:c r="A6" s="44" t="str">
        <x:v>佐</x:v>
      </x:c>
      <x:c r="B6" s="44" t="str">
        <x:v>主调五性</x:v>
      </x:c>
      <x:c r="C6" s="44" t="str">
        <x:v>自由整数≥1</x:v>
      </x:c>
      <x:c r="D6" s="44" t="str">
        <x:v>性、药力</x:v>
      </x:c>
      <x:c r="E6" s="15"/>
      <x:c r="F6" s="44" t="str">
        <x:v>咸</x:v>
      </x:c>
      <x:c r="G6" s="44" t="str">
        <x:v>根基／骨底</x:v>
      </x:c>
      <x:c r="H6" s="44" t="str">
        <x:v>骨底核</x:v>
      </x:c>
    </x:row>
    <x:row r="7" ht="30" customHeight="1">
      <x:c r="A7" s="44" t="str">
        <x:v>使</x:v>
      </x:c>
      <x:c r="B7" s="44" t="str">
        <x:v>定五味：作用到哪里</x:v>
      </x:c>
      <x:c r="C7" s="44" t="str">
        <x:v>自由整数≥1</x:v>
      </x:c>
      <x:c r="D7" s="44" t="str">
        <x:v>五味、性、药力</x:v>
      </x:c>
      <x:c r="E7" s="15"/>
      <x:c r="F7" s="44" t="str">
        <x:v>苦</x:v>
      </x:c>
      <x:c r="G7" s="44" t="str">
        <x:v>心神</x:v>
      </x:c>
      <x:c r="H7" s="44" t="str">
        <x:v>心神核</x:v>
      </x:c>
    </x:row>
    <x:row r="8" ht="30" customHeight="1">
      <x:c r="A8" s="44" t="str">
        <x:v>判定</x:v>
      </x:c>
      <x:c r="B8" s="44" t="str">
        <x:v>总药力不得超过君上限；性值必须在-2到+2</x:v>
      </x:c>
      <x:c r="C8" s="44" t="str">
        <x:v>—</x:v>
      </x:c>
      <x:c r="D8" s="44" t="str">
        <x:v>无药力下限、无君三成占比</x:v>
      </x:c>
      <x:c r="E8" s="15"/>
      <x:c r="F8" s="44" t="str">
        <x:v>酸</x:v>
      </x:c>
      <x:c r="G8" s="44" t="str">
        <x:v>气血／血肉</x:v>
      </x:c>
      <x:c r="H8" s="44" t="str">
        <x:v>血肉核</x:v>
      </x:c>
    </x:row>
    <x:row r="9" ht="30" customHeight="1">
      <x:c r="A9" s="44" t="str">
        <x:v>品质</x:v>
      </x:c>
      <x:c r="B9" s="44" t="str">
        <x:v>药力饱和度越高，高品质概率越高</x:v>
      </x:c>
      <x:c r="C9" s="44" t="str">
        <x:v>—</x:v>
      </x:c>
      <x:c r="D9" s="44" t="str">
        <x:v>品质仍受灵植、技能、丹炉共同修正</x:v>
      </x:c>
      <x:c r="E9" s="15"/>
      <x:c r="F9" s="15"/>
      <x:c r="G9" s="15"/>
      <x:c r="H9" s="15"/>
    </x:row>
    <x:row r="10" ht="30" customHeight="1">
      <x:c r="A10" s="15"/>
      <x:c r="B10" s="15"/>
      <x:c r="C10" s="15"/>
      <x:c r="D10" s="15"/>
      <x:c r="E10" s="15"/>
      <x:c r="F10" s="15"/>
      <x:c r="G10" s="15"/>
      <x:c r="H10" s="15"/>
    </x:row>
    <x:row r="11" ht="30" customHeight="1">
      <x:c r="A11" s="15"/>
      <x:c r="B11" s="15"/>
      <x:c r="C11" s="15"/>
      <x:c r="D11" s="15"/>
      <x:c r="E11" s="15"/>
      <x:c r="F11" s="15"/>
      <x:c r="G11" s="15"/>
      <x:c r="H11" s="15"/>
    </x:row>
    <x:row r="12" ht="30" customHeight="1">
      <x:c r="A12" s="43" t="str">
        <x:v>五行</x:v>
      </x:c>
      <x:c r="B12" s="43" t="str">
        <x:v>口诀</x:v>
      </x:c>
      <x:c r="C12" s="43" t="str">
        <x:v>游戏动作</x:v>
      </x:c>
      <x:c r="D12" s="43" t="str">
        <x:v>说明</x:v>
      </x:c>
      <x:c r="E12" s="15"/>
      <x:c r="F12" s="43" t="str">
        <x:v>五性</x:v>
      </x:c>
      <x:c r="G12" s="43" t="str">
        <x:v>性值</x:v>
      </x:c>
      <x:c r="H12" s="43" t="str">
        <x:v>定效语义</x:v>
      </x:c>
    </x:row>
    <x:row r="13" ht="30" customHeight="1">
      <x:c r="A13" s="44" t="str">
        <x:v>金</x:v>
      </x:c>
      <x:c r="B13" s="44" t="str">
        <x:v>主离</x:v>
      </x:c>
      <x:c r="C13" s="44" t="str">
        <x:v>分离、清除、守边界</x:v>
      </x:c>
      <x:c r="D13" s="44" t="str">
        <x:v>把不该有的挑出去</x:v>
      </x:c>
      <x:c r="E13" s="15"/>
      <x:c r="F13" s="44" t="str">
        <x:v>寒</x:v>
      </x:c>
      <x:c r="G13" s="44" t="n">
        <x:v>-2</x:v>
      </x:c>
      <x:c r="H13" s="44" t="str">
        <x:v>主量：慢、厚、总量高</x:v>
      </x:c>
    </x:row>
    <x:row r="14" ht="30" customHeight="1">
      <x:c r="A14" s="44" t="str">
        <x:v>木</x:v>
      </x:c>
      <x:c r="B14" s="44" t="str">
        <x:v>主生</x:v>
      </x:c>
      <x:c r="C14" s="44" t="str">
        <x:v>修复、生长、接续</x:v>
      </x:c>
      <x:c r="D14" s="44" t="str">
        <x:v>把断的接上、把新的长出</x:v>
      </x:c>
      <x:c r="E14" s="15"/>
      <x:c r="F14" s="44" t="str">
        <x:v>凉</x:v>
      </x:c>
      <x:c r="G14" s="44" t="n">
        <x:v>-1</x:v>
      </x:c>
      <x:c r="H14" s="44" t="str">
        <x:v>主续：持续、恢复、减时长</x:v>
      </x:c>
    </x:row>
    <x:row r="15" ht="30" customHeight="1">
      <x:c r="A15" s="44" t="str">
        <x:v>水</x:v>
      </x:c>
      <x:c r="B15" s="44" t="str">
        <x:v>主行</x:v>
      </x:c>
      <x:c r="C15" s="44" t="str">
        <x:v>导流、恢复、渗透</x:v>
      </x:c>
      <x:c r="D15" s="44" t="str">
        <x:v>把药力送开、铺匀、回转</x:v>
      </x:c>
      <x:c r="E15" s="15"/>
      <x:c r="F15" s="44" t="str">
        <x:v>平</x:v>
      </x:c>
      <x:c r="G15" s="44" t="n">
        <x:v>0</x:v>
      </x:c>
      <x:c r="H15" s="44" t="str">
        <x:v>主本：最基础、最直白</x:v>
      </x:c>
    </x:row>
    <x:row r="16" ht="30" customHeight="1">
      <x:c r="A16" s="44" t="str">
        <x:v>火</x:v>
      </x:c>
      <x:c r="B16" s="44" t="str">
        <x:v>主化</x:v>
      </x:c>
      <x:c r="C16" s="44" t="str">
        <x:v>激活、转化、爆发</x:v>
      </x:c>
      <x:c r="D16" s="44" t="str">
        <x:v>把潜力点燃并快速改变</x:v>
      </x:c>
      <x:c r="E16" s="15"/>
      <x:c r="F16" s="44" t="str">
        <x:v>温</x:v>
      </x:c>
      <x:c r="G16" s="44" t="n">
        <x:v>1</x:v>
      </x:c>
      <x:c r="H16" s="44" t="str">
        <x:v>主速：速度、频率、周转</x:v>
      </x:c>
    </x:row>
    <x:row r="17" ht="30" customHeight="1">
      <x:c r="A17" s="44" t="str">
        <x:v>土</x:v>
      </x:c>
      <x:c r="B17" s="44" t="str">
        <x:v>主载</x:v>
      </x:c>
      <x:c r="C17" s="44" t="str">
        <x:v>承载、积累、稳固</x:v>
      </x:c>
      <x:c r="D17" s="44" t="str">
        <x:v>把力量托住、压实、留下</x:v>
      </x:c>
      <x:c r="E17" s="15"/>
      <x:c r="F17" s="44" t="str">
        <x:v>热</x:v>
      </x:c>
      <x:c r="G17" s="44" t="n">
        <x:v>2</x:v>
      </x:c>
      <x:c r="H17" s="44" t="str">
        <x:v>主爆：峰值、穿透、强制变化＋反噬</x:v>
      </x:c>
    </x:row>
    <x:row r="18" ht="30" customHeight="1">
      <x:c r="A18" s="15"/>
      <x:c r="B18" s="15"/>
      <x:c r="C18" s="15"/>
      <x:c r="D18" s="15"/>
      <x:c r="E18" s="15"/>
      <x:c r="F18" s="15"/>
      <x:c r="G18" s="15"/>
      <x:c r="H18" s="15"/>
    </x:row>
    <x:row r="19" ht="30" customHeight="1">
      <x:c r="A19" s="15"/>
      <x:c r="B19" s="15"/>
      <x:c r="C19" s="15"/>
      <x:c r="D19" s="15"/>
      <x:c r="E19" s="15"/>
      <x:c r="F19" s="15"/>
      <x:c r="G19" s="15"/>
      <x:c r="H19" s="15"/>
    </x:row>
    <x:row r="20" ht="32" customHeight="1">
      <x:c r="A20" s="43" t="str">
        <x:v>程序判定顺序</x:v>
      </x:c>
      <x:c r="B20" s="43" t="str">
        <x:v>规则</x:v>
      </x:c>
      <x:c r="C20" s="43" t="str"/>
      <x:c r="D20" s="43" t="str"/>
      <x:c r="E20" s="43" t="str"/>
      <x:c r="F20" s="43" t="str"/>
      <x:c r="G20" s="43" t="str"/>
      <x:c r="H20" s="43" t="str"/>
    </x:row>
    <x:row r="21" ht="46" customHeight="1">
      <x:c r="A21" s="44" t="n">
        <x:v>1</x:v>
      </x:c>
      <x:c r="B21" s="44" t="str">
        <x:v>检查一份君药与臣佐使位置齐全</x:v>
      </x:c>
      <x:c r="C21" s="44" t="str"/>
      <x:c r="D21" s="44" t="str"/>
      <x:c r="E21" s="44" t="str"/>
      <x:c r="F21" s="44" t="str"/>
      <x:c r="G21" s="44" t="str"/>
      <x:c r="H21" s="44" t="str"/>
    </x:row>
    <x:row r="22" ht="46" customHeight="1">
      <x:c r="A22" s="44" t="n">
        <x:v>2</x:v>
      </x:c>
      <x:c r="B22" s="44" t="str">
        <x:v>效果坐标＝臣五行×使五味×全炉最终五性</x:v>
      </x:c>
      <x:c r="C22" s="44" t="str"/>
      <x:c r="D22" s="44" t="str"/>
      <x:c r="E22" s="44" t="str"/>
      <x:c r="F22" s="44" t="str"/>
      <x:c r="G22" s="44" t="str"/>
      <x:c r="H22" s="44" t="str"/>
    </x:row>
    <x:row r="23" ht="46" customHeight="1">
      <x:c r="A23" s="44" t="n">
        <x:v>3</x:v>
      </x:c>
      <x:c r="B23" s="44" t="str">
        <x:v>总药力P＝p君+n臣p臣+n佐p佐+n使p使；P＞U失败</x:v>
      </x:c>
      <x:c r="C23" s="44" t="str"/>
      <x:c r="D23" s="44" t="str"/>
      <x:c r="E23" s="44" t="str"/>
      <x:c r="F23" s="44" t="str"/>
      <x:c r="G23" s="44" t="str"/>
      <x:c r="H23" s="44" t="str"/>
    </x:row>
    <x:row r="24" ht="46" customHeight="1">
      <x:c r="A24" s="44" t="n">
        <x:v>4</x:v>
      </x:c>
      <x:c r="B24" s="44" t="str">
        <x:v>全炉性值S＝s君+n臣s臣+n佐s佐+n使s使；S须在-2到+2</x:v>
      </x:c>
      <x:c r="C24" s="44" t="str"/>
      <x:c r="D24" s="44" t="str"/>
      <x:c r="E24" s="44" t="str"/>
      <x:c r="F24" s="44" t="str"/>
      <x:c r="G24" s="44" t="str"/>
      <x:c r="H24" s="44" t="str"/>
    </x:row>
    <x:row r="25" ht="46" customHeight="1">
      <x:c r="A25" s="44" t="n">
        <x:v>5</x:v>
      </x:c>
      <x:c r="B25" s="44" t="str">
        <x:v>按P/U、灵植品质、炼丹技能与丹炉品质抽取君药品质池内的成品品质</x:v>
      </x:c>
      <x:c r="C25" s="44" t="str"/>
      <x:c r="D25" s="44" t="str"/>
      <x:c r="E25" s="44" t="str"/>
      <x:c r="F25" s="44" t="str"/>
      <x:c r="G25" s="44" t="str"/>
      <x:c r="H25" s="44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5" t="str">
        <x:v>125格母表审核统计</x:v>
      </x:c>
      <x:c r="B1" s="45"/>
      <x:c r="C1" s="45"/>
      <x:c r="D1" s="45"/>
      <x:c r="E1" s="45"/>
      <x:c r="F1" s="45"/>
      <x:c r="G1" s="45"/>
      <x:c r="H1" s="45"/>
    </x:row>
    <x:row r="2" ht="26" customHeight="1">
      <x:c r="A2" s="51"/>
      <x:c r="B2" s="51"/>
      <x:c r="C2" s="51"/>
      <x:c r="D2" s="51"/>
      <x:c r="E2" s="51"/>
      <x:c r="F2" s="51"/>
      <x:c r="G2" s="51"/>
      <x:c r="H2" s="51"/>
    </x:row>
    <x:row r="3" ht="26" customHeight="1">
      <x:c r="A3" s="52" t="str">
        <x:v>总量检查</x:v>
      </x:c>
      <x:c r="B3" s="52" t="str">
        <x:v>结果</x:v>
      </x:c>
      <x:c r="C3" s="51"/>
      <x:c r="D3" s="52" t="str">
        <x:v>作用域</x:v>
      </x:c>
      <x:c r="E3" s="52" t="str">
        <x:v>行数</x:v>
      </x:c>
      <x:c r="F3" s="51"/>
      <x:c r="G3" s="52" t="str">
        <x:v>五性</x:v>
      </x:c>
      <x:c r="H3" s="52" t="str">
        <x:v>行数</x:v>
      </x:c>
    </x:row>
    <x:row r="4" ht="26" customHeight="1">
      <x:c r="A4" s="53" t="str">
        <x:v>数据行数</x:v>
      </x:c>
      <x:c r="B4" s="53" t="n">
        <x:f>COUNTA('125格母表'!$B$5:$B$129)</x:f>
        <x:v>125</x:v>
      </x:c>
      <x:c r="C4" s="51"/>
      <x:c r="D4" s="53" t="str">
        <x:v>修炼／丹田</x:v>
      </x:c>
      <x:c r="E4" s="53" t="n">
        <x:f>COUNTIF('125格母表'!$E$5:$E$129,D4)</x:f>
        <x:v>25</x:v>
      </x:c>
      <x:c r="F4" s="51"/>
      <x:c r="G4" s="53" t="str">
        <x:v>寒</x:v>
      </x:c>
      <x:c r="H4" s="53" t="n">
        <x:f>COUNTIF('125格母表'!$G$5:$G$129,G4)</x:f>
        <x:v>25</x:v>
      </x:c>
    </x:row>
    <x:row r="5" ht="26" customHeight="1">
      <x:c r="A5" s="53" t="str">
        <x:v>空白效果坐标</x:v>
      </x:c>
      <x:c r="B5" s="53" t="n">
        <x:f>COUNTBLANK('125格母表'!$B$5:$B$129)</x:f>
        <x:v>0</x:v>
      </x:c>
      <x:c r="C5" s="51"/>
      <x:c r="D5" s="53" t="str">
        <x:v>灵法／气脉</x:v>
      </x:c>
      <x:c r="E5" s="53" t="n">
        <x:f>COUNTIF('125格母表'!$E$5:$E$129,D5)</x:f>
        <x:v>25</x:v>
      </x:c>
      <x:c r="F5" s="51"/>
      <x:c r="G5" s="53" t="str">
        <x:v>凉</x:v>
      </x:c>
      <x:c r="H5" s="53" t="n">
        <x:f>COUNTIF('125格母表'!$G$5:$G$129,G5)</x:f>
        <x:v>25</x:v>
      </x:c>
    </x:row>
    <x:row r="6" ht="26" customHeight="1">
      <x:c r="A6" s="53" t="str">
        <x:v>空白丹效白话</x:v>
      </x:c>
      <x:c r="B6" s="53" t="n">
        <x:f>COUNTBLANK('125格母表'!$J$5:$J$129)</x:f>
        <x:v>0</x:v>
      </x:c>
      <x:c r="C6" s="51"/>
      <x:c r="D6" s="53" t="str">
        <x:v>根基／骨底</x:v>
      </x:c>
      <x:c r="E6" s="53" t="n">
        <x:f>COUNTIF('125格母表'!$E$5:$E$129,D6)</x:f>
        <x:v>25</x:v>
      </x:c>
      <x:c r="F6" s="51"/>
      <x:c r="G6" s="53" t="str">
        <x:v>平</x:v>
      </x:c>
      <x:c r="H6" s="53" t="n">
        <x:f>COUNTIF('125格母表'!$G$5:$G$129,G6)</x:f>
        <x:v>25</x:v>
      </x:c>
    </x:row>
    <x:row r="7" ht="26" customHeight="1">
      <x:c r="A7" s="53" t="str">
        <x:v>空白实现类型1</x:v>
      </x:c>
      <x:c r="B7" s="53" t="n">
        <x:f>COUNTBLANK('125格母表'!$L$5:$L$129)</x:f>
        <x:v>0</x:v>
      </x:c>
      <x:c r="C7" s="51"/>
      <x:c r="D7" s="53" t="str">
        <x:v>心神</x:v>
      </x:c>
      <x:c r="E7" s="53" t="n">
        <x:f>COUNTIF('125格母表'!$E$5:$E$129,D7)</x:f>
        <x:v>25</x:v>
      </x:c>
      <x:c r="F7" s="51"/>
      <x:c r="G7" s="53" t="str">
        <x:v>温</x:v>
      </x:c>
      <x:c r="H7" s="53" t="n">
        <x:f>COUNTIF('125格母表'!$G$5:$G$129,G7)</x:f>
        <x:v>25</x:v>
      </x:c>
    </x:row>
    <x:row r="8" ht="26" customHeight="1">
      <x:c r="A8" s="53" t="str">
        <x:v>核心丹数量</x:v>
      </x:c>
      <x:c r="B8" s="53" t="n">
        <x:f>COUNTIF('125格母表'!$K$5:$K$129,"核心")</x:f>
        <x:v>51</x:v>
      </x:c>
      <x:c r="C8" s="51"/>
      <x:c r="D8" s="53" t="str">
        <x:v>气血／血肉</x:v>
      </x:c>
      <x:c r="E8" s="53" t="n">
        <x:f>COUNTIF('125格母表'!$E$5:$E$129,D8)</x:f>
        <x:v>25</x:v>
      </x:c>
      <x:c r="F8" s="51"/>
      <x:c r="G8" s="53" t="str">
        <x:v>热</x:v>
      </x:c>
      <x:c r="H8" s="53" t="n">
        <x:f>COUNTIF('125格母表'!$G$5:$G$129,G8)</x:f>
        <x:v>25</x:v>
      </x:c>
    </x:row>
    <x:row r="9" ht="26" customHeight="1">
      <x:c r="A9" s="53" t="str">
        <x:v>常用丹数量</x:v>
      </x:c>
      <x:c r="B9" s="53" t="n">
        <x:f>COUNTIF('125格母表'!$K$5:$K$129,"常用")</x:f>
        <x:v>64</x:v>
      </x:c>
      <x:c r="C9" s="51"/>
      <x:c r="D9" s="51"/>
      <x:c r="E9" s="51"/>
      <x:c r="F9" s="51"/>
      <x:c r="G9" s="51"/>
      <x:c r="H9" s="51"/>
    </x:row>
    <x:row r="10" ht="26" customHeight="1">
      <x:c r="A10" s="51"/>
      <x:c r="B10" s="51"/>
      <x:c r="C10" s="51"/>
      <x:c r="D10" s="51"/>
      <x:c r="E10" s="51"/>
      <x:c r="F10" s="51"/>
      <x:c r="G10" s="51"/>
      <x:c r="H10" s="51"/>
    </x:row>
    <x:row r="11" ht="26" customHeight="1">
      <x:c r="A11" s="51"/>
      <x:c r="B11" s="51"/>
      <x:c r="C11" s="51"/>
      <x:c r="D11" s="51"/>
      <x:c r="E11" s="51"/>
      <x:c r="F11" s="51"/>
      <x:c r="G11" s="51"/>
      <x:c r="H11" s="51"/>
    </x:row>
    <x:row r="12" ht="26" customHeight="1">
      <x:c r="A12" s="52" t="str">
        <x:v>五行</x:v>
      </x:c>
      <x:c r="B12" s="52" t="str">
        <x:v>行数</x:v>
      </x:c>
      <x:c r="C12" s="51"/>
      <x:c r="D12" s="51"/>
      <x:c r="E12" s="51"/>
      <x:c r="F12" s="51"/>
      <x:c r="G12" s="51"/>
      <x:c r="H12" s="51"/>
    </x:row>
    <x:row r="13" ht="26" customHeight="1">
      <x:c r="A13" s="53" t="str">
        <x:v>金</x:v>
      </x:c>
      <x:c r="B13" s="53" t="n">
        <x:f>COUNTIF('125格母表'!$F$5:$F$129,A13)</x:f>
        <x:v>25</x:v>
      </x:c>
      <x:c r="C13" s="51"/>
      <x:c r="D13" s="51"/>
      <x:c r="E13" s="51"/>
      <x:c r="F13" s="51"/>
      <x:c r="G13" s="51"/>
      <x:c r="H13" s="51"/>
    </x:row>
    <x:row r="14" ht="26" customHeight="1">
      <x:c r="A14" s="53" t="str">
        <x:v>木</x:v>
      </x:c>
      <x:c r="B14" s="53" t="n">
        <x:f>COUNTIF('125格母表'!$F$5:$F$129,A14)</x:f>
        <x:v>25</x:v>
      </x:c>
      <x:c r="C14" s="51"/>
      <x:c r="D14" s="51"/>
      <x:c r="E14" s="51"/>
      <x:c r="F14" s="51"/>
      <x:c r="G14" s="51"/>
      <x:c r="H14" s="51"/>
    </x:row>
    <x:row r="15" ht="26" customHeight="1">
      <x:c r="A15" s="53" t="str">
        <x:v>水</x:v>
      </x:c>
      <x:c r="B15" s="53" t="n">
        <x:f>COUNTIF('125格母表'!$F$5:$F$129,A15)</x:f>
        <x:v>25</x:v>
      </x:c>
      <x:c r="C15" s="51"/>
      <x:c r="D15" s="51"/>
      <x:c r="E15" s="51"/>
      <x:c r="F15" s="51"/>
      <x:c r="G15" s="51"/>
      <x:c r="H15" s="51"/>
    </x:row>
    <x:row r="16" ht="26" customHeight="1">
      <x:c r="A16" s="53" t="str">
        <x:v>火</x:v>
      </x:c>
      <x:c r="B16" s="53" t="n">
        <x:f>COUNTIF('125格母表'!$F$5:$F$129,A16)</x:f>
        <x:v>25</x:v>
      </x:c>
      <x:c r="C16" s="51"/>
      <x:c r="D16" s="51"/>
      <x:c r="E16" s="51"/>
      <x:c r="F16" s="51"/>
      <x:c r="G16" s="51"/>
      <x:c r="H16" s="51"/>
    </x:row>
    <x:row r="17" ht="26" customHeight="1">
      <x:c r="A17" s="53" t="str">
        <x:v>土</x:v>
      </x:c>
      <x:c r="B17" s="53" t="n">
        <x:f>COUNTIF('125格母表'!$F$5:$F$129,A17)</x:f>
        <x:v>25</x:v>
      </x:c>
      <x:c r="C17" s="51"/>
      <x:c r="D17" s="51"/>
      <x:c r="E17" s="51"/>
      <x:c r="F17" s="51"/>
      <x:c r="G17" s="51"/>
      <x:c r="H17" s="51"/>
    </x:row>
  </x:sheetData>
  <x:mergeCells>
    <x:mergeCell ref="A1:H1"/>
  </x:mergeCells>
  <x:conditionalFormatting sqref="B4:B4">
    <x:cfRule type="cellIs" dxfId="8" priority="1" operator="equal">
      <x:formula>125</x:formula>
    </x:cfRule>
  </x:conditionalFormatting>
  <x:conditionalFormatting sqref="B5:B7">
    <x:cfRule type="cellIs" dxfId="9" priority="2" operator="equal">
      <x:formula>0</x:formula>
    </x:cfRule>
  </x:conditionalFormatting>
  <x:pageMargins left="0.7" right="0.7" top="0.75" bottom="0.75" header="0.3" footer="0.3"/>
</x:worksheet>
</file>