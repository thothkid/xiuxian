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920" windowHeight="17655"/>
  </bookViews>
  <sheets>
    <sheet name="realm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<sst xmlns="http://schemas.openxmlformats.org/spreadsheetml/2006/main" count="707" uniqueCount="153">
  <si>
    <t>##var</t>
  </si>
  <si>
    <t>level</t>
  </si>
  <si>
    <t>realm_id</t>
  </si>
  <si>
    <t>realm_name</t>
  </si>
  <si>
    <t>realm_sub_level</t>
  </si>
  <si>
    <t>boundary_type</t>
  </si>
  <si>
    <t>phase</t>
  </si>
  <si>
    <t>display_name</t>
  </si>
  <si>
    <t>base_success_rate</t>
  </si>
  <si>
    <t>challenge_condition_group</t>
  </si>
  <si>
    <t>fail_weakness</t>
  </si>
  <si>
    <t>base_cult_rate</t>
  </si>
  <si>
    <t>spirit_absorb</t>
  </si>
  <si>
    <t>conversion_base</t>
  </si>
  <si>
    <t>materials</t>
  </si>
  <si>
    <t>attrs</t>
  </si>
  <si>
    <t>exp_level_up</t>
  </si>
  <si>
    <t>skill</t>
  </si>
  <si>
    <t>##type</t>
  </si>
  <si>
    <t>int</t>
  </si>
  <si>
    <t>string</t>
  </si>
  <si>
    <t>array,RecMaterial</t>
  </si>
  <si>
    <t>array,Attr</t>
  </si>
  <si>
    <t>float</t>
  </si>
  <si>
    <t>##group</t>
  </si>
  <si>
    <t>##</t>
  </si>
  <si>
    <t>0等级</t>
  </si>
  <si>
    <t>大境界ID</t>
  </si>
  <si>
    <t>大境界</t>
  </si>
  <si>
    <t>小境界</t>
  </si>
  <si>
    <t>突破</t>
  </si>
  <si>
    <t>阶段名称</t>
  </si>
  <si>
    <t>玩家展示名称</t>
  </si>
  <si>
    <t>基础成功率</t>
  </si>
  <si>
    <t>挑战条件组</t>
  </si>
  <si>
    <t>基础虚弱时间</t>
  </si>
  <si>
    <t>每时辰基础修为</t>
  </si>
  <si>
    <t>每时辰灵气吸收</t>
  </si>
  <si>
    <t>基础转化值</t>
  </si>
  <si>
    <t>突破材料1</t>
  </si>
  <si>
    <t>数量1</t>
  </si>
  <si>
    <t>突破材料2</t>
  </si>
  <si>
    <t>数量2</t>
  </si>
  <si>
    <t>突破材料3</t>
  </si>
  <si>
    <t>数量3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</si>
  <si>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</si>
  <si>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</si>
  <si>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</si>
  <si>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</si>
  <si>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</si>
  <si>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</si>
  <si>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</si>
  <si>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</si>
  <si>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0角色升级所需修为</t>
  </si>
  <si>
    <t>0默认技能</t>
  </si>
  <si>
    <t>炼气</t>
  </si>
  <si>
    <t>小</t>
  </si>
  <si>
    <t>前期</t>
  </si>
  <si>
    <t>炼气一层</t>
  </si>
  <si>
    <t>生命值</t>
  </si>
  <si>
    <t>灵力值</t>
  </si>
  <si>
    <t>攻击下限</t>
  </si>
  <si>
    <t>攻击上限</t>
  </si>
  <si>
    <t>炼气二层</t>
  </si>
  <si>
    <t>炼气三层</t>
  </si>
  <si>
    <t>中期</t>
  </si>
  <si>
    <t>炼气四层</t>
  </si>
  <si>
    <t>炼气五层</t>
  </si>
  <si>
    <t>炼气六层</t>
  </si>
  <si>
    <t>后期</t>
  </si>
  <si>
    <t>炼气七层</t>
  </si>
  <si>
    <t>炼气八层</t>
  </si>
  <si>
    <t>炼气九层</t>
  </si>
  <si>
    <t>大</t>
  </si>
  <si>
    <t>圆满</t>
  </si>
  <si>
    <t>炼气圆满</t>
  </si>
  <si>
    <t>筑基</t>
  </si>
  <si>
    <t>筑基一层</t>
  </si>
  <si>
    <t>筑基二层</t>
  </si>
  <si>
    <t>筑基三层</t>
  </si>
  <si>
    <t>筑基四层</t>
  </si>
  <si>
    <t>筑基五层</t>
  </si>
  <si>
    <t>筑基六层</t>
  </si>
  <si>
    <t>筑基七层</t>
  </si>
  <si>
    <t>筑基八层</t>
  </si>
  <si>
    <t>筑基九层</t>
  </si>
  <si>
    <t>筑基圆满</t>
  </si>
  <si>
    <t>金丹</t>
  </si>
  <si>
    <t>金丹一层</t>
  </si>
  <si>
    <t>金丹二层</t>
  </si>
  <si>
    <t>金丹三层</t>
  </si>
  <si>
    <t>金丹四层</t>
  </si>
  <si>
    <t>金丹五层</t>
  </si>
  <si>
    <t>金丹六层</t>
  </si>
  <si>
    <t>金丹七层</t>
  </si>
  <si>
    <t>金丹八层</t>
  </si>
  <si>
    <t>金丹九层</t>
  </si>
  <si>
    <t>金丹圆满</t>
  </si>
  <si>
    <t>元婴</t>
  </si>
  <si>
    <t>元婴一层</t>
  </si>
  <si>
    <t>元婴二层</t>
  </si>
  <si>
    <t>元婴三层</t>
  </si>
  <si>
    <t>元婴四层</t>
  </si>
  <si>
    <t>元婴五层</t>
  </si>
  <si>
    <t>元婴六层</t>
  </si>
  <si>
    <t>元婴七层</t>
  </si>
  <si>
    <t>元婴八层</t>
  </si>
  <si>
    <t>元婴九层</t>
  </si>
  <si>
    <t>元婴圆满</t>
  </si>
  <si>
    <t>化神</t>
  </si>
  <si>
    <t>化神一层</t>
  </si>
  <si>
    <t>化神二层</t>
  </si>
  <si>
    <t>化神三层</t>
  </si>
  <si>
    <t>化神四层</t>
  </si>
  <si>
    <t>化神五层</t>
  </si>
  <si>
    <t>化神六层</t>
  </si>
  <si>
    <t>化神七层</t>
  </si>
  <si>
    <t>化神八层</t>
  </si>
  <si>
    <t>化神九层</t>
  </si>
  <si>
    <t>化神圆满</t>
  </si>
  <si>
    <t>炼虚</t>
  </si>
  <si>
    <t>炼虚一层</t>
  </si>
  <si>
    <t>炼虚二层</t>
  </si>
  <si>
    <t>炼虚三层</t>
  </si>
  <si>
    <t>炼虚四层</t>
  </si>
  <si>
    <t>炼虚五层</t>
  </si>
  <si>
    <t>炼虚六层</t>
  </si>
  <si>
    <t>炼虚七层</t>
  </si>
  <si>
    <t>炼虚八层</t>
  </si>
  <si>
    <t>炼虚九层</t>
  </si>
  <si>
    <t>炼虚圆满</t>
  </si>
  <si>
    <t>合体</t>
  </si>
  <si>
    <t>合体一层</t>
  </si>
  <si>
    <t>合体二层</t>
  </si>
  <si>
    <t>合体三层</t>
  </si>
  <si>
    <t>合体四层</t>
  </si>
  <si>
    <t>合体五层</t>
  </si>
  <si>
    <t>合体六层</t>
  </si>
  <si>
    <t>合体七层</t>
  </si>
  <si>
    <t>合体八层</t>
  </si>
  <si>
    <t>合体九层</t>
  </si>
  <si>
    <t>合体圆满</t>
  </si>
  <si>
    <t>大乘</t>
  </si>
  <si>
    <t>大乘一层</t>
  </si>
  <si>
    <t>大乘二层</t>
  </si>
  <si>
    <t>大乘三层</t>
  </si>
  <si>
    <t>大乘四层</t>
  </si>
  <si>
    <t>大乘五层</t>
  </si>
  <si>
    <t>大乘六层</t>
  </si>
  <si>
    <t>大乘七层</t>
  </si>
  <si>
    <t>大乘八层</t>
  </si>
  <si>
    <t>大乘九层</t>
  </si>
  <si>
    <t>大乘圆满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</si>
</sst>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0_ "/>
    <numFmt numFmtId="178" formatCode="#,##0_ "/>
  </numFmts>
  <fonts count="25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6" borderId="11">
      <alignment vertical="center"/>
    </xf>
    <xf numFmtId="0" fontId="14" fillId="7" borderId="12">
      <alignment vertical="center"/>
    </xf>
    <xf numFmtId="0" fontId="15" fillId="7" borderId="11">
      <alignment vertical="center"/>
    </xf>
    <xf numFmtId="0" fontId="16" fillId="8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4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76" fontId="1" fillId="2" borderId="0" xfId="0" applyNumberFormat="1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2" borderId="4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4"/>
  <sheetViews>
    <sheetView tabSelected="1" topLeftCell="A5" workbookViewId="0">
      <selection activeCell="F75" sqref="F75:F84"/>
    </sheetView>
  </sheetViews>
  <sheetFormatPr defaultColWidth="9" defaultRowHeight="14.25"/>
  <cols>
    <col min="1" max="1" width="9.5" style="1" customWidth="1"/>
    <col min="2" max="24" width="10" style="1" customWidth="1"/>
    <col min="25" max="25" width="9.83333333333333" style="1" customWidth="1"/>
    <col min="26" max="26" width="9.5" style="1" customWidth="1"/>
    <col min="27" max="27" width="9.83333333333333" style="1" customWidth="1"/>
    <col min="28" max="28" width="9.5" style="1" customWidth="1"/>
    <col min="29" max="29" width="14.4166666666667" style="1" customWidth="1"/>
    <col min="30" max="30" width="8.5" style="1" customWidth="1"/>
    <col min="31" max="31" width="11.0833333333333" style="1" customWidth="1"/>
    <col min="32" max="16384" width="9" style="1" customWidth="1"/>
  </cols>
  <sheetData>
    <row r="1" ht="42.75" customHeight="1" spans="1:3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U1" s="5" t="s">
        <v>15</v>
      </c>
      <c r="V1" s="6"/>
      <c r="W1" s="6"/>
      <c r="X1" s="6"/>
      <c r="Y1" s="6"/>
      <c r="Z1" s="6"/>
      <c r="AA1" s="6"/>
      <c r="AB1" s="7"/>
      <c r="AC1" s="8" t="s">
        <v>16</v>
      </c>
      <c r="AD1" s="1" t="s">
        <v>17</v>
      </c>
    </row>
    <row r="2" spans="1:36">
      <c r="A2" s="2" t="s">
        <v>18</v>
      </c>
      <c r="B2" s="2" t="s">
        <v>19</v>
      </c>
      <c r="C2" s="2" t="s">
        <v>19</v>
      </c>
      <c r="D2" s="2" t="s">
        <v>20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9" t="s">
        <v>21</v>
      </c>
      <c r="P2" s="10"/>
      <c r="Q2" s="10"/>
      <c r="R2" s="10"/>
      <c r="S2" s="10"/>
      <c r="T2" s="11"/>
      <c r="U2" s="5" t="s">
        <v>22</v>
      </c>
      <c r="V2" s="6"/>
      <c r="W2" s="6"/>
      <c r="X2" s="6"/>
      <c r="Y2" s="6"/>
      <c r="Z2" s="6"/>
      <c r="AA2" s="6"/>
      <c r="AB2" s="7"/>
      <c r="AC2" s="8" t="s">
        <v>23</v>
      </c>
      <c r="AD2" s="1" t="s">
        <v>19</v>
      </c>
    </row>
    <row r="3" spans="1:36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2"/>
      <c r="P3" s="12"/>
      <c r="Q3" s="12"/>
      <c r="R3" s="12"/>
      <c r="S3" s="12"/>
      <c r="T3" s="13"/>
      <c r="U3" s="5"/>
      <c r="V3" s="14"/>
      <c r="W3" s="5"/>
      <c r="X3" s="14"/>
      <c r="Y3" s="5"/>
      <c r="Z3" s="14"/>
      <c r="AA3" s="5"/>
      <c r="AB3" s="14"/>
      <c r="AC3" s="8"/>
    </row>
    <row r="4" spans="1:36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12" t="s">
        <v>39</v>
      </c>
      <c r="P4" s="12" t="s">
        <v>40</v>
      </c>
      <c r="Q4" s="12" t="s">
        <v>41</v>
      </c>
      <c r="R4" s="12" t="s">
        <v>42</v>
      </c>
      <c r="S4" s="12" t="s">
        <v>43</v>
      </c>
      <c r="T4" s="12" t="s">
        <v>44</v>
      </c>
      <c r="U4" s="5" t="s">
        <v>45</v>
      </c>
      <c r="V4" s="14" t="s">
        <v>46</v>
      </c>
      <c r="W4" s="5" t="s">
        <v>47</v>
      </c>
      <c r="X4" s="14" t="s">
        <v>48</v>
      </c>
      <c r="Y4" s="5" t="s">
        <v>49</v>
      </c>
      <c r="Z4" s="14" t="s">
        <v>50</v>
      </c>
      <c r="AA4" s="5" t="s">
        <v>51</v>
      </c>
      <c r="AB4" s="14" t="s">
        <v>52</v>
      </c>
      <c r="AC4" s="8" t="s">
        <v>53</v>
      </c>
      <c r="AD4" s="1" t="s">
        <v>54</v>
      </c>
      <c r="AE4" s="8"/>
    </row>
    <row r="5" spans="1:36">
      <c r="B5" s="1">
        <v>1</v>
      </c>
      <c r="C5" s="1">
        <v>1</v>
      </c>
      <c r="D5" s="1" t="s">
        <v>55</v>
      </c>
      <c r="E5" s="1">
        <v>1</v>
      </c>
      <c r="F5" t="s">
        <v>56</v>
      </c>
      <c r="G5" s="1" t="s">
        <v>57</v>
      </c>
      <c r="H5" s="1" t="s">
        <v>58</v>
      </c>
      <c r="I5">
        <v>10000</v>
      </c>
      <c r="L5" s="1">
        <v>1</v>
      </c>
      <c r="M5" s="1">
        <v>10</v>
      </c>
      <c r="N5" s="1">
        <v>10</v>
      </c>
      <c r="U5" s="15" t="s">
        <v>59</v>
      </c>
      <c r="V5" s="15">
        <v>60</v>
      </c>
      <c r="W5" s="16" t="s">
        <v>60</v>
      </c>
      <c r="X5" s="16">
        <f t="shared" ref="X5:X68" si="0">ROUND(V5*2/3,0)</f>
        <v>40</v>
      </c>
      <c r="Y5" s="17" t="s">
        <v>61</v>
      </c>
      <c r="Z5" s="17">
        <v>0</v>
      </c>
      <c r="AA5" s="17" t="s">
        <v>62</v>
      </c>
      <c r="AB5" s="16">
        <v>0</v>
      </c>
      <c r="AC5" s="18">
        <v>0</v>
      </c>
      <c r="AD5" s="19">
        <v>10010001</v>
      </c>
      <c r="AF5" s="1">
        <v>0</v>
      </c>
      <c r="AH5" s="20">
        <v>698</v>
      </c>
    </row>
    <row r="6" spans="1:36">
      <c r="B6" s="1">
        <v>2</v>
      </c>
      <c r="C6" s="1">
        <v>1</v>
      </c>
      <c r="D6" s="1" t="s">
        <v>55</v>
      </c>
      <c r="E6" s="1">
        <v>2</v>
      </c>
      <c r="F6" t="s">
        <v>56</v>
      </c>
      <c r="G6" s="1" t="s">
        <v>57</v>
      </c>
      <c r="H6" s="1" t="s">
        <v>63</v>
      </c>
      <c r="I6">
        <v>10000</v>
      </c>
      <c r="L6" s="1">
        <v>2</v>
      </c>
      <c r="M6" s="1">
        <v>20</v>
      </c>
      <c r="N6" s="1">
        <v>20</v>
      </c>
      <c r="U6" s="15" t="s">
        <v>59</v>
      </c>
      <c r="V6" s="15">
        <v>6</v>
      </c>
      <c r="W6" s="16" t="s">
        <v>60</v>
      </c>
      <c r="X6" s="16">
        <f t="shared" si="0"/>
        <v>4</v>
      </c>
      <c r="Y6" s="17" t="s">
        <v>61</v>
      </c>
      <c r="Z6" s="17">
        <v>0</v>
      </c>
      <c r="AA6" s="17" t="s">
        <v>62</v>
      </c>
      <c r="AB6" s="16">
        <v>0</v>
      </c>
      <c r="AC6" s="18">
        <v>50</v>
      </c>
      <c r="AF6" s="1">
        <v>50</v>
      </c>
      <c r="AH6" s="20">
        <v>1395</v>
      </c>
      <c r="AJ6" s="19"/>
    </row>
    <row r="7" spans="1:36">
      <c r="B7" s="1">
        <v>3</v>
      </c>
      <c r="C7" s="1">
        <v>1</v>
      </c>
      <c r="D7" s="1" t="s">
        <v>55</v>
      </c>
      <c r="E7" s="1">
        <v>3</v>
      </c>
      <c r="F7" t="s">
        <v>56</v>
      </c>
      <c r="G7" s="1" t="s">
        <v>57</v>
      </c>
      <c r="H7" s="1" t="s">
        <v>64</v>
      </c>
      <c r="I7">
        <v>5000</v>
      </c>
      <c r="K7" s="1">
        <v>3600</v>
      </c>
      <c r="L7" s="1">
        <v>3</v>
      </c>
      <c r="M7" s="1">
        <v>30</v>
      </c>
      <c r="N7" s="1">
        <v>30</v>
      </c>
      <c r="U7" s="15" t="s">
        <v>59</v>
      </c>
      <c r="V7" s="15">
        <v>6</v>
      </c>
      <c r="W7" s="16" t="s">
        <v>60</v>
      </c>
      <c r="X7" s="16">
        <f t="shared" si="0"/>
        <v>4</v>
      </c>
      <c r="Y7" s="17" t="s">
        <v>61</v>
      </c>
      <c r="Z7" s="17">
        <v>0</v>
      </c>
      <c r="AA7" s="17" t="s">
        <v>62</v>
      </c>
      <c r="AB7" s="16">
        <v>0</v>
      </c>
      <c r="AC7" s="21">
        <v>67.0277777777778</v>
      </c>
      <c r="AF7" s="22">
        <v>67.0277777777778</v>
      </c>
      <c r="AH7" s="20">
        <v>2789</v>
      </c>
      <c r="AJ7" s="19"/>
    </row>
    <row r="8" spans="1:36">
      <c r="B8" s="1">
        <v>4</v>
      </c>
      <c r="C8" s="1">
        <v>1</v>
      </c>
      <c r="D8" s="1" t="s">
        <v>55</v>
      </c>
      <c r="E8" s="1">
        <v>4</v>
      </c>
      <c r="F8" t="s">
        <v>56</v>
      </c>
      <c r="G8" s="1" t="s">
        <v>65</v>
      </c>
      <c r="H8" s="1" t="s">
        <v>66</v>
      </c>
      <c r="I8">
        <v>10000</v>
      </c>
      <c r="L8" s="1">
        <v>4</v>
      </c>
      <c r="M8" s="1">
        <v>40</v>
      </c>
      <c r="N8" s="1">
        <v>40</v>
      </c>
      <c r="U8" s="15" t="s">
        <v>59</v>
      </c>
      <c r="V8" s="15">
        <v>6</v>
      </c>
      <c r="W8" s="16" t="s">
        <v>60</v>
      </c>
      <c r="X8" s="16">
        <f t="shared" si="0"/>
        <v>4</v>
      </c>
      <c r="Y8" s="17" t="s">
        <v>61</v>
      </c>
      <c r="Z8" s="17">
        <v>0</v>
      </c>
      <c r="AA8" s="17" t="s">
        <v>62</v>
      </c>
      <c r="AB8" s="16">
        <v>0</v>
      </c>
      <c r="AC8" s="21">
        <v>84.0555555555556</v>
      </c>
      <c r="AF8" s="22">
        <v>84.0555555555556</v>
      </c>
      <c r="AH8" s="20">
        <v>5578</v>
      </c>
      <c r="AJ8" s="19"/>
    </row>
    <row r="9" spans="1:36">
      <c r="B9" s="1">
        <v>5</v>
      </c>
      <c r="C9" s="1">
        <v>1</v>
      </c>
      <c r="D9" s="1" t="s">
        <v>55</v>
      </c>
      <c r="E9" s="1">
        <v>5</v>
      </c>
      <c r="F9" t="s">
        <v>56</v>
      </c>
      <c r="G9" s="1" t="s">
        <v>65</v>
      </c>
      <c r="H9" s="1" t="s">
        <v>67</v>
      </c>
      <c r="I9">
        <v>10000</v>
      </c>
      <c r="L9" s="1">
        <v>5</v>
      </c>
      <c r="M9" s="1">
        <v>50</v>
      </c>
      <c r="N9" s="1">
        <v>50</v>
      </c>
      <c r="U9" s="15" t="s">
        <v>59</v>
      </c>
      <c r="V9" s="15">
        <v>6</v>
      </c>
      <c r="W9" s="16" t="s">
        <v>60</v>
      </c>
      <c r="X9" s="16">
        <f t="shared" si="0"/>
        <v>4</v>
      </c>
      <c r="Y9" s="17" t="s">
        <v>61</v>
      </c>
      <c r="Z9" s="17">
        <v>0</v>
      </c>
      <c r="AA9" s="17" t="s">
        <v>62</v>
      </c>
      <c r="AB9" s="16">
        <v>1</v>
      </c>
      <c r="AC9" s="21">
        <v>101.083333333333</v>
      </c>
      <c r="AF9" s="22">
        <v>101.083333333333</v>
      </c>
      <c r="AH9" s="20">
        <v>7154</v>
      </c>
      <c r="AJ9" s="19"/>
    </row>
    <row r="10" spans="1:36">
      <c r="B10" s="1">
        <v>6</v>
      </c>
      <c r="C10" s="1">
        <v>1</v>
      </c>
      <c r="D10" s="1" t="s">
        <v>55</v>
      </c>
      <c r="E10" s="1">
        <v>6</v>
      </c>
      <c r="F10" t="s">
        <v>56</v>
      </c>
      <c r="G10" s="1" t="s">
        <v>65</v>
      </c>
      <c r="H10" s="1" t="s">
        <v>68</v>
      </c>
      <c r="I10">
        <v>5000</v>
      </c>
      <c r="K10" s="1">
        <v>3600</v>
      </c>
      <c r="L10" s="1">
        <v>6</v>
      </c>
      <c r="M10" s="1">
        <v>60</v>
      </c>
      <c r="N10" s="1">
        <v>60</v>
      </c>
      <c r="U10" s="15" t="s">
        <v>59</v>
      </c>
      <c r="V10" s="15">
        <v>6</v>
      </c>
      <c r="W10" s="16" t="s">
        <v>60</v>
      </c>
      <c r="X10" s="16">
        <f t="shared" si="0"/>
        <v>4</v>
      </c>
      <c r="Y10" s="17" t="s">
        <v>61</v>
      </c>
      <c r="Z10" s="17">
        <v>0</v>
      </c>
      <c r="AA10" s="17" t="s">
        <v>62</v>
      </c>
      <c r="AB10" s="16">
        <v>0</v>
      </c>
      <c r="AC10" s="21">
        <v>118.111111111111</v>
      </c>
      <c r="AF10" s="22">
        <v>118.111111111111</v>
      </c>
      <c r="AH10" s="20">
        <v>8593</v>
      </c>
      <c r="AJ10" s="19"/>
    </row>
    <row r="11" spans="1:36">
      <c r="B11" s="1">
        <v>7</v>
      </c>
      <c r="C11" s="1">
        <v>1</v>
      </c>
      <c r="D11" s="1" t="s">
        <v>55</v>
      </c>
      <c r="E11" s="1">
        <v>7</v>
      </c>
      <c r="F11" t="s">
        <v>56</v>
      </c>
      <c r="G11" s="1" t="s">
        <v>69</v>
      </c>
      <c r="H11" s="1" t="s">
        <v>70</v>
      </c>
      <c r="I11">
        <v>10000</v>
      </c>
      <c r="L11" s="1">
        <v>7</v>
      </c>
      <c r="M11" s="1">
        <v>70</v>
      </c>
      <c r="N11" s="1">
        <v>70</v>
      </c>
      <c r="U11" s="15" t="s">
        <v>59</v>
      </c>
      <c r="V11" s="15">
        <v>6</v>
      </c>
      <c r="W11" s="16" t="s">
        <v>60</v>
      </c>
      <c r="X11" s="16">
        <f t="shared" si="0"/>
        <v>4</v>
      </c>
      <c r="Y11" s="17" t="s">
        <v>61</v>
      </c>
      <c r="Z11" s="17">
        <v>0</v>
      </c>
      <c r="AA11" s="17" t="s">
        <v>62</v>
      </c>
      <c r="AB11" s="16">
        <v>0</v>
      </c>
      <c r="AC11" s="21">
        <v>135.138888888889</v>
      </c>
      <c r="AF11" s="22">
        <v>135.138888888889</v>
      </c>
      <c r="AH11" s="20">
        <v>10036</v>
      </c>
    </row>
    <row r="12" spans="1:36">
      <c r="B12" s="1">
        <v>8</v>
      </c>
      <c r="C12" s="1">
        <v>1</v>
      </c>
      <c r="D12" s="1" t="s">
        <v>55</v>
      </c>
      <c r="E12" s="1">
        <v>8</v>
      </c>
      <c r="F12" t="s">
        <v>56</v>
      </c>
      <c r="G12" s="1" t="s">
        <v>69</v>
      </c>
      <c r="H12" s="1" t="s">
        <v>71</v>
      </c>
      <c r="I12">
        <v>10000</v>
      </c>
      <c r="L12" s="1">
        <v>8</v>
      </c>
      <c r="M12" s="1">
        <v>80</v>
      </c>
      <c r="N12" s="1">
        <v>80</v>
      </c>
      <c r="U12" s="15" t="s">
        <v>59</v>
      </c>
      <c r="V12" s="15">
        <v>6</v>
      </c>
      <c r="W12" s="16" t="s">
        <v>60</v>
      </c>
      <c r="X12" s="16">
        <f t="shared" si="0"/>
        <v>4</v>
      </c>
      <c r="Y12" s="17" t="s">
        <v>61</v>
      </c>
      <c r="Z12" s="17">
        <v>0</v>
      </c>
      <c r="AA12" s="17" t="s">
        <v>62</v>
      </c>
      <c r="AB12" s="16">
        <v>0</v>
      </c>
      <c r="AC12" s="21">
        <v>152.166666666667</v>
      </c>
      <c r="AF12" s="22">
        <v>152.166666666667</v>
      </c>
      <c r="AH12" s="20">
        <v>11480</v>
      </c>
    </row>
    <row r="13" spans="1:36">
      <c r="B13" s="1">
        <v>9</v>
      </c>
      <c r="C13" s="1">
        <v>1</v>
      </c>
      <c r="D13" s="1" t="s">
        <v>55</v>
      </c>
      <c r="E13" s="1">
        <v>9</v>
      </c>
      <c r="F13" t="s">
        <v>56</v>
      </c>
      <c r="G13" s="1" t="s">
        <v>69</v>
      </c>
      <c r="H13" s="1" t="s">
        <v>72</v>
      </c>
      <c r="I13">
        <v>5000</v>
      </c>
      <c r="K13" s="1">
        <v>3600</v>
      </c>
      <c r="L13" s="1">
        <v>9</v>
      </c>
      <c r="M13" s="1">
        <v>90</v>
      </c>
      <c r="N13" s="1">
        <v>90</v>
      </c>
      <c r="U13" s="15" t="s">
        <v>59</v>
      </c>
      <c r="V13" s="15">
        <v>6</v>
      </c>
      <c r="W13" s="16" t="s">
        <v>60</v>
      </c>
      <c r="X13" s="16">
        <f t="shared" si="0"/>
        <v>4</v>
      </c>
      <c r="Y13" s="17" t="s">
        <v>61</v>
      </c>
      <c r="Z13" s="17">
        <v>0</v>
      </c>
      <c r="AA13" s="17" t="s">
        <v>62</v>
      </c>
      <c r="AB13" s="16">
        <v>0</v>
      </c>
      <c r="AC13" s="21">
        <v>169.194444444444</v>
      </c>
      <c r="AF13" s="22">
        <v>169.194444444444</v>
      </c>
      <c r="AH13" s="20">
        <v>12928</v>
      </c>
    </row>
    <row r="14" spans="1:36">
      <c r="B14" s="1">
        <v>10</v>
      </c>
      <c r="C14" s="1">
        <v>1</v>
      </c>
      <c r="D14" s="1" t="s">
        <v>55</v>
      </c>
      <c r="E14" s="1">
        <v>10</v>
      </c>
      <c r="F14" s="1" t="s">
        <v>73</v>
      </c>
      <c r="G14" s="1" t="s">
        <v>74</v>
      </c>
      <c r="H14" s="1" t="s">
        <v>75</v>
      </c>
      <c r="I14" s="1">
        <v>5000</v>
      </c>
      <c r="K14" s="1">
        <v>3600</v>
      </c>
      <c r="L14" s="1">
        <v>10</v>
      </c>
      <c r="M14" s="1">
        <v>100</v>
      </c>
      <c r="N14" s="1">
        <v>100</v>
      </c>
      <c r="U14" s="15" t="s">
        <v>59</v>
      </c>
      <c r="V14" s="15">
        <v>6</v>
      </c>
      <c r="W14" s="16" t="s">
        <v>60</v>
      </c>
      <c r="X14" s="16">
        <f t="shared" si="0"/>
        <v>4</v>
      </c>
      <c r="Y14" s="17" t="s">
        <v>61</v>
      </c>
      <c r="Z14" s="17">
        <v>0</v>
      </c>
      <c r="AA14" s="17" t="s">
        <v>62</v>
      </c>
      <c r="AB14" s="16">
        <v>1</v>
      </c>
      <c r="AC14" s="21">
        <v>186.222222222222</v>
      </c>
      <c r="AF14" s="22">
        <v>186.222222222222</v>
      </c>
      <c r="AH14" s="20">
        <v>14730</v>
      </c>
    </row>
    <row r="15" spans="1:36">
      <c r="B15" s="1">
        <v>11</v>
      </c>
      <c r="C15" s="1">
        <v>2</v>
      </c>
      <c r="D15" s="1" t="s">
        <v>76</v>
      </c>
      <c r="E15" s="1">
        <v>1</v>
      </c>
      <c r="F15" t="s">
        <v>56</v>
      </c>
      <c r="G15" s="1" t="s">
        <v>57</v>
      </c>
      <c r="H15" s="1" t="s">
        <v>77</v>
      </c>
      <c r="I15">
        <v>10000</v>
      </c>
      <c r="L15" s="1">
        <v>11</v>
      </c>
      <c r="M15" s="1">
        <v>110</v>
      </c>
      <c r="N15" s="1">
        <v>110</v>
      </c>
      <c r="U15" s="15" t="s">
        <v>59</v>
      </c>
      <c r="V15" s="15">
        <v>8</v>
      </c>
      <c r="W15" s="16" t="s">
        <v>60</v>
      </c>
      <c r="X15" s="16">
        <f t="shared" si="0"/>
        <v>5</v>
      </c>
      <c r="Y15" s="17" t="s">
        <v>61</v>
      </c>
      <c r="Z15" s="17">
        <v>0</v>
      </c>
      <c r="AA15" s="17" t="s">
        <v>62</v>
      </c>
      <c r="AB15" s="16">
        <v>0</v>
      </c>
      <c r="AC15" s="18">
        <v>1000</v>
      </c>
      <c r="AF15" s="1">
        <v>1000</v>
      </c>
      <c r="AH15" s="20">
        <v>16219</v>
      </c>
    </row>
    <row r="16" spans="1:36">
      <c r="B16" s="1">
        <v>12</v>
      </c>
      <c r="C16" s="1">
        <v>2</v>
      </c>
      <c r="D16" s="1" t="s">
        <v>76</v>
      </c>
      <c r="E16" s="1">
        <v>2</v>
      </c>
      <c r="F16" t="s">
        <v>56</v>
      </c>
      <c r="G16" s="1" t="s">
        <v>57</v>
      </c>
      <c r="H16" s="1" t="s">
        <v>78</v>
      </c>
      <c r="I16">
        <v>10000</v>
      </c>
      <c r="L16" s="1">
        <v>12</v>
      </c>
      <c r="M16" s="1">
        <v>120</v>
      </c>
      <c r="N16" s="1">
        <v>120</v>
      </c>
      <c r="U16" s="15" t="s">
        <v>59</v>
      </c>
      <c r="V16" s="15">
        <v>8</v>
      </c>
      <c r="W16" s="16" t="s">
        <v>60</v>
      </c>
      <c r="X16" s="16">
        <f t="shared" si="0"/>
        <v>5</v>
      </c>
      <c r="Y16" s="17" t="s">
        <v>61</v>
      </c>
      <c r="Z16" s="17">
        <v>0</v>
      </c>
      <c r="AA16" s="17" t="s">
        <v>62</v>
      </c>
      <c r="AB16" s="16">
        <v>0</v>
      </c>
      <c r="AC16" s="18">
        <v>1375</v>
      </c>
      <c r="AF16" s="1">
        <v>1375</v>
      </c>
      <c r="AH16" s="20">
        <v>17710</v>
      </c>
    </row>
    <row r="17" spans="2:34">
      <c r="B17" s="1">
        <v>13</v>
      </c>
      <c r="C17" s="1">
        <v>2</v>
      </c>
      <c r="D17" s="1" t="s">
        <v>76</v>
      </c>
      <c r="E17" s="1">
        <v>3</v>
      </c>
      <c r="F17" t="s">
        <v>56</v>
      </c>
      <c r="G17" s="1" t="s">
        <v>57</v>
      </c>
      <c r="H17" s="1" t="s">
        <v>79</v>
      </c>
      <c r="I17" s="1">
        <v>5000</v>
      </c>
      <c r="K17" s="1">
        <v>3600</v>
      </c>
      <c r="L17" s="1">
        <v>13</v>
      </c>
      <c r="M17" s="1">
        <v>130</v>
      </c>
      <c r="N17" s="1">
        <v>130</v>
      </c>
      <c r="U17" s="15" t="s">
        <v>59</v>
      </c>
      <c r="V17" s="15">
        <v>8</v>
      </c>
      <c r="W17" s="16" t="s">
        <v>60</v>
      </c>
      <c r="X17" s="16">
        <f t="shared" si="0"/>
        <v>5</v>
      </c>
      <c r="Y17" s="17" t="s">
        <v>61</v>
      </c>
      <c r="Z17" s="17">
        <v>0</v>
      </c>
      <c r="AA17" s="17" t="s">
        <v>62</v>
      </c>
      <c r="AB17" s="16">
        <v>0</v>
      </c>
      <c r="AC17" s="18">
        <v>1750</v>
      </c>
      <c r="AF17" s="1">
        <v>1750</v>
      </c>
      <c r="AH17" s="20">
        <v>19205</v>
      </c>
    </row>
    <row r="18" spans="2:34">
      <c r="B18" s="1">
        <v>14</v>
      </c>
      <c r="C18" s="1">
        <v>2</v>
      </c>
      <c r="D18" s="1" t="s">
        <v>76</v>
      </c>
      <c r="E18" s="1">
        <v>4</v>
      </c>
      <c r="F18" t="s">
        <v>56</v>
      </c>
      <c r="G18" s="1" t="s">
        <v>65</v>
      </c>
      <c r="H18" s="1" t="s">
        <v>80</v>
      </c>
      <c r="I18">
        <v>10000</v>
      </c>
      <c r="L18" s="1">
        <v>14</v>
      </c>
      <c r="M18" s="1">
        <v>140</v>
      </c>
      <c r="N18" s="1">
        <v>140</v>
      </c>
      <c r="U18" s="15" t="s">
        <v>59</v>
      </c>
      <c r="V18" s="15">
        <v>8</v>
      </c>
      <c r="W18" s="16" t="s">
        <v>60</v>
      </c>
      <c r="X18" s="16">
        <f t="shared" si="0"/>
        <v>5</v>
      </c>
      <c r="Y18" s="17" t="s">
        <v>61</v>
      </c>
      <c r="Z18" s="17">
        <v>0</v>
      </c>
      <c r="AA18" s="17" t="s">
        <v>62</v>
      </c>
      <c r="AB18" s="16">
        <v>0</v>
      </c>
      <c r="AC18" s="18">
        <v>2125</v>
      </c>
      <c r="AF18" s="1">
        <v>2125</v>
      </c>
      <c r="AH18" s="20">
        <v>20703</v>
      </c>
    </row>
    <row r="19" spans="2:34">
      <c r="B19" s="1">
        <v>15</v>
      </c>
      <c r="C19" s="1">
        <v>2</v>
      </c>
      <c r="D19" s="1" t="s">
        <v>76</v>
      </c>
      <c r="E19" s="1">
        <v>5</v>
      </c>
      <c r="F19" t="s">
        <v>56</v>
      </c>
      <c r="G19" s="1" t="s">
        <v>65</v>
      </c>
      <c r="H19" s="1" t="s">
        <v>81</v>
      </c>
      <c r="I19">
        <v>10000</v>
      </c>
      <c r="L19" s="1">
        <v>15</v>
      </c>
      <c r="M19" s="1">
        <v>150</v>
      </c>
      <c r="N19" s="1">
        <v>150</v>
      </c>
      <c r="U19" s="15" t="s">
        <v>59</v>
      </c>
      <c r="V19" s="15">
        <v>8</v>
      </c>
      <c r="W19" s="16" t="s">
        <v>60</v>
      </c>
      <c r="X19" s="16">
        <f t="shared" si="0"/>
        <v>5</v>
      </c>
      <c r="Y19" s="17" t="s">
        <v>61</v>
      </c>
      <c r="Z19" s="17">
        <v>0</v>
      </c>
      <c r="AA19" s="17" t="s">
        <v>62</v>
      </c>
      <c r="AB19" s="16">
        <v>0</v>
      </c>
      <c r="AC19" s="18">
        <v>2500</v>
      </c>
      <c r="AF19" s="1">
        <v>2500</v>
      </c>
      <c r="AH19" s="20">
        <v>22732</v>
      </c>
    </row>
    <row r="20" spans="2:34">
      <c r="B20" s="1">
        <v>16</v>
      </c>
      <c r="C20" s="1">
        <v>2</v>
      </c>
      <c r="D20" s="1" t="s">
        <v>76</v>
      </c>
      <c r="E20" s="1">
        <v>6</v>
      </c>
      <c r="F20" t="s">
        <v>56</v>
      </c>
      <c r="G20" s="1" t="s">
        <v>65</v>
      </c>
      <c r="H20" s="1" t="s">
        <v>82</v>
      </c>
      <c r="I20" s="1">
        <v>5000</v>
      </c>
      <c r="K20" s="1">
        <v>3600</v>
      </c>
      <c r="L20" s="1">
        <v>16</v>
      </c>
      <c r="M20" s="1">
        <v>160</v>
      </c>
      <c r="N20" s="1">
        <v>160</v>
      </c>
      <c r="U20" s="15" t="s">
        <v>59</v>
      </c>
      <c r="V20" s="15">
        <v>8</v>
      </c>
      <c r="W20" s="16" t="s">
        <v>60</v>
      </c>
      <c r="X20" s="16">
        <f t="shared" si="0"/>
        <v>5</v>
      </c>
      <c r="Y20" s="17" t="s">
        <v>61</v>
      </c>
      <c r="Z20" s="17">
        <v>0</v>
      </c>
      <c r="AA20" s="17" t="s">
        <v>62</v>
      </c>
      <c r="AB20" s="16">
        <v>0</v>
      </c>
      <c r="AC20" s="18">
        <v>2875</v>
      </c>
      <c r="AF20" s="1">
        <v>2875</v>
      </c>
      <c r="AH20" s="20">
        <v>24272</v>
      </c>
    </row>
    <row r="21" spans="2:34">
      <c r="B21" s="1">
        <v>17</v>
      </c>
      <c r="C21" s="1">
        <v>2</v>
      </c>
      <c r="D21" s="1" t="s">
        <v>76</v>
      </c>
      <c r="E21" s="1">
        <v>7</v>
      </c>
      <c r="F21" t="s">
        <v>56</v>
      </c>
      <c r="G21" s="1" t="s">
        <v>69</v>
      </c>
      <c r="H21" s="1" t="s">
        <v>83</v>
      </c>
      <c r="I21">
        <v>10000</v>
      </c>
      <c r="L21" s="1">
        <v>17</v>
      </c>
      <c r="M21" s="1">
        <v>170</v>
      </c>
      <c r="N21" s="1">
        <v>170</v>
      </c>
      <c r="U21" s="15" t="s">
        <v>59</v>
      </c>
      <c r="V21" s="15">
        <v>8</v>
      </c>
      <c r="W21" s="16" t="s">
        <v>60</v>
      </c>
      <c r="X21" s="16">
        <f t="shared" si="0"/>
        <v>5</v>
      </c>
      <c r="Y21" s="17" t="s">
        <v>61</v>
      </c>
      <c r="Z21" s="17">
        <v>0</v>
      </c>
      <c r="AA21" s="17" t="s">
        <v>62</v>
      </c>
      <c r="AB21" s="16">
        <v>0</v>
      </c>
      <c r="AC21" s="18">
        <v>3250</v>
      </c>
      <c r="AF21" s="1">
        <v>3250</v>
      </c>
      <c r="AH21" s="20">
        <v>25814</v>
      </c>
    </row>
    <row r="22" spans="2:34">
      <c r="B22" s="1">
        <v>18</v>
      </c>
      <c r="C22" s="1">
        <v>2</v>
      </c>
      <c r="D22" s="1" t="s">
        <v>76</v>
      </c>
      <c r="E22" s="1">
        <v>8</v>
      </c>
      <c r="F22" t="s">
        <v>56</v>
      </c>
      <c r="G22" s="1" t="s">
        <v>69</v>
      </c>
      <c r="H22" s="1" t="s">
        <v>84</v>
      </c>
      <c r="I22">
        <v>10000</v>
      </c>
      <c r="L22" s="1">
        <v>18</v>
      </c>
      <c r="M22" s="1">
        <v>180</v>
      </c>
      <c r="N22" s="1">
        <v>180</v>
      </c>
      <c r="U22" s="15" t="s">
        <v>59</v>
      </c>
      <c r="V22" s="15">
        <v>8</v>
      </c>
      <c r="W22" s="16" t="s">
        <v>60</v>
      </c>
      <c r="X22" s="16">
        <f t="shared" si="0"/>
        <v>5</v>
      </c>
      <c r="Y22" s="17" t="s">
        <v>61</v>
      </c>
      <c r="Z22" s="17">
        <v>0</v>
      </c>
      <c r="AA22" s="17" t="s">
        <v>62</v>
      </c>
      <c r="AB22" s="16">
        <v>0</v>
      </c>
      <c r="AC22" s="18">
        <v>3625</v>
      </c>
      <c r="AF22" s="1">
        <v>3625</v>
      </c>
      <c r="AH22" s="20">
        <v>27359</v>
      </c>
    </row>
    <row r="23" spans="2:34">
      <c r="B23" s="1">
        <v>19</v>
      </c>
      <c r="C23" s="1">
        <v>2</v>
      </c>
      <c r="D23" s="1" t="s">
        <v>76</v>
      </c>
      <c r="E23" s="1">
        <v>9</v>
      </c>
      <c r="F23" t="s">
        <v>56</v>
      </c>
      <c r="G23" s="1" t="s">
        <v>69</v>
      </c>
      <c r="H23" s="1" t="s">
        <v>85</v>
      </c>
      <c r="I23" s="1">
        <v>5000</v>
      </c>
      <c r="K23" s="1">
        <v>3600</v>
      </c>
      <c r="L23" s="1">
        <v>19</v>
      </c>
      <c r="M23" s="1">
        <v>190</v>
      </c>
      <c r="N23" s="1">
        <v>190</v>
      </c>
      <c r="U23" s="15" t="s">
        <v>59</v>
      </c>
      <c r="V23" s="15">
        <v>8</v>
      </c>
      <c r="W23" s="16" t="s">
        <v>60</v>
      </c>
      <c r="X23" s="16">
        <f t="shared" si="0"/>
        <v>5</v>
      </c>
      <c r="Y23" s="17" t="s">
        <v>61</v>
      </c>
      <c r="Z23" s="17">
        <v>0</v>
      </c>
      <c r="AA23" s="17" t="s">
        <v>62</v>
      </c>
      <c r="AB23" s="16">
        <v>0</v>
      </c>
      <c r="AC23" s="18">
        <v>4000</v>
      </c>
      <c r="AF23" s="1">
        <v>4000</v>
      </c>
      <c r="AH23" s="20">
        <v>28908</v>
      </c>
    </row>
    <row r="24" spans="2:34">
      <c r="B24" s="1">
        <v>20</v>
      </c>
      <c r="C24" s="1">
        <v>2</v>
      </c>
      <c r="D24" s="1" t="s">
        <v>76</v>
      </c>
      <c r="E24" s="1">
        <v>10</v>
      </c>
      <c r="F24" s="1" t="s">
        <v>73</v>
      </c>
      <c r="G24" s="1" t="s">
        <v>74</v>
      </c>
      <c r="H24" s="1" t="s">
        <v>86</v>
      </c>
      <c r="I24" s="1">
        <v>5000</v>
      </c>
      <c r="K24" s="1">
        <v>3600</v>
      </c>
      <c r="L24" s="1">
        <v>20</v>
      </c>
      <c r="M24" s="1">
        <v>200</v>
      </c>
      <c r="N24" s="1">
        <v>200</v>
      </c>
      <c r="U24" s="15" t="s">
        <v>59</v>
      </c>
      <c r="V24" s="15">
        <v>8</v>
      </c>
      <c r="W24" s="16" t="s">
        <v>60</v>
      </c>
      <c r="X24" s="16">
        <f t="shared" si="0"/>
        <v>5</v>
      </c>
      <c r="Y24" s="17" t="s">
        <v>61</v>
      </c>
      <c r="Z24" s="17">
        <v>0</v>
      </c>
      <c r="AA24" s="17" t="s">
        <v>62</v>
      </c>
      <c r="AB24" s="16">
        <v>2</v>
      </c>
      <c r="AC24" s="18">
        <v>4375</v>
      </c>
      <c r="AF24" s="1">
        <v>4375</v>
      </c>
      <c r="AH24" s="20">
        <v>31167</v>
      </c>
    </row>
    <row r="25" spans="2:34">
      <c r="B25" s="1">
        <v>21</v>
      </c>
      <c r="C25" s="1">
        <v>3</v>
      </c>
      <c r="D25" s="1" t="s">
        <v>87</v>
      </c>
      <c r="E25" s="1">
        <v>1</v>
      </c>
      <c r="F25" t="s">
        <v>56</v>
      </c>
      <c r="G25" s="1" t="s">
        <v>57</v>
      </c>
      <c r="H25" s="1" t="s">
        <v>88</v>
      </c>
      <c r="I25">
        <v>10000</v>
      </c>
      <c r="L25" s="1">
        <v>21</v>
      </c>
      <c r="M25" s="1">
        <v>210</v>
      </c>
      <c r="N25" s="1">
        <v>210</v>
      </c>
      <c r="U25" s="15" t="s">
        <v>59</v>
      </c>
      <c r="V25" s="15">
        <v>10</v>
      </c>
      <c r="W25" s="16" t="s">
        <v>60</v>
      </c>
      <c r="X25" s="16">
        <f t="shared" si="0"/>
        <v>7</v>
      </c>
      <c r="Y25" s="17" t="s">
        <v>61</v>
      </c>
      <c r="Z25" s="17">
        <v>0</v>
      </c>
      <c r="AA25" s="17" t="s">
        <v>62</v>
      </c>
      <c r="AB25" s="16">
        <v>0</v>
      </c>
      <c r="AC25" s="18">
        <v>4750</v>
      </c>
      <c r="AF25" s="1">
        <v>4750</v>
      </c>
      <c r="AH25" s="20">
        <v>32758</v>
      </c>
    </row>
    <row r="26" spans="2:34">
      <c r="B26" s="1">
        <v>22</v>
      </c>
      <c r="C26" s="1">
        <v>3</v>
      </c>
      <c r="D26" s="1" t="s">
        <v>87</v>
      </c>
      <c r="E26" s="1">
        <v>2</v>
      </c>
      <c r="F26" t="s">
        <v>56</v>
      </c>
      <c r="G26" s="1" t="s">
        <v>57</v>
      </c>
      <c r="H26" s="1" t="s">
        <v>89</v>
      </c>
      <c r="I26">
        <v>10000</v>
      </c>
      <c r="L26" s="1">
        <v>22</v>
      </c>
      <c r="M26" s="1">
        <v>220</v>
      </c>
      <c r="N26" s="1">
        <v>220</v>
      </c>
      <c r="U26" s="15" t="s">
        <v>59</v>
      </c>
      <c r="V26" s="15">
        <v>10</v>
      </c>
      <c r="W26" s="16" t="s">
        <v>60</v>
      </c>
      <c r="X26" s="16">
        <f t="shared" si="0"/>
        <v>7</v>
      </c>
      <c r="Y26" s="17" t="s">
        <v>61</v>
      </c>
      <c r="Z26" s="17">
        <v>0</v>
      </c>
      <c r="AA26" s="17" t="s">
        <v>62</v>
      </c>
      <c r="AB26" s="16">
        <v>0</v>
      </c>
      <c r="AC26" s="18">
        <v>5125</v>
      </c>
      <c r="AF26" s="1">
        <v>5125</v>
      </c>
      <c r="AH26" s="20">
        <v>34351</v>
      </c>
    </row>
    <row r="27" spans="2:34">
      <c r="B27" s="1">
        <v>23</v>
      </c>
      <c r="C27" s="1">
        <v>3</v>
      </c>
      <c r="D27" s="1" t="s">
        <v>87</v>
      </c>
      <c r="E27" s="1">
        <v>3</v>
      </c>
      <c r="F27" t="s">
        <v>56</v>
      </c>
      <c r="G27" s="1" t="s">
        <v>57</v>
      </c>
      <c r="H27" s="1" t="s">
        <v>90</v>
      </c>
      <c r="I27" s="1">
        <v>5000</v>
      </c>
      <c r="K27" s="1">
        <v>3600</v>
      </c>
      <c r="L27" s="1">
        <v>23</v>
      </c>
      <c r="M27" s="1">
        <v>230</v>
      </c>
      <c r="N27" s="1">
        <v>230</v>
      </c>
      <c r="U27" s="15" t="s">
        <v>59</v>
      </c>
      <c r="V27" s="15">
        <v>10</v>
      </c>
      <c r="W27" s="16" t="s">
        <v>60</v>
      </c>
      <c r="X27" s="16">
        <f t="shared" si="0"/>
        <v>7</v>
      </c>
      <c r="Y27" s="17" t="s">
        <v>61</v>
      </c>
      <c r="Z27" s="17">
        <v>0</v>
      </c>
      <c r="AA27" s="17" t="s">
        <v>62</v>
      </c>
      <c r="AB27" s="16">
        <v>0</v>
      </c>
      <c r="AC27" s="18">
        <v>5500</v>
      </c>
      <c r="AF27" s="1">
        <v>5500</v>
      </c>
      <c r="AH27" s="20">
        <v>35948</v>
      </c>
    </row>
    <row r="28" spans="2:34">
      <c r="B28" s="1">
        <v>24</v>
      </c>
      <c r="C28" s="1">
        <v>3</v>
      </c>
      <c r="D28" s="1" t="s">
        <v>87</v>
      </c>
      <c r="E28" s="1">
        <v>4</v>
      </c>
      <c r="F28" t="s">
        <v>56</v>
      </c>
      <c r="G28" s="1" t="s">
        <v>65</v>
      </c>
      <c r="H28" s="1" t="s">
        <v>91</v>
      </c>
      <c r="I28">
        <v>10000</v>
      </c>
      <c r="L28" s="1">
        <v>24</v>
      </c>
      <c r="M28" s="1">
        <v>240</v>
      </c>
      <c r="N28" s="1">
        <v>240</v>
      </c>
      <c r="U28" s="15" t="s">
        <v>59</v>
      </c>
      <c r="V28" s="15">
        <v>10</v>
      </c>
      <c r="W28" s="16" t="s">
        <v>60</v>
      </c>
      <c r="X28" s="16">
        <f t="shared" si="0"/>
        <v>7</v>
      </c>
      <c r="Y28" s="17" t="s">
        <v>61</v>
      </c>
      <c r="Z28" s="17">
        <v>0</v>
      </c>
      <c r="AA28" s="17" t="s">
        <v>62</v>
      </c>
      <c r="AB28" s="16">
        <v>0</v>
      </c>
      <c r="AC28" s="18">
        <v>5875</v>
      </c>
      <c r="AF28" s="1">
        <v>5875</v>
      </c>
      <c r="AH28" s="20">
        <v>37547</v>
      </c>
    </row>
    <row r="29" spans="2:34">
      <c r="B29" s="1">
        <v>25</v>
      </c>
      <c r="C29" s="1">
        <v>3</v>
      </c>
      <c r="D29" s="1" t="s">
        <v>87</v>
      </c>
      <c r="E29" s="1">
        <v>5</v>
      </c>
      <c r="F29" t="s">
        <v>56</v>
      </c>
      <c r="G29" s="1" t="s">
        <v>65</v>
      </c>
      <c r="H29" s="1" t="s">
        <v>92</v>
      </c>
      <c r="I29">
        <v>10000</v>
      </c>
      <c r="L29" s="1">
        <v>25</v>
      </c>
      <c r="M29" s="1">
        <v>250</v>
      </c>
      <c r="N29" s="1">
        <v>250</v>
      </c>
      <c r="U29" s="15" t="s">
        <v>59</v>
      </c>
      <c r="V29" s="15">
        <v>10</v>
      </c>
      <c r="W29" s="16" t="s">
        <v>60</v>
      </c>
      <c r="X29" s="16">
        <f t="shared" si="0"/>
        <v>7</v>
      </c>
      <c r="Y29" s="17" t="s">
        <v>61</v>
      </c>
      <c r="Z29" s="17">
        <v>0</v>
      </c>
      <c r="AA29" s="17" t="s">
        <v>62</v>
      </c>
      <c r="AB29" s="16">
        <v>2</v>
      </c>
      <c r="AC29" s="18">
        <v>6250</v>
      </c>
      <c r="AF29" s="1">
        <v>6250</v>
      </c>
      <c r="AH29" s="20">
        <v>40040</v>
      </c>
    </row>
    <row r="30" spans="2:34">
      <c r="B30" s="1">
        <v>26</v>
      </c>
      <c r="C30" s="1">
        <v>3</v>
      </c>
      <c r="D30" s="1" t="s">
        <v>87</v>
      </c>
      <c r="E30" s="1">
        <v>6</v>
      </c>
      <c r="F30" t="s">
        <v>56</v>
      </c>
      <c r="G30" s="1" t="s">
        <v>65</v>
      </c>
      <c r="H30" s="1" t="s">
        <v>93</v>
      </c>
      <c r="I30" s="1">
        <v>5000</v>
      </c>
      <c r="K30" s="1">
        <v>3600</v>
      </c>
      <c r="L30" s="1">
        <v>26</v>
      </c>
      <c r="M30" s="1">
        <v>260</v>
      </c>
      <c r="N30" s="1">
        <v>260</v>
      </c>
      <c r="U30" s="15" t="s">
        <v>59</v>
      </c>
      <c r="V30" s="15">
        <v>10</v>
      </c>
      <c r="W30" s="16" t="s">
        <v>60</v>
      </c>
      <c r="X30" s="16">
        <f t="shared" si="0"/>
        <v>7</v>
      </c>
      <c r="Y30" s="17" t="s">
        <v>61</v>
      </c>
      <c r="Z30" s="17">
        <v>0</v>
      </c>
      <c r="AA30" s="17" t="s">
        <v>62</v>
      </c>
      <c r="AB30" s="16">
        <v>0</v>
      </c>
      <c r="AC30" s="18">
        <v>6625</v>
      </c>
      <c r="AF30" s="1">
        <v>6625</v>
      </c>
      <c r="AH30" s="20">
        <v>41682</v>
      </c>
    </row>
    <row r="31" spans="2:34">
      <c r="B31" s="1">
        <v>27</v>
      </c>
      <c r="C31" s="1">
        <v>3</v>
      </c>
      <c r="D31" s="1" t="s">
        <v>87</v>
      </c>
      <c r="E31" s="1">
        <v>7</v>
      </c>
      <c r="F31" t="s">
        <v>56</v>
      </c>
      <c r="G31" s="1" t="s">
        <v>69</v>
      </c>
      <c r="H31" s="1" t="s">
        <v>94</v>
      </c>
      <c r="I31">
        <v>10000</v>
      </c>
      <c r="L31" s="1">
        <v>27</v>
      </c>
      <c r="M31" s="1">
        <v>270</v>
      </c>
      <c r="N31" s="1">
        <v>270</v>
      </c>
      <c r="U31" s="15" t="s">
        <v>59</v>
      </c>
      <c r="V31" s="15">
        <v>10</v>
      </c>
      <c r="W31" s="16" t="s">
        <v>60</v>
      </c>
      <c r="X31" s="16">
        <f t="shared" si="0"/>
        <v>7</v>
      </c>
      <c r="Y31" s="17" t="s">
        <v>61</v>
      </c>
      <c r="Z31" s="17">
        <v>0</v>
      </c>
      <c r="AA31" s="17" t="s">
        <v>62</v>
      </c>
      <c r="AB31" s="16">
        <v>0</v>
      </c>
      <c r="AC31" s="18">
        <v>7000</v>
      </c>
      <c r="AF31" s="1">
        <v>7000</v>
      </c>
      <c r="AH31" s="20">
        <v>43327</v>
      </c>
    </row>
    <row r="32" spans="2:34">
      <c r="B32" s="1">
        <v>28</v>
      </c>
      <c r="C32" s="1">
        <v>3</v>
      </c>
      <c r="D32" s="1" t="s">
        <v>87</v>
      </c>
      <c r="E32" s="1">
        <v>8</v>
      </c>
      <c r="F32" t="s">
        <v>56</v>
      </c>
      <c r="G32" s="1" t="s">
        <v>69</v>
      </c>
      <c r="H32" s="1" t="s">
        <v>95</v>
      </c>
      <c r="I32">
        <v>10000</v>
      </c>
      <c r="L32" s="1">
        <v>28</v>
      </c>
      <c r="M32" s="1">
        <v>280</v>
      </c>
      <c r="N32" s="1">
        <v>280</v>
      </c>
      <c r="U32" s="15" t="s">
        <v>59</v>
      </c>
      <c r="V32" s="15">
        <v>10</v>
      </c>
      <c r="W32" s="16" t="s">
        <v>60</v>
      </c>
      <c r="X32" s="16">
        <f t="shared" si="0"/>
        <v>7</v>
      </c>
      <c r="Y32" s="17" t="s">
        <v>61</v>
      </c>
      <c r="Z32" s="17">
        <v>0</v>
      </c>
      <c r="AA32" s="17" t="s">
        <v>62</v>
      </c>
      <c r="AB32" s="16">
        <v>0</v>
      </c>
      <c r="AC32" s="18">
        <v>7375</v>
      </c>
      <c r="AF32" s="1">
        <v>7375</v>
      </c>
      <c r="AH32" s="20">
        <v>44975</v>
      </c>
    </row>
    <row r="33" spans="2:34">
      <c r="B33" s="1">
        <v>29</v>
      </c>
      <c r="C33" s="1">
        <v>3</v>
      </c>
      <c r="D33" s="1" t="s">
        <v>87</v>
      </c>
      <c r="E33" s="1">
        <v>9</v>
      </c>
      <c r="F33" t="s">
        <v>56</v>
      </c>
      <c r="G33" s="1" t="s">
        <v>69</v>
      </c>
      <c r="H33" s="1" t="s">
        <v>96</v>
      </c>
      <c r="I33" s="1">
        <v>5000</v>
      </c>
      <c r="K33" s="1">
        <v>3600</v>
      </c>
      <c r="L33" s="1">
        <v>29</v>
      </c>
      <c r="M33" s="1">
        <v>290</v>
      </c>
      <c r="N33" s="1">
        <v>290</v>
      </c>
      <c r="U33" s="15" t="s">
        <v>59</v>
      </c>
      <c r="V33" s="15">
        <v>10</v>
      </c>
      <c r="W33" s="16" t="s">
        <v>60</v>
      </c>
      <c r="X33" s="16">
        <f t="shared" si="0"/>
        <v>7</v>
      </c>
      <c r="Y33" s="17" t="s">
        <v>61</v>
      </c>
      <c r="Z33" s="17">
        <v>0</v>
      </c>
      <c r="AA33" s="17" t="s">
        <v>62</v>
      </c>
      <c r="AB33" s="16">
        <v>0</v>
      </c>
      <c r="AC33" s="18">
        <v>7750</v>
      </c>
      <c r="AF33" s="1">
        <v>7750</v>
      </c>
      <c r="AH33" s="20">
        <v>46627</v>
      </c>
    </row>
    <row r="34" spans="2:34">
      <c r="B34" s="1">
        <v>30</v>
      </c>
      <c r="C34" s="1">
        <v>3</v>
      </c>
      <c r="D34" s="1" t="s">
        <v>87</v>
      </c>
      <c r="E34" s="1">
        <v>10</v>
      </c>
      <c r="F34" s="1" t="s">
        <v>73</v>
      </c>
      <c r="G34" s="1" t="s">
        <v>74</v>
      </c>
      <c r="H34" s="1" t="s">
        <v>97</v>
      </c>
      <c r="I34" s="1">
        <v>5000</v>
      </c>
      <c r="K34" s="1">
        <v>3600</v>
      </c>
      <c r="L34" s="1">
        <v>30</v>
      </c>
      <c r="M34" s="1">
        <v>300</v>
      </c>
      <c r="N34" s="1">
        <v>300</v>
      </c>
      <c r="U34" s="15" t="s">
        <v>59</v>
      </c>
      <c r="V34" s="15">
        <v>10</v>
      </c>
      <c r="W34" s="16" t="s">
        <v>60</v>
      </c>
      <c r="X34" s="16">
        <f t="shared" si="0"/>
        <v>7</v>
      </c>
      <c r="Y34" s="17" t="s">
        <v>61</v>
      </c>
      <c r="Z34" s="17">
        <v>0</v>
      </c>
      <c r="AA34" s="17" t="s">
        <v>62</v>
      </c>
      <c r="AB34" s="16">
        <v>2</v>
      </c>
      <c r="AC34" s="18">
        <v>8125</v>
      </c>
      <c r="AF34" s="1">
        <v>8125</v>
      </c>
      <c r="AH34" s="20">
        <v>49355</v>
      </c>
    </row>
    <row r="35" spans="2:34">
      <c r="B35" s="1">
        <v>31</v>
      </c>
      <c r="C35" s="1">
        <v>4</v>
      </c>
      <c r="D35" s="1" t="s">
        <v>98</v>
      </c>
      <c r="E35" s="1">
        <v>1</v>
      </c>
      <c r="F35" t="s">
        <v>56</v>
      </c>
      <c r="G35" s="1" t="s">
        <v>57</v>
      </c>
      <c r="H35" s="1" t="s">
        <v>99</v>
      </c>
      <c r="I35">
        <v>10000</v>
      </c>
      <c r="L35" s="1">
        <v>31</v>
      </c>
      <c r="M35" s="1">
        <v>310</v>
      </c>
      <c r="N35" s="1">
        <v>310</v>
      </c>
      <c r="U35" s="15" t="s">
        <v>59</v>
      </c>
      <c r="V35" s="15">
        <v>16</v>
      </c>
      <c r="W35" s="16" t="s">
        <v>60</v>
      </c>
      <c r="X35" s="16">
        <f t="shared" si="0"/>
        <v>11</v>
      </c>
      <c r="Y35" s="17" t="s">
        <v>61</v>
      </c>
      <c r="Z35" s="17">
        <v>0</v>
      </c>
      <c r="AA35" s="17" t="s">
        <v>62</v>
      </c>
      <c r="AB35" s="16">
        <v>0</v>
      </c>
      <c r="AC35" s="18">
        <v>8500</v>
      </c>
      <c r="AF35" s="1">
        <v>8500</v>
      </c>
      <c r="AH35" s="20">
        <v>51049</v>
      </c>
    </row>
    <row r="36" spans="2:34">
      <c r="B36" s="1">
        <v>32</v>
      </c>
      <c r="C36" s="1">
        <v>4</v>
      </c>
      <c r="D36" s="1" t="s">
        <v>98</v>
      </c>
      <c r="E36" s="1">
        <v>2</v>
      </c>
      <c r="F36" t="s">
        <v>56</v>
      </c>
      <c r="G36" s="1" t="s">
        <v>57</v>
      </c>
      <c r="H36" s="1" t="s">
        <v>100</v>
      </c>
      <c r="I36">
        <v>10000</v>
      </c>
      <c r="L36" s="1">
        <v>32</v>
      </c>
      <c r="M36" s="1">
        <v>320</v>
      </c>
      <c r="N36" s="1">
        <v>320</v>
      </c>
      <c r="U36" s="15" t="s">
        <v>59</v>
      </c>
      <c r="V36" s="15">
        <v>16</v>
      </c>
      <c r="W36" s="16" t="s">
        <v>60</v>
      </c>
      <c r="X36" s="16">
        <f t="shared" si="0"/>
        <v>11</v>
      </c>
      <c r="Y36" s="17" t="s">
        <v>61</v>
      </c>
      <c r="Z36" s="17">
        <v>0</v>
      </c>
      <c r="AA36" s="17" t="s">
        <v>62</v>
      </c>
      <c r="AB36" s="16">
        <v>0</v>
      </c>
      <c r="AC36" s="18">
        <v>8875</v>
      </c>
      <c r="AF36" s="1">
        <v>8875</v>
      </c>
      <c r="AH36" s="20">
        <v>52747</v>
      </c>
    </row>
    <row r="37" spans="2:34">
      <c r="B37" s="1">
        <v>33</v>
      </c>
      <c r="C37" s="1">
        <v>4</v>
      </c>
      <c r="D37" s="1" t="s">
        <v>98</v>
      </c>
      <c r="E37" s="1">
        <v>3</v>
      </c>
      <c r="F37" t="s">
        <v>56</v>
      </c>
      <c r="G37" s="1" t="s">
        <v>57</v>
      </c>
      <c r="H37" s="1" t="s">
        <v>101</v>
      </c>
      <c r="I37" s="1">
        <v>5000</v>
      </c>
      <c r="K37" s="1">
        <v>3600</v>
      </c>
      <c r="L37" s="1">
        <v>33</v>
      </c>
      <c r="M37" s="1">
        <v>330</v>
      </c>
      <c r="N37" s="1">
        <v>330</v>
      </c>
      <c r="U37" s="15" t="s">
        <v>59</v>
      </c>
      <c r="V37" s="15">
        <v>16</v>
      </c>
      <c r="W37" s="16" t="s">
        <v>60</v>
      </c>
      <c r="X37" s="16">
        <f t="shared" si="0"/>
        <v>11</v>
      </c>
      <c r="Y37" s="17" t="s">
        <v>61</v>
      </c>
      <c r="Z37" s="17">
        <v>0</v>
      </c>
      <c r="AA37" s="17" t="s">
        <v>62</v>
      </c>
      <c r="AB37" s="16">
        <v>0</v>
      </c>
      <c r="AC37" s="18">
        <v>9250</v>
      </c>
      <c r="AF37" s="1">
        <v>9250</v>
      </c>
      <c r="AH37" s="20">
        <v>54448</v>
      </c>
    </row>
    <row r="38" spans="2:34">
      <c r="B38" s="1">
        <v>34</v>
      </c>
      <c r="C38" s="1">
        <v>4</v>
      </c>
      <c r="D38" s="1" t="s">
        <v>98</v>
      </c>
      <c r="E38" s="1">
        <v>4</v>
      </c>
      <c r="F38" t="s">
        <v>56</v>
      </c>
      <c r="G38" s="1" t="s">
        <v>65</v>
      </c>
      <c r="H38" s="1" t="s">
        <v>102</v>
      </c>
      <c r="I38">
        <v>10000</v>
      </c>
      <c r="L38" s="1">
        <v>34</v>
      </c>
      <c r="M38" s="1">
        <v>340</v>
      </c>
      <c r="N38" s="1">
        <v>340</v>
      </c>
      <c r="U38" s="15" t="s">
        <v>59</v>
      </c>
      <c r="V38" s="15">
        <v>16</v>
      </c>
      <c r="W38" s="16" t="s">
        <v>60</v>
      </c>
      <c r="X38" s="16">
        <f t="shared" si="0"/>
        <v>11</v>
      </c>
      <c r="Y38" s="17" t="s">
        <v>61</v>
      </c>
      <c r="Z38" s="17">
        <v>0</v>
      </c>
      <c r="AA38" s="17" t="s">
        <v>62</v>
      </c>
      <c r="AB38" s="16">
        <v>0</v>
      </c>
      <c r="AC38" s="18">
        <v>9625</v>
      </c>
      <c r="AF38" s="1">
        <v>9625</v>
      </c>
      <c r="AH38" s="20">
        <v>56152</v>
      </c>
    </row>
    <row r="39" spans="2:34">
      <c r="B39" s="1">
        <v>35</v>
      </c>
      <c r="C39" s="1">
        <v>4</v>
      </c>
      <c r="D39" s="1" t="s">
        <v>98</v>
      </c>
      <c r="E39" s="1">
        <v>5</v>
      </c>
      <c r="F39" t="s">
        <v>56</v>
      </c>
      <c r="G39" s="1" t="s">
        <v>65</v>
      </c>
      <c r="H39" s="1" t="s">
        <v>103</v>
      </c>
      <c r="I39">
        <v>10000</v>
      </c>
      <c r="L39" s="1">
        <v>35</v>
      </c>
      <c r="M39" s="1">
        <v>350</v>
      </c>
      <c r="N39" s="1">
        <v>350</v>
      </c>
      <c r="U39" s="15" t="s">
        <v>59</v>
      </c>
      <c r="V39" s="15">
        <v>16</v>
      </c>
      <c r="W39" s="16" t="s">
        <v>60</v>
      </c>
      <c r="X39" s="16">
        <f t="shared" si="0"/>
        <v>11</v>
      </c>
      <c r="Y39" s="17" t="s">
        <v>61</v>
      </c>
      <c r="Z39" s="17">
        <v>0</v>
      </c>
      <c r="AA39" s="17" t="s">
        <v>62</v>
      </c>
      <c r="AB39" s="16">
        <v>2</v>
      </c>
      <c r="AC39" s="18">
        <v>10000</v>
      </c>
      <c r="AF39" s="1">
        <v>10000</v>
      </c>
      <c r="AH39" s="20">
        <v>59118</v>
      </c>
    </row>
    <row r="40" spans="2:34">
      <c r="B40" s="1">
        <v>36</v>
      </c>
      <c r="C40" s="1">
        <v>4</v>
      </c>
      <c r="D40" s="1" t="s">
        <v>98</v>
      </c>
      <c r="E40" s="1">
        <v>6</v>
      </c>
      <c r="F40" t="s">
        <v>56</v>
      </c>
      <c r="G40" s="1" t="s">
        <v>65</v>
      </c>
      <c r="H40" s="1" t="s">
        <v>104</v>
      </c>
      <c r="I40" s="1">
        <v>5000</v>
      </c>
      <c r="K40" s="1">
        <v>3600</v>
      </c>
      <c r="L40" s="1">
        <v>36</v>
      </c>
      <c r="M40" s="1">
        <v>360</v>
      </c>
      <c r="N40" s="1">
        <v>360</v>
      </c>
      <c r="U40" s="15" t="s">
        <v>59</v>
      </c>
      <c r="V40" s="15">
        <v>16</v>
      </c>
      <c r="W40" s="16" t="s">
        <v>60</v>
      </c>
      <c r="X40" s="16">
        <f t="shared" si="0"/>
        <v>11</v>
      </c>
      <c r="Y40" s="17" t="s">
        <v>61</v>
      </c>
      <c r="Z40" s="17">
        <v>0</v>
      </c>
      <c r="AA40" s="17" t="s">
        <v>62</v>
      </c>
      <c r="AB40" s="16">
        <v>0</v>
      </c>
      <c r="AC40" s="18">
        <v>30000</v>
      </c>
      <c r="AF40" s="1">
        <v>30000</v>
      </c>
      <c r="AH40" s="20">
        <v>60865</v>
      </c>
    </row>
    <row r="41" spans="2:34">
      <c r="B41" s="1">
        <v>37</v>
      </c>
      <c r="C41" s="1">
        <v>4</v>
      </c>
      <c r="D41" s="1" t="s">
        <v>98</v>
      </c>
      <c r="E41" s="1">
        <v>7</v>
      </c>
      <c r="F41" t="s">
        <v>56</v>
      </c>
      <c r="G41" s="1" t="s">
        <v>69</v>
      </c>
      <c r="H41" s="1" t="s">
        <v>105</v>
      </c>
      <c r="I41">
        <v>10000</v>
      </c>
      <c r="L41" s="1">
        <v>37</v>
      </c>
      <c r="M41" s="1">
        <v>370</v>
      </c>
      <c r="N41" s="1">
        <v>370</v>
      </c>
      <c r="U41" s="15" t="s">
        <v>59</v>
      </c>
      <c r="V41" s="15">
        <v>16</v>
      </c>
      <c r="W41" s="16" t="s">
        <v>60</v>
      </c>
      <c r="X41" s="16">
        <f t="shared" si="0"/>
        <v>11</v>
      </c>
      <c r="Y41" s="17" t="s">
        <v>61</v>
      </c>
      <c r="Z41" s="17">
        <v>0</v>
      </c>
      <c r="AA41" s="17" t="s">
        <v>62</v>
      </c>
      <c r="AB41" s="16">
        <v>0</v>
      </c>
      <c r="AC41" s="18">
        <v>40000</v>
      </c>
      <c r="AF41" s="1">
        <v>40000</v>
      </c>
      <c r="AH41" s="20">
        <v>62617</v>
      </c>
    </row>
    <row r="42" spans="2:34">
      <c r="B42" s="1">
        <v>38</v>
      </c>
      <c r="C42" s="1">
        <v>4</v>
      </c>
      <c r="D42" s="1" t="s">
        <v>98</v>
      </c>
      <c r="E42" s="1">
        <v>8</v>
      </c>
      <c r="F42" t="s">
        <v>56</v>
      </c>
      <c r="G42" s="1" t="s">
        <v>69</v>
      </c>
      <c r="H42" s="1" t="s">
        <v>106</v>
      </c>
      <c r="I42">
        <v>10000</v>
      </c>
      <c r="L42" s="1">
        <v>38</v>
      </c>
      <c r="M42" s="1">
        <v>380</v>
      </c>
      <c r="N42" s="1">
        <v>380</v>
      </c>
      <c r="U42" s="15" t="s">
        <v>59</v>
      </c>
      <c r="V42" s="15">
        <v>16</v>
      </c>
      <c r="W42" s="16" t="s">
        <v>60</v>
      </c>
      <c r="X42" s="16">
        <f t="shared" si="0"/>
        <v>11</v>
      </c>
      <c r="Y42" s="17" t="s">
        <v>61</v>
      </c>
      <c r="Z42" s="17">
        <v>0</v>
      </c>
      <c r="AA42" s="17" t="s">
        <v>62</v>
      </c>
      <c r="AB42" s="16">
        <v>0</v>
      </c>
      <c r="AC42" s="18">
        <v>45000</v>
      </c>
      <c r="AF42" s="1">
        <v>45000</v>
      </c>
      <c r="AH42" s="20">
        <v>64371</v>
      </c>
    </row>
    <row r="43" spans="2:34">
      <c r="B43" s="1">
        <v>39</v>
      </c>
      <c r="C43" s="1">
        <v>4</v>
      </c>
      <c r="D43" s="1" t="s">
        <v>98</v>
      </c>
      <c r="E43" s="1">
        <v>9</v>
      </c>
      <c r="F43" t="s">
        <v>56</v>
      </c>
      <c r="G43" s="1" t="s">
        <v>69</v>
      </c>
      <c r="H43" s="1" t="s">
        <v>107</v>
      </c>
      <c r="I43" s="1">
        <v>5000</v>
      </c>
      <c r="K43" s="1">
        <v>3600</v>
      </c>
      <c r="L43" s="1">
        <v>39</v>
      </c>
      <c r="M43" s="1">
        <v>390</v>
      </c>
      <c r="N43" s="1">
        <v>390</v>
      </c>
      <c r="U43" s="15" t="s">
        <v>59</v>
      </c>
      <c r="V43" s="15">
        <v>16</v>
      </c>
      <c r="W43" s="16" t="s">
        <v>60</v>
      </c>
      <c r="X43" s="16">
        <f t="shared" si="0"/>
        <v>11</v>
      </c>
      <c r="Y43" s="17" t="s">
        <v>61</v>
      </c>
      <c r="Z43" s="17">
        <v>0</v>
      </c>
      <c r="AA43" s="17" t="s">
        <v>62</v>
      </c>
      <c r="AB43" s="16">
        <v>0</v>
      </c>
      <c r="AC43" s="18">
        <v>54500</v>
      </c>
      <c r="AF43" s="1">
        <v>54500</v>
      </c>
      <c r="AH43" s="20">
        <v>66129</v>
      </c>
    </row>
    <row r="44" spans="2:34">
      <c r="B44" s="1">
        <v>40</v>
      </c>
      <c r="C44" s="1">
        <v>4</v>
      </c>
      <c r="D44" s="1" t="s">
        <v>98</v>
      </c>
      <c r="E44" s="1">
        <v>10</v>
      </c>
      <c r="F44" s="1" t="s">
        <v>73</v>
      </c>
      <c r="G44" s="1" t="s">
        <v>74</v>
      </c>
      <c r="H44" s="1" t="s">
        <v>108</v>
      </c>
      <c r="I44" s="1">
        <v>5000</v>
      </c>
      <c r="K44" s="1">
        <v>3600</v>
      </c>
      <c r="L44" s="1">
        <v>40</v>
      </c>
      <c r="M44" s="1">
        <v>400</v>
      </c>
      <c r="N44" s="1">
        <v>400</v>
      </c>
      <c r="U44" s="15" t="s">
        <v>59</v>
      </c>
      <c r="V44" s="15">
        <v>16</v>
      </c>
      <c r="W44" s="16" t="s">
        <v>60</v>
      </c>
      <c r="X44" s="16">
        <f t="shared" si="0"/>
        <v>11</v>
      </c>
      <c r="Y44" s="17" t="s">
        <v>61</v>
      </c>
      <c r="Z44" s="17">
        <v>0</v>
      </c>
      <c r="AA44" s="17" t="s">
        <v>62</v>
      </c>
      <c r="AB44" s="16">
        <v>3</v>
      </c>
      <c r="AC44" s="18">
        <v>56000</v>
      </c>
      <c r="AF44" s="1">
        <v>56000</v>
      </c>
      <c r="AH44" s="20">
        <v>69334</v>
      </c>
    </row>
    <row r="45" spans="2:34">
      <c r="B45" s="1">
        <v>41</v>
      </c>
      <c r="C45" s="1">
        <v>5</v>
      </c>
      <c r="D45" s="1" t="s">
        <v>109</v>
      </c>
      <c r="E45" s="1">
        <v>1</v>
      </c>
      <c r="F45" t="s">
        <v>56</v>
      </c>
      <c r="G45" s="1" t="s">
        <v>57</v>
      </c>
      <c r="H45" s="1" t="s">
        <v>110</v>
      </c>
      <c r="I45">
        <v>10000</v>
      </c>
      <c r="L45" s="1">
        <v>41</v>
      </c>
      <c r="M45" s="1">
        <v>410</v>
      </c>
      <c r="N45" s="1">
        <v>410</v>
      </c>
      <c r="U45" s="15" t="s">
        <v>59</v>
      </c>
      <c r="V45" s="15">
        <v>24</v>
      </c>
      <c r="W45" s="16" t="s">
        <v>60</v>
      </c>
      <c r="X45" s="16">
        <f t="shared" si="0"/>
        <v>16</v>
      </c>
      <c r="Y45" s="17" t="s">
        <v>61</v>
      </c>
      <c r="Z45" s="17">
        <v>0</v>
      </c>
      <c r="AA45" s="17" t="s">
        <v>62</v>
      </c>
      <c r="AB45" s="16">
        <v>0</v>
      </c>
      <c r="AC45" s="18">
        <v>57500</v>
      </c>
      <c r="AF45" s="1">
        <v>57500</v>
      </c>
      <c r="AH45" s="20">
        <v>71135</v>
      </c>
    </row>
    <row r="46" spans="2:34">
      <c r="B46" s="1">
        <v>42</v>
      </c>
      <c r="C46" s="1">
        <v>5</v>
      </c>
      <c r="D46" s="1" t="s">
        <v>109</v>
      </c>
      <c r="E46" s="1">
        <v>2</v>
      </c>
      <c r="F46" t="s">
        <v>56</v>
      </c>
      <c r="G46" s="1" t="s">
        <v>57</v>
      </c>
      <c r="H46" s="1" t="s">
        <v>111</v>
      </c>
      <c r="I46">
        <v>10000</v>
      </c>
      <c r="L46" s="1">
        <v>42</v>
      </c>
      <c r="M46" s="1">
        <v>420</v>
      </c>
      <c r="N46" s="1">
        <v>420</v>
      </c>
      <c r="U46" s="15" t="s">
        <v>59</v>
      </c>
      <c r="V46" s="15">
        <v>24</v>
      </c>
      <c r="W46" s="16" t="s">
        <v>60</v>
      </c>
      <c r="X46" s="16">
        <f t="shared" si="0"/>
        <v>16</v>
      </c>
      <c r="Y46" s="17" t="s">
        <v>61</v>
      </c>
      <c r="Z46" s="17">
        <v>0</v>
      </c>
      <c r="AA46" s="17" t="s">
        <v>62</v>
      </c>
      <c r="AB46" s="16">
        <v>0</v>
      </c>
      <c r="AC46" s="18">
        <v>59000</v>
      </c>
      <c r="AF46" s="1">
        <v>59000</v>
      </c>
      <c r="AH46" s="20">
        <v>72940</v>
      </c>
    </row>
    <row r="47" spans="2:34">
      <c r="B47" s="1">
        <v>43</v>
      </c>
      <c r="C47" s="1">
        <v>5</v>
      </c>
      <c r="D47" s="1" t="s">
        <v>109</v>
      </c>
      <c r="E47" s="1">
        <v>3</v>
      </c>
      <c r="F47" t="s">
        <v>56</v>
      </c>
      <c r="G47" s="1" t="s">
        <v>57</v>
      </c>
      <c r="H47" s="1" t="s">
        <v>112</v>
      </c>
      <c r="I47" s="1">
        <v>5000</v>
      </c>
      <c r="K47" s="1">
        <v>3600</v>
      </c>
      <c r="L47" s="1">
        <v>43</v>
      </c>
      <c r="M47" s="1">
        <v>430</v>
      </c>
      <c r="N47" s="1">
        <v>430</v>
      </c>
      <c r="U47" s="15" t="s">
        <v>59</v>
      </c>
      <c r="V47" s="15">
        <v>24</v>
      </c>
      <c r="W47" s="16" t="s">
        <v>60</v>
      </c>
      <c r="X47" s="16">
        <f t="shared" si="0"/>
        <v>16</v>
      </c>
      <c r="Y47" s="17" t="s">
        <v>61</v>
      </c>
      <c r="Z47" s="17">
        <v>0</v>
      </c>
      <c r="AA47" s="17" t="s">
        <v>62</v>
      </c>
      <c r="AB47" s="16">
        <v>0</v>
      </c>
      <c r="AC47" s="18">
        <v>60500</v>
      </c>
      <c r="AF47" s="1">
        <v>60500</v>
      </c>
      <c r="AH47" s="20">
        <v>74749</v>
      </c>
    </row>
    <row r="48" spans="2:34">
      <c r="B48" s="1">
        <v>44</v>
      </c>
      <c r="C48" s="1">
        <v>5</v>
      </c>
      <c r="D48" s="1" t="s">
        <v>109</v>
      </c>
      <c r="E48" s="1">
        <v>4</v>
      </c>
      <c r="F48" t="s">
        <v>56</v>
      </c>
      <c r="G48" s="1" t="s">
        <v>65</v>
      </c>
      <c r="H48" s="1" t="s">
        <v>113</v>
      </c>
      <c r="I48">
        <v>10000</v>
      </c>
      <c r="L48" s="1">
        <v>44</v>
      </c>
      <c r="M48" s="1">
        <v>440</v>
      </c>
      <c r="N48" s="1">
        <v>440</v>
      </c>
      <c r="U48" s="15" t="s">
        <v>59</v>
      </c>
      <c r="V48" s="15">
        <v>24</v>
      </c>
      <c r="W48" s="16" t="s">
        <v>60</v>
      </c>
      <c r="X48" s="16">
        <f t="shared" si="0"/>
        <v>16</v>
      </c>
      <c r="Y48" s="17" t="s">
        <v>61</v>
      </c>
      <c r="Z48" s="17">
        <v>0</v>
      </c>
      <c r="AA48" s="17" t="s">
        <v>62</v>
      </c>
      <c r="AB48" s="16">
        <v>0</v>
      </c>
      <c r="AC48" s="18">
        <v>62000</v>
      </c>
      <c r="AF48" s="1">
        <v>62000</v>
      </c>
      <c r="AH48" s="20">
        <v>76560</v>
      </c>
    </row>
    <row r="49" spans="2:34">
      <c r="B49" s="1">
        <v>45</v>
      </c>
      <c r="C49" s="1">
        <v>5</v>
      </c>
      <c r="D49" s="1" t="s">
        <v>109</v>
      </c>
      <c r="E49" s="1">
        <v>5</v>
      </c>
      <c r="F49" t="s">
        <v>56</v>
      </c>
      <c r="G49" s="1" t="s">
        <v>65</v>
      </c>
      <c r="H49" s="1" t="s">
        <v>114</v>
      </c>
      <c r="I49">
        <v>10000</v>
      </c>
      <c r="L49" s="1">
        <v>45</v>
      </c>
      <c r="M49" s="1">
        <v>450</v>
      </c>
      <c r="N49" s="1">
        <v>450</v>
      </c>
      <c r="U49" s="15" t="s">
        <v>59</v>
      </c>
      <c r="V49" s="15">
        <v>24</v>
      </c>
      <c r="W49" s="16" t="s">
        <v>60</v>
      </c>
      <c r="X49" s="16">
        <f t="shared" si="0"/>
        <v>16</v>
      </c>
      <c r="Y49" s="17" t="s">
        <v>61</v>
      </c>
      <c r="Z49" s="17">
        <v>0</v>
      </c>
      <c r="AA49" s="17" t="s">
        <v>62</v>
      </c>
      <c r="AB49" s="16">
        <v>3</v>
      </c>
      <c r="AC49" s="18">
        <v>63500</v>
      </c>
      <c r="AF49" s="1">
        <v>63500</v>
      </c>
      <c r="AH49" s="20">
        <v>80008</v>
      </c>
    </row>
    <row r="50" spans="2:34">
      <c r="B50" s="1">
        <v>46</v>
      </c>
      <c r="C50" s="1">
        <v>5</v>
      </c>
      <c r="D50" s="1" t="s">
        <v>109</v>
      </c>
      <c r="E50" s="1">
        <v>6</v>
      </c>
      <c r="F50" t="s">
        <v>56</v>
      </c>
      <c r="G50" s="1" t="s">
        <v>65</v>
      </c>
      <c r="H50" s="1" t="s">
        <v>115</v>
      </c>
      <c r="I50" s="1">
        <v>5000</v>
      </c>
      <c r="K50" s="1">
        <v>3600</v>
      </c>
      <c r="L50" s="1">
        <v>46</v>
      </c>
      <c r="M50" s="1">
        <v>460</v>
      </c>
      <c r="N50" s="1">
        <v>460</v>
      </c>
      <c r="U50" s="15" t="s">
        <v>59</v>
      </c>
      <c r="V50" s="15">
        <v>24</v>
      </c>
      <c r="W50" s="16" t="s">
        <v>60</v>
      </c>
      <c r="X50" s="16">
        <f t="shared" si="0"/>
        <v>16</v>
      </c>
      <c r="Y50" s="17" t="s">
        <v>61</v>
      </c>
      <c r="Z50" s="17">
        <v>0</v>
      </c>
      <c r="AA50" s="17" t="s">
        <v>62</v>
      </c>
      <c r="AB50" s="16">
        <v>0</v>
      </c>
      <c r="AC50" s="18">
        <v>200000</v>
      </c>
      <c r="AF50" s="1">
        <v>200000</v>
      </c>
      <c r="AH50" s="20">
        <v>81865</v>
      </c>
    </row>
    <row r="51" spans="2:34">
      <c r="B51" s="1">
        <v>47</v>
      </c>
      <c r="C51" s="1">
        <v>5</v>
      </c>
      <c r="D51" s="1" t="s">
        <v>109</v>
      </c>
      <c r="E51" s="1">
        <v>7</v>
      </c>
      <c r="F51" t="s">
        <v>56</v>
      </c>
      <c r="G51" s="1" t="s">
        <v>69</v>
      </c>
      <c r="H51" s="1" t="s">
        <v>116</v>
      </c>
      <c r="I51">
        <v>10000</v>
      </c>
      <c r="L51" s="1">
        <v>47</v>
      </c>
      <c r="M51" s="1">
        <v>470</v>
      </c>
      <c r="N51" s="1">
        <v>470</v>
      </c>
      <c r="U51" s="15" t="s">
        <v>59</v>
      </c>
      <c r="V51" s="15">
        <v>24</v>
      </c>
      <c r="W51" s="16" t="s">
        <v>60</v>
      </c>
      <c r="X51" s="16">
        <f t="shared" si="0"/>
        <v>16</v>
      </c>
      <c r="Y51" s="17" t="s">
        <v>61</v>
      </c>
      <c r="Z51" s="17">
        <v>0</v>
      </c>
      <c r="AA51" s="17" t="s">
        <v>62</v>
      </c>
      <c r="AB51" s="16">
        <v>0</v>
      </c>
      <c r="AC51" s="18">
        <v>350000</v>
      </c>
      <c r="AF51" s="1">
        <v>350000</v>
      </c>
      <c r="AH51" s="20">
        <v>83724</v>
      </c>
    </row>
    <row r="52" spans="2:34">
      <c r="B52" s="1">
        <v>48</v>
      </c>
      <c r="C52" s="1">
        <v>5</v>
      </c>
      <c r="D52" s="1" t="s">
        <v>109</v>
      </c>
      <c r="E52" s="1">
        <v>8</v>
      </c>
      <c r="F52" t="s">
        <v>56</v>
      </c>
      <c r="G52" s="1" t="s">
        <v>69</v>
      </c>
      <c r="H52" s="1" t="s">
        <v>117</v>
      </c>
      <c r="I52">
        <v>10000</v>
      </c>
      <c r="L52" s="1">
        <v>48</v>
      </c>
      <c r="M52" s="1">
        <v>480</v>
      </c>
      <c r="N52" s="1">
        <v>480</v>
      </c>
      <c r="U52" s="15" t="s">
        <v>59</v>
      </c>
      <c r="V52" s="15">
        <v>24</v>
      </c>
      <c r="W52" s="16" t="s">
        <v>60</v>
      </c>
      <c r="X52" s="16">
        <f t="shared" si="0"/>
        <v>16</v>
      </c>
      <c r="Y52" s="17" t="s">
        <v>61</v>
      </c>
      <c r="Z52" s="17">
        <v>0</v>
      </c>
      <c r="AA52" s="17" t="s">
        <v>62</v>
      </c>
      <c r="AB52" s="16">
        <v>0</v>
      </c>
      <c r="AC52" s="18">
        <v>500000</v>
      </c>
      <c r="AF52" s="1">
        <v>500000</v>
      </c>
      <c r="AH52" s="20">
        <v>85587</v>
      </c>
    </row>
    <row r="53" spans="2:34">
      <c r="B53" s="1">
        <v>49</v>
      </c>
      <c r="C53" s="1">
        <v>5</v>
      </c>
      <c r="D53" s="1" t="s">
        <v>109</v>
      </c>
      <c r="E53" s="1">
        <v>9</v>
      </c>
      <c r="F53" t="s">
        <v>56</v>
      </c>
      <c r="G53" s="1" t="s">
        <v>69</v>
      </c>
      <c r="H53" s="1" t="s">
        <v>118</v>
      </c>
      <c r="I53" s="1">
        <v>5000</v>
      </c>
      <c r="K53" s="1">
        <v>3600</v>
      </c>
      <c r="L53" s="1">
        <v>49</v>
      </c>
      <c r="M53" s="1">
        <v>490</v>
      </c>
      <c r="N53" s="1">
        <v>490</v>
      </c>
      <c r="U53" s="15" t="s">
        <v>59</v>
      </c>
      <c r="V53" s="15">
        <v>24</v>
      </c>
      <c r="W53" s="16" t="s">
        <v>60</v>
      </c>
      <c r="X53" s="16">
        <f t="shared" si="0"/>
        <v>16</v>
      </c>
      <c r="Y53" s="17" t="s">
        <v>61</v>
      </c>
      <c r="Z53" s="17">
        <v>0</v>
      </c>
      <c r="AA53" s="17" t="s">
        <v>62</v>
      </c>
      <c r="AB53" s="16">
        <v>0</v>
      </c>
      <c r="AC53" s="18">
        <v>650000</v>
      </c>
      <c r="AF53" s="1">
        <v>650000</v>
      </c>
      <c r="AH53" s="20">
        <v>87454</v>
      </c>
    </row>
    <row r="54" spans="2:34">
      <c r="B54" s="1">
        <v>50</v>
      </c>
      <c r="C54" s="1">
        <v>5</v>
      </c>
      <c r="D54" s="1" t="s">
        <v>109</v>
      </c>
      <c r="E54" s="1">
        <v>10</v>
      </c>
      <c r="F54" s="1" t="s">
        <v>73</v>
      </c>
      <c r="G54" s="1" t="s">
        <v>74</v>
      </c>
      <c r="H54" s="1" t="s">
        <v>119</v>
      </c>
      <c r="I54" s="1">
        <v>5000</v>
      </c>
      <c r="K54" s="1">
        <v>3600</v>
      </c>
      <c r="L54" s="1">
        <v>50</v>
      </c>
      <c r="M54" s="1">
        <v>500</v>
      </c>
      <c r="N54" s="1">
        <v>500</v>
      </c>
      <c r="U54" s="15" t="s">
        <v>59</v>
      </c>
      <c r="V54" s="15">
        <v>24</v>
      </c>
      <c r="W54" s="16" t="s">
        <v>60</v>
      </c>
      <c r="X54" s="16">
        <f t="shared" si="0"/>
        <v>16</v>
      </c>
      <c r="Y54" s="17" t="s">
        <v>61</v>
      </c>
      <c r="Z54" s="17">
        <v>0</v>
      </c>
      <c r="AA54" s="17" t="s">
        <v>62</v>
      </c>
      <c r="AB54" s="16">
        <v>3</v>
      </c>
      <c r="AC54" s="18">
        <v>800000</v>
      </c>
      <c r="AF54" s="1">
        <v>800000</v>
      </c>
      <c r="AH54" s="20">
        <v>91146</v>
      </c>
    </row>
    <row r="55" spans="2:34">
      <c r="B55" s="1">
        <v>51</v>
      </c>
      <c r="C55" s="1">
        <v>6</v>
      </c>
      <c r="D55" s="1" t="s">
        <v>120</v>
      </c>
      <c r="E55" s="1">
        <v>1</v>
      </c>
      <c r="F55" t="s">
        <v>56</v>
      </c>
      <c r="G55" s="1" t="s">
        <v>57</v>
      </c>
      <c r="H55" s="1" t="s">
        <v>121</v>
      </c>
      <c r="I55">
        <v>10000</v>
      </c>
      <c r="L55" s="1">
        <v>51</v>
      </c>
      <c r="M55" s="1">
        <v>510</v>
      </c>
      <c r="N55" s="1">
        <v>510</v>
      </c>
      <c r="U55" s="15" t="s">
        <v>59</v>
      </c>
      <c r="V55" s="15">
        <v>40</v>
      </c>
      <c r="W55" s="16" t="s">
        <v>60</v>
      </c>
      <c r="X55" s="16">
        <f t="shared" si="0"/>
        <v>27</v>
      </c>
      <c r="Y55" s="17" t="s">
        <v>61</v>
      </c>
      <c r="Z55" s="17">
        <v>0</v>
      </c>
      <c r="AA55" s="17" t="s">
        <v>62</v>
      </c>
      <c r="AB55" s="16">
        <v>0</v>
      </c>
      <c r="AC55" s="18">
        <v>1200000</v>
      </c>
      <c r="AF55" s="1">
        <v>1200000</v>
      </c>
      <c r="AH55" s="20">
        <v>93058</v>
      </c>
    </row>
    <row r="56" spans="2:34">
      <c r="B56" s="1">
        <v>52</v>
      </c>
      <c r="C56" s="1">
        <v>6</v>
      </c>
      <c r="D56" s="1" t="s">
        <v>120</v>
      </c>
      <c r="E56" s="1">
        <v>2</v>
      </c>
      <c r="F56" t="s">
        <v>56</v>
      </c>
      <c r="G56" s="1" t="s">
        <v>57</v>
      </c>
      <c r="H56" s="1" t="s">
        <v>122</v>
      </c>
      <c r="I56">
        <v>10000</v>
      </c>
      <c r="L56" s="1">
        <v>52</v>
      </c>
      <c r="M56" s="1">
        <v>520</v>
      </c>
      <c r="N56" s="1">
        <v>520</v>
      </c>
      <c r="U56" s="15" t="s">
        <v>59</v>
      </c>
      <c r="V56" s="15">
        <v>40</v>
      </c>
      <c r="W56" s="16" t="s">
        <v>60</v>
      </c>
      <c r="X56" s="16">
        <f t="shared" si="0"/>
        <v>27</v>
      </c>
      <c r="Y56" s="17" t="s">
        <v>61</v>
      </c>
      <c r="Z56" s="17">
        <v>0</v>
      </c>
      <c r="AA56" s="17" t="s">
        <v>62</v>
      </c>
      <c r="AB56" s="16">
        <v>0</v>
      </c>
      <c r="AC56" s="18">
        <v>1500000</v>
      </c>
      <c r="AF56" s="1">
        <v>1500000</v>
      </c>
      <c r="AH56" s="20">
        <v>94973</v>
      </c>
    </row>
    <row r="57" spans="2:34">
      <c r="B57" s="1">
        <v>53</v>
      </c>
      <c r="C57" s="1">
        <v>6</v>
      </c>
      <c r="D57" s="1" t="s">
        <v>120</v>
      </c>
      <c r="E57" s="1">
        <v>3</v>
      </c>
      <c r="F57" t="s">
        <v>56</v>
      </c>
      <c r="G57" s="1" t="s">
        <v>57</v>
      </c>
      <c r="H57" s="1" t="s">
        <v>123</v>
      </c>
      <c r="I57" s="1">
        <v>5000</v>
      </c>
      <c r="K57" s="1">
        <v>3600</v>
      </c>
      <c r="L57" s="1">
        <v>53</v>
      </c>
      <c r="M57" s="1">
        <v>530</v>
      </c>
      <c r="N57" s="1">
        <v>530</v>
      </c>
      <c r="U57" s="15" t="s">
        <v>59</v>
      </c>
      <c r="V57" s="15">
        <v>40</v>
      </c>
      <c r="W57" s="16" t="s">
        <v>60</v>
      </c>
      <c r="X57" s="16">
        <f t="shared" si="0"/>
        <v>27</v>
      </c>
      <c r="Y57" s="17" t="s">
        <v>61</v>
      </c>
      <c r="Z57" s="17">
        <v>0</v>
      </c>
      <c r="AA57" s="17" t="s">
        <v>62</v>
      </c>
      <c r="AB57" s="16">
        <v>0</v>
      </c>
      <c r="AC57" s="18">
        <v>1800000</v>
      </c>
      <c r="AF57" s="1">
        <v>1800000</v>
      </c>
      <c r="AH57" s="20">
        <v>96891</v>
      </c>
    </row>
    <row r="58" spans="2:34">
      <c r="B58" s="1">
        <v>54</v>
      </c>
      <c r="C58" s="1">
        <v>6</v>
      </c>
      <c r="D58" s="1" t="s">
        <v>120</v>
      </c>
      <c r="E58" s="1">
        <v>4</v>
      </c>
      <c r="F58" t="s">
        <v>56</v>
      </c>
      <c r="G58" s="1" t="s">
        <v>65</v>
      </c>
      <c r="H58" s="1" t="s">
        <v>124</v>
      </c>
      <c r="I58">
        <v>10000</v>
      </c>
      <c r="L58" s="1">
        <v>54</v>
      </c>
      <c r="M58" s="1">
        <v>540</v>
      </c>
      <c r="N58" s="1">
        <v>540</v>
      </c>
      <c r="U58" s="15" t="s">
        <v>59</v>
      </c>
      <c r="V58" s="15">
        <v>40</v>
      </c>
      <c r="W58" s="16" t="s">
        <v>60</v>
      </c>
      <c r="X58" s="16">
        <f t="shared" si="0"/>
        <v>27</v>
      </c>
      <c r="Y58" s="17" t="s">
        <v>61</v>
      </c>
      <c r="Z58" s="17">
        <v>0</v>
      </c>
      <c r="AA58" s="17" t="s">
        <v>62</v>
      </c>
      <c r="AB58" s="16">
        <v>0</v>
      </c>
      <c r="AC58" s="18">
        <v>2100000</v>
      </c>
      <c r="AF58" s="1">
        <v>2100000</v>
      </c>
      <c r="AH58" s="20">
        <v>98813</v>
      </c>
    </row>
    <row r="59" spans="2:34">
      <c r="B59" s="1">
        <v>55</v>
      </c>
      <c r="C59" s="1">
        <v>6</v>
      </c>
      <c r="D59" s="1" t="s">
        <v>120</v>
      </c>
      <c r="E59" s="1">
        <v>5</v>
      </c>
      <c r="F59" t="s">
        <v>56</v>
      </c>
      <c r="G59" s="1" t="s">
        <v>65</v>
      </c>
      <c r="H59" s="1" t="s">
        <v>125</v>
      </c>
      <c r="I59">
        <v>10000</v>
      </c>
      <c r="L59" s="1">
        <v>55</v>
      </c>
      <c r="M59" s="1">
        <v>550</v>
      </c>
      <c r="N59" s="1">
        <v>550</v>
      </c>
      <c r="U59" s="15" t="s">
        <v>59</v>
      </c>
      <c r="V59" s="15">
        <v>40</v>
      </c>
      <c r="W59" s="16" t="s">
        <v>60</v>
      </c>
      <c r="X59" s="16">
        <f t="shared" si="0"/>
        <v>27</v>
      </c>
      <c r="Y59" s="17" t="s">
        <v>61</v>
      </c>
      <c r="Z59" s="17">
        <v>0</v>
      </c>
      <c r="AA59" s="17" t="s">
        <v>62</v>
      </c>
      <c r="AB59" s="16">
        <v>0</v>
      </c>
      <c r="AC59" s="18">
        <v>2400000</v>
      </c>
      <c r="AF59" s="1">
        <v>2400000</v>
      </c>
      <c r="AH59" s="20">
        <v>102753</v>
      </c>
    </row>
    <row r="60" spans="2:34">
      <c r="B60" s="1">
        <v>56</v>
      </c>
      <c r="C60" s="1">
        <v>6</v>
      </c>
      <c r="D60" s="1" t="s">
        <v>120</v>
      </c>
      <c r="E60" s="1">
        <v>6</v>
      </c>
      <c r="F60" t="s">
        <v>56</v>
      </c>
      <c r="G60" s="1" t="s">
        <v>65</v>
      </c>
      <c r="H60" s="1" t="s">
        <v>126</v>
      </c>
      <c r="I60" s="1">
        <v>5000</v>
      </c>
      <c r="K60" s="1">
        <v>3600</v>
      </c>
      <c r="L60" s="1">
        <v>56</v>
      </c>
      <c r="M60" s="1">
        <v>560</v>
      </c>
      <c r="N60" s="1">
        <v>560</v>
      </c>
      <c r="U60" s="15" t="s">
        <v>59</v>
      </c>
      <c r="V60" s="15">
        <v>40</v>
      </c>
      <c r="W60" s="16" t="s">
        <v>60</v>
      </c>
      <c r="X60" s="16">
        <f t="shared" si="0"/>
        <v>27</v>
      </c>
      <c r="Y60" s="17" t="s">
        <v>61</v>
      </c>
      <c r="Z60" s="17">
        <v>0</v>
      </c>
      <c r="AA60" s="17" t="s">
        <v>62</v>
      </c>
      <c r="AB60" s="16">
        <v>0</v>
      </c>
      <c r="AC60" s="18">
        <v>4000000</v>
      </c>
      <c r="AF60" s="1">
        <v>4000000</v>
      </c>
      <c r="AH60" s="20">
        <v>104720</v>
      </c>
    </row>
    <row r="61" spans="2:34">
      <c r="B61" s="1">
        <v>57</v>
      </c>
      <c r="C61" s="1">
        <v>6</v>
      </c>
      <c r="D61" s="1" t="s">
        <v>120</v>
      </c>
      <c r="E61" s="1">
        <v>7</v>
      </c>
      <c r="F61" t="s">
        <v>56</v>
      </c>
      <c r="G61" s="1" t="s">
        <v>69</v>
      </c>
      <c r="H61" s="1" t="s">
        <v>127</v>
      </c>
      <c r="I61">
        <v>10000</v>
      </c>
      <c r="L61" s="1">
        <v>57</v>
      </c>
      <c r="M61" s="1">
        <v>570</v>
      </c>
      <c r="N61" s="1">
        <v>570</v>
      </c>
      <c r="U61" s="15" t="s">
        <v>59</v>
      </c>
      <c r="V61" s="15">
        <v>40</v>
      </c>
      <c r="W61" s="16" t="s">
        <v>60</v>
      </c>
      <c r="X61" s="16">
        <f t="shared" si="0"/>
        <v>27</v>
      </c>
      <c r="Y61" s="17" t="s">
        <v>61</v>
      </c>
      <c r="Z61" s="17">
        <v>0</v>
      </c>
      <c r="AA61" s="17" t="s">
        <v>62</v>
      </c>
      <c r="AB61" s="16">
        <v>0</v>
      </c>
      <c r="AC61" s="18">
        <v>4800000</v>
      </c>
      <c r="AF61" s="1">
        <v>4800000</v>
      </c>
      <c r="AH61" s="20">
        <v>106691</v>
      </c>
    </row>
    <row r="62" spans="2:34">
      <c r="B62" s="1">
        <v>58</v>
      </c>
      <c r="C62" s="1">
        <v>6</v>
      </c>
      <c r="D62" s="1" t="s">
        <v>120</v>
      </c>
      <c r="E62" s="1">
        <v>8</v>
      </c>
      <c r="F62" t="s">
        <v>56</v>
      </c>
      <c r="G62" s="1" t="s">
        <v>69</v>
      </c>
      <c r="H62" s="1" t="s">
        <v>128</v>
      </c>
      <c r="I62">
        <v>10000</v>
      </c>
      <c r="L62" s="1">
        <v>58</v>
      </c>
      <c r="M62" s="1">
        <v>580</v>
      </c>
      <c r="N62" s="1">
        <v>580</v>
      </c>
      <c r="U62" s="15" t="s">
        <v>59</v>
      </c>
      <c r="V62" s="15">
        <v>40</v>
      </c>
      <c r="W62" s="16" t="s">
        <v>60</v>
      </c>
      <c r="X62" s="16">
        <f t="shared" si="0"/>
        <v>27</v>
      </c>
      <c r="Y62" s="17" t="s">
        <v>61</v>
      </c>
      <c r="Z62" s="17">
        <v>0</v>
      </c>
      <c r="AA62" s="17" t="s">
        <v>62</v>
      </c>
      <c r="AB62" s="16">
        <v>0</v>
      </c>
      <c r="AC62" s="18">
        <v>5600000</v>
      </c>
      <c r="AF62" s="1">
        <v>5600000</v>
      </c>
      <c r="AH62" s="20">
        <v>108666</v>
      </c>
    </row>
    <row r="63" spans="2:34">
      <c r="B63" s="1">
        <v>59</v>
      </c>
      <c r="C63" s="1">
        <v>6</v>
      </c>
      <c r="D63" s="1" t="s">
        <v>120</v>
      </c>
      <c r="E63" s="1">
        <v>9</v>
      </c>
      <c r="F63" t="s">
        <v>56</v>
      </c>
      <c r="G63" s="1" t="s">
        <v>69</v>
      </c>
      <c r="H63" s="1" t="s">
        <v>129</v>
      </c>
      <c r="I63" s="1">
        <v>5000</v>
      </c>
      <c r="K63" s="1">
        <v>3600</v>
      </c>
      <c r="L63" s="1">
        <v>59</v>
      </c>
      <c r="M63" s="1">
        <v>590</v>
      </c>
      <c r="N63" s="1">
        <v>590</v>
      </c>
      <c r="U63" s="15" t="s">
        <v>59</v>
      </c>
      <c r="V63" s="15">
        <v>40</v>
      </c>
      <c r="W63" s="16" t="s">
        <v>60</v>
      </c>
      <c r="X63" s="16">
        <f t="shared" si="0"/>
        <v>27</v>
      </c>
      <c r="Y63" s="17" t="s">
        <v>61</v>
      </c>
      <c r="Z63" s="17">
        <v>0</v>
      </c>
      <c r="AA63" s="17" t="s">
        <v>62</v>
      </c>
      <c r="AB63" s="16">
        <v>0</v>
      </c>
      <c r="AC63" s="18">
        <v>6400000</v>
      </c>
      <c r="AF63" s="1">
        <v>6400000</v>
      </c>
      <c r="AH63" s="20">
        <v>110644</v>
      </c>
    </row>
    <row r="64" spans="2:34">
      <c r="B64" s="1">
        <v>60</v>
      </c>
      <c r="C64" s="1">
        <v>6</v>
      </c>
      <c r="D64" s="1" t="s">
        <v>120</v>
      </c>
      <c r="E64" s="1">
        <v>10</v>
      </c>
      <c r="F64" s="1" t="s">
        <v>73</v>
      </c>
      <c r="G64" s="1" t="s">
        <v>74</v>
      </c>
      <c r="H64" s="1" t="s">
        <v>130</v>
      </c>
      <c r="I64" s="1">
        <v>5000</v>
      </c>
      <c r="K64" s="1">
        <v>3600</v>
      </c>
      <c r="L64" s="1">
        <v>60</v>
      </c>
      <c r="M64" s="1">
        <v>600</v>
      </c>
      <c r="N64" s="1">
        <v>600</v>
      </c>
      <c r="U64" s="15" t="s">
        <v>59</v>
      </c>
      <c r="V64" s="15">
        <v>40</v>
      </c>
      <c r="W64" s="16" t="s">
        <v>60</v>
      </c>
      <c r="X64" s="16">
        <f t="shared" si="0"/>
        <v>27</v>
      </c>
      <c r="Y64" s="17" t="s">
        <v>61</v>
      </c>
      <c r="Z64" s="17">
        <v>0</v>
      </c>
      <c r="AA64" s="17" t="s">
        <v>62</v>
      </c>
      <c r="AB64" s="16">
        <v>0</v>
      </c>
      <c r="AC64" s="18">
        <v>7200000</v>
      </c>
      <c r="AF64" s="1">
        <v>7200000</v>
      </c>
      <c r="AH64" s="20">
        <v>126317</v>
      </c>
    </row>
    <row r="65" spans="2:34">
      <c r="B65" s="1">
        <v>61</v>
      </c>
      <c r="C65" s="1">
        <v>7</v>
      </c>
      <c r="D65" s="1" t="s">
        <v>131</v>
      </c>
      <c r="E65" s="1">
        <v>1</v>
      </c>
      <c r="F65" t="s">
        <v>56</v>
      </c>
      <c r="G65" s="1" t="s">
        <v>57</v>
      </c>
      <c r="H65" s="1" t="s">
        <v>132</v>
      </c>
      <c r="I65">
        <v>10000</v>
      </c>
      <c r="L65" s="1">
        <v>61</v>
      </c>
      <c r="M65" s="1">
        <v>610</v>
      </c>
      <c r="N65" s="1">
        <v>610</v>
      </c>
      <c r="U65" s="15" t="s">
        <v>59</v>
      </c>
      <c r="V65" s="15">
        <v>60</v>
      </c>
      <c r="W65" s="16" t="s">
        <v>60</v>
      </c>
      <c r="X65" s="16">
        <f t="shared" si="0"/>
        <v>40</v>
      </c>
      <c r="Y65" s="17" t="s">
        <v>61</v>
      </c>
      <c r="Z65" s="17">
        <v>0</v>
      </c>
      <c r="AA65" s="17" t="s">
        <v>62</v>
      </c>
      <c r="AB65" s="16">
        <v>0</v>
      </c>
      <c r="AC65" s="18">
        <v>7200000</v>
      </c>
      <c r="AH65" s="20">
        <v>128544</v>
      </c>
    </row>
    <row r="66" spans="2:34">
      <c r="B66" s="1">
        <v>62</v>
      </c>
      <c r="C66" s="1">
        <v>7</v>
      </c>
      <c r="D66" s="1" t="s">
        <v>131</v>
      </c>
      <c r="E66" s="1">
        <v>2</v>
      </c>
      <c r="F66" t="s">
        <v>56</v>
      </c>
      <c r="G66" s="1" t="s">
        <v>57</v>
      </c>
      <c r="H66" s="1" t="s">
        <v>133</v>
      </c>
      <c r="I66">
        <v>10000</v>
      </c>
      <c r="L66" s="1">
        <v>62</v>
      </c>
      <c r="M66" s="1">
        <v>620</v>
      </c>
      <c r="N66" s="1">
        <v>620</v>
      </c>
      <c r="U66" s="15" t="s">
        <v>59</v>
      </c>
      <c r="V66" s="15">
        <v>60</v>
      </c>
      <c r="W66" s="16" t="s">
        <v>60</v>
      </c>
      <c r="X66" s="16">
        <f t="shared" si="0"/>
        <v>40</v>
      </c>
      <c r="Y66" s="17" t="s">
        <v>61</v>
      </c>
      <c r="Z66" s="17">
        <v>0</v>
      </c>
      <c r="AA66" s="17" t="s">
        <v>62</v>
      </c>
      <c r="AB66" s="16">
        <v>0</v>
      </c>
      <c r="AC66" s="18">
        <v>7200000</v>
      </c>
      <c r="AH66" s="20">
        <v>130774</v>
      </c>
    </row>
    <row r="67" spans="2:34">
      <c r="B67" s="1">
        <v>63</v>
      </c>
      <c r="C67" s="1">
        <v>7</v>
      </c>
      <c r="D67" s="1" t="s">
        <v>131</v>
      </c>
      <c r="E67" s="1">
        <v>3</v>
      </c>
      <c r="F67" t="s">
        <v>56</v>
      </c>
      <c r="G67" s="1" t="s">
        <v>57</v>
      </c>
      <c r="H67" s="1" t="s">
        <v>134</v>
      </c>
      <c r="I67" s="1">
        <v>5000</v>
      </c>
      <c r="K67" s="1">
        <v>3600</v>
      </c>
      <c r="L67" s="1">
        <v>63</v>
      </c>
      <c r="M67" s="1">
        <v>630</v>
      </c>
      <c r="N67" s="1">
        <v>630</v>
      </c>
      <c r="U67" s="15" t="s">
        <v>59</v>
      </c>
      <c r="V67" s="15">
        <v>60</v>
      </c>
      <c r="W67" s="16" t="s">
        <v>60</v>
      </c>
      <c r="X67" s="16">
        <f t="shared" si="0"/>
        <v>40</v>
      </c>
      <c r="Y67" s="17" t="s">
        <v>61</v>
      </c>
      <c r="Z67" s="17">
        <v>0</v>
      </c>
      <c r="AA67" s="17" t="s">
        <v>62</v>
      </c>
      <c r="AB67" s="16">
        <v>0</v>
      </c>
      <c r="AC67" s="18">
        <v>7200000</v>
      </c>
      <c r="AH67" s="20">
        <v>133008</v>
      </c>
    </row>
    <row r="68" spans="2:34">
      <c r="B68" s="1">
        <v>64</v>
      </c>
      <c r="C68" s="1">
        <v>7</v>
      </c>
      <c r="D68" s="1" t="s">
        <v>131</v>
      </c>
      <c r="E68" s="1">
        <v>4</v>
      </c>
      <c r="F68" t="s">
        <v>56</v>
      </c>
      <c r="G68" s="1" t="s">
        <v>65</v>
      </c>
      <c r="H68" s="1" t="s">
        <v>135</v>
      </c>
      <c r="I68">
        <v>10000</v>
      </c>
      <c r="L68" s="1">
        <v>64</v>
      </c>
      <c r="M68" s="1">
        <v>640</v>
      </c>
      <c r="N68" s="1">
        <v>640</v>
      </c>
      <c r="U68" s="15" t="s">
        <v>59</v>
      </c>
      <c r="V68" s="15">
        <v>60</v>
      </c>
      <c r="W68" s="16" t="s">
        <v>60</v>
      </c>
      <c r="X68" s="16">
        <f t="shared" si="0"/>
        <v>40</v>
      </c>
      <c r="Y68" s="17" t="s">
        <v>61</v>
      </c>
      <c r="Z68" s="17">
        <v>0</v>
      </c>
      <c r="AA68" s="17" t="s">
        <v>62</v>
      </c>
      <c r="AB68" s="16">
        <v>0</v>
      </c>
      <c r="AC68" s="18">
        <v>7200000</v>
      </c>
      <c r="AH68" s="20">
        <v>135247</v>
      </c>
    </row>
    <row r="69" spans="2:34">
      <c r="B69" s="1">
        <v>65</v>
      </c>
      <c r="C69" s="1">
        <v>7</v>
      </c>
      <c r="D69" s="1" t="s">
        <v>131</v>
      </c>
      <c r="E69" s="1">
        <v>5</v>
      </c>
      <c r="F69" t="s">
        <v>56</v>
      </c>
      <c r="G69" s="1" t="s">
        <v>65</v>
      </c>
      <c r="H69" s="1" t="s">
        <v>136</v>
      </c>
      <c r="I69">
        <v>10000</v>
      </c>
      <c r="L69" s="1">
        <v>65</v>
      </c>
      <c r="M69" s="1">
        <v>650</v>
      </c>
      <c r="N69" s="1">
        <v>650</v>
      </c>
      <c r="U69" s="15" t="s">
        <v>59</v>
      </c>
      <c r="V69" s="15">
        <v>60</v>
      </c>
      <c r="W69" s="16" t="s">
        <v>60</v>
      </c>
      <c r="X69" s="16">
        <f t="shared" ref="X69:X84" si="1">ROUND(V69*2/3,0)</f>
        <v>40</v>
      </c>
      <c r="Y69" s="17" t="s">
        <v>61</v>
      </c>
      <c r="Z69" s="17">
        <v>0</v>
      </c>
      <c r="AA69" s="17" t="s">
        <v>62</v>
      </c>
      <c r="AB69" s="16">
        <v>0</v>
      </c>
      <c r="AC69" s="18">
        <v>7200000</v>
      </c>
      <c r="AH69" s="20">
        <v>140133</v>
      </c>
    </row>
    <row r="70" spans="2:34">
      <c r="B70" s="1">
        <v>66</v>
      </c>
      <c r="C70" s="1">
        <v>7</v>
      </c>
      <c r="D70" s="1" t="s">
        <v>131</v>
      </c>
      <c r="E70" s="1">
        <v>6</v>
      </c>
      <c r="F70" t="s">
        <v>56</v>
      </c>
      <c r="G70" s="1" t="s">
        <v>65</v>
      </c>
      <c r="H70" s="1" t="s">
        <v>137</v>
      </c>
      <c r="I70" s="1">
        <v>5000</v>
      </c>
      <c r="K70" s="1">
        <v>3600</v>
      </c>
      <c r="L70" s="1">
        <v>66</v>
      </c>
      <c r="M70" s="1">
        <v>660</v>
      </c>
      <c r="N70" s="1">
        <v>660</v>
      </c>
      <c r="U70" s="15" t="s">
        <v>59</v>
      </c>
      <c r="V70" s="15">
        <v>60</v>
      </c>
      <c r="W70" s="16" t="s">
        <v>60</v>
      </c>
      <c r="X70" s="16">
        <f t="shared" si="1"/>
        <v>40</v>
      </c>
      <c r="Y70" s="17" t="s">
        <v>61</v>
      </c>
      <c r="Z70" s="17">
        <v>0</v>
      </c>
      <c r="AA70" s="17" t="s">
        <v>62</v>
      </c>
      <c r="AB70" s="16">
        <v>0</v>
      </c>
      <c r="AC70" s="18">
        <v>7200000</v>
      </c>
      <c r="AH70" s="20">
        <v>142423</v>
      </c>
    </row>
    <row r="71" spans="2:34">
      <c r="B71" s="1">
        <v>67</v>
      </c>
      <c r="C71" s="1">
        <v>7</v>
      </c>
      <c r="D71" s="1" t="s">
        <v>131</v>
      </c>
      <c r="E71" s="1">
        <v>7</v>
      </c>
      <c r="F71" t="s">
        <v>56</v>
      </c>
      <c r="G71" s="1" t="s">
        <v>69</v>
      </c>
      <c r="H71" s="1" t="s">
        <v>138</v>
      </c>
      <c r="I71">
        <v>10000</v>
      </c>
      <c r="L71" s="1">
        <v>67</v>
      </c>
      <c r="M71" s="1">
        <v>670</v>
      </c>
      <c r="N71" s="1">
        <v>670</v>
      </c>
      <c r="U71" s="15" t="s">
        <v>59</v>
      </c>
      <c r="V71" s="15">
        <v>60</v>
      </c>
      <c r="W71" s="16" t="s">
        <v>60</v>
      </c>
      <c r="X71" s="16">
        <f t="shared" si="1"/>
        <v>40</v>
      </c>
      <c r="Y71" s="17" t="s">
        <v>61</v>
      </c>
      <c r="Z71" s="17">
        <v>0</v>
      </c>
      <c r="AA71" s="17" t="s">
        <v>62</v>
      </c>
      <c r="AB71" s="16">
        <v>0</v>
      </c>
      <c r="AC71" s="18">
        <v>7200000</v>
      </c>
      <c r="AH71" s="20">
        <v>144716</v>
      </c>
    </row>
    <row r="72" spans="2:34">
      <c r="B72" s="1">
        <v>68</v>
      </c>
      <c r="C72" s="1">
        <v>7</v>
      </c>
      <c r="D72" s="1" t="s">
        <v>131</v>
      </c>
      <c r="E72" s="1">
        <v>8</v>
      </c>
      <c r="F72" t="s">
        <v>56</v>
      </c>
      <c r="G72" s="1" t="s">
        <v>69</v>
      </c>
      <c r="H72" s="1" t="s">
        <v>139</v>
      </c>
      <c r="I72">
        <v>10000</v>
      </c>
      <c r="L72" s="1">
        <v>68</v>
      </c>
      <c r="M72" s="1">
        <v>680</v>
      </c>
      <c r="N72" s="1">
        <v>680</v>
      </c>
      <c r="U72" s="15" t="s">
        <v>59</v>
      </c>
      <c r="V72" s="15">
        <v>60</v>
      </c>
      <c r="W72" s="16" t="s">
        <v>60</v>
      </c>
      <c r="X72" s="16">
        <f t="shared" si="1"/>
        <v>40</v>
      </c>
      <c r="Y72" s="17" t="s">
        <v>61</v>
      </c>
      <c r="Z72" s="17">
        <v>0</v>
      </c>
      <c r="AA72" s="17" t="s">
        <v>62</v>
      </c>
      <c r="AB72" s="16">
        <v>0</v>
      </c>
      <c r="AC72" s="18">
        <v>7200000</v>
      </c>
      <c r="AH72" s="20">
        <v>147014</v>
      </c>
    </row>
    <row r="73" spans="2:34">
      <c r="B73" s="1">
        <v>69</v>
      </c>
      <c r="C73" s="1">
        <v>7</v>
      </c>
      <c r="D73" s="1" t="s">
        <v>131</v>
      </c>
      <c r="E73" s="1">
        <v>9</v>
      </c>
      <c r="F73" t="s">
        <v>56</v>
      </c>
      <c r="G73" s="1" t="s">
        <v>69</v>
      </c>
      <c r="H73" s="1" t="s">
        <v>140</v>
      </c>
      <c r="I73" s="1">
        <v>5000</v>
      </c>
      <c r="K73" s="1">
        <v>3600</v>
      </c>
      <c r="L73" s="1">
        <v>69</v>
      </c>
      <c r="M73" s="1">
        <v>690</v>
      </c>
      <c r="N73" s="1">
        <v>690</v>
      </c>
      <c r="U73" s="15" t="s">
        <v>59</v>
      </c>
      <c r="V73" s="15">
        <v>60</v>
      </c>
      <c r="W73" s="16" t="s">
        <v>60</v>
      </c>
      <c r="X73" s="16">
        <f t="shared" si="1"/>
        <v>40</v>
      </c>
      <c r="Y73" s="17" t="s">
        <v>61</v>
      </c>
      <c r="Z73" s="17">
        <v>0</v>
      </c>
      <c r="AA73" s="17" t="s">
        <v>62</v>
      </c>
      <c r="AB73" s="16">
        <v>0</v>
      </c>
      <c r="AC73" s="18">
        <v>7200000</v>
      </c>
      <c r="AH73" s="20">
        <v>149315</v>
      </c>
    </row>
    <row r="74" spans="2:34">
      <c r="B74" s="1">
        <v>70</v>
      </c>
      <c r="C74" s="1">
        <v>7</v>
      </c>
      <c r="D74" s="1" t="s">
        <v>131</v>
      </c>
      <c r="E74" s="1">
        <v>10</v>
      </c>
      <c r="F74" s="1" t="s">
        <v>73</v>
      </c>
      <c r="G74" s="1" t="s">
        <v>74</v>
      </c>
      <c r="H74" s="1" t="s">
        <v>141</v>
      </c>
      <c r="I74" s="1">
        <v>5000</v>
      </c>
      <c r="K74" s="1">
        <v>3600</v>
      </c>
      <c r="L74" s="1">
        <v>70</v>
      </c>
      <c r="M74" s="1">
        <v>700</v>
      </c>
      <c r="N74" s="1">
        <v>700</v>
      </c>
      <c r="U74" s="15" t="s">
        <v>59</v>
      </c>
      <c r="V74" s="15">
        <v>60</v>
      </c>
      <c r="W74" s="16" t="s">
        <v>60</v>
      </c>
      <c r="X74" s="16">
        <f t="shared" si="1"/>
        <v>40</v>
      </c>
      <c r="Y74" s="17" t="s">
        <v>61</v>
      </c>
      <c r="Z74" s="17">
        <v>0</v>
      </c>
      <c r="AA74" s="17" t="s">
        <v>62</v>
      </c>
      <c r="AB74" s="16">
        <v>0</v>
      </c>
      <c r="AC74" s="18">
        <v>7200000</v>
      </c>
      <c r="AH74" s="20">
        <v>189915</v>
      </c>
    </row>
    <row r="75" spans="2:34">
      <c r="B75" s="1">
        <v>71</v>
      </c>
      <c r="C75" s="1">
        <v>8</v>
      </c>
      <c r="D75" s="1" t="s">
        <v>142</v>
      </c>
      <c r="E75" s="1">
        <v>1</v>
      </c>
      <c r="F75" t="s">
        <v>56</v>
      </c>
      <c r="G75" s="1" t="s">
        <v>57</v>
      </c>
      <c r="H75" s="1" t="s">
        <v>143</v>
      </c>
      <c r="I75">
        <v>10000</v>
      </c>
      <c r="L75" s="1">
        <v>71</v>
      </c>
      <c r="M75" s="1">
        <v>710</v>
      </c>
      <c r="N75" s="1">
        <v>710</v>
      </c>
      <c r="U75" s="15" t="s">
        <v>59</v>
      </c>
      <c r="V75" s="15">
        <v>80</v>
      </c>
      <c r="W75" s="16" t="s">
        <v>60</v>
      </c>
      <c r="X75" s="16">
        <f t="shared" si="1"/>
        <v>53</v>
      </c>
      <c r="Y75" s="17" t="s">
        <v>61</v>
      </c>
      <c r="Z75" s="17">
        <v>0</v>
      </c>
      <c r="AA75" s="17" t="s">
        <v>62</v>
      </c>
      <c r="AB75" s="16">
        <v>0</v>
      </c>
      <c r="AC75" s="18">
        <v>7200000</v>
      </c>
      <c r="AH75" s="20">
        <v>225968</v>
      </c>
    </row>
    <row r="76" spans="2:34">
      <c r="B76" s="1">
        <v>72</v>
      </c>
      <c r="C76" s="1">
        <v>8</v>
      </c>
      <c r="D76" s="1" t="s">
        <v>142</v>
      </c>
      <c r="E76" s="1">
        <v>2</v>
      </c>
      <c r="F76" t="s">
        <v>56</v>
      </c>
      <c r="G76" s="1" t="s">
        <v>57</v>
      </c>
      <c r="H76" s="1" t="s">
        <v>144</v>
      </c>
      <c r="I76">
        <v>10000</v>
      </c>
      <c r="L76" s="1">
        <v>72</v>
      </c>
      <c r="M76" s="1">
        <v>720</v>
      </c>
      <c r="N76" s="1">
        <v>720</v>
      </c>
      <c r="U76" s="15" t="s">
        <v>59</v>
      </c>
      <c r="V76" s="15">
        <v>80</v>
      </c>
      <c r="W76" s="16" t="s">
        <v>60</v>
      </c>
      <c r="X76" s="16">
        <f t="shared" si="1"/>
        <v>53</v>
      </c>
      <c r="Y76" s="17" t="s">
        <v>61</v>
      </c>
      <c r="Z76" s="17">
        <v>0</v>
      </c>
      <c r="AA76" s="17" t="s">
        <v>62</v>
      </c>
      <c r="AB76" s="16">
        <v>0</v>
      </c>
      <c r="AC76" s="18">
        <v>7200000</v>
      </c>
      <c r="AH76" s="20">
        <v>245293</v>
      </c>
    </row>
    <row r="77" spans="2:34">
      <c r="B77" s="1">
        <v>73</v>
      </c>
      <c r="C77" s="1">
        <v>8</v>
      </c>
      <c r="D77" s="1" t="s">
        <v>142</v>
      </c>
      <c r="E77" s="1">
        <v>3</v>
      </c>
      <c r="F77" t="s">
        <v>56</v>
      </c>
      <c r="G77" s="1" t="s">
        <v>57</v>
      </c>
      <c r="H77" s="1" t="s">
        <v>145</v>
      </c>
      <c r="I77" s="1">
        <v>5000</v>
      </c>
      <c r="K77" s="1">
        <v>3600</v>
      </c>
      <c r="L77" s="1">
        <v>73</v>
      </c>
      <c r="M77" s="1">
        <v>730</v>
      </c>
      <c r="N77" s="1">
        <v>730</v>
      </c>
      <c r="U77" s="15" t="s">
        <v>59</v>
      </c>
      <c r="V77" s="15">
        <v>80</v>
      </c>
      <c r="W77" s="16" t="s">
        <v>60</v>
      </c>
      <c r="X77" s="16">
        <f t="shared" si="1"/>
        <v>53</v>
      </c>
      <c r="Y77" s="17" t="s">
        <v>61</v>
      </c>
      <c r="Z77" s="17">
        <v>0</v>
      </c>
      <c r="AA77" s="17" t="s">
        <v>62</v>
      </c>
      <c r="AB77" s="16">
        <v>0</v>
      </c>
      <c r="AC77" s="18">
        <v>7200000</v>
      </c>
      <c r="AH77" s="20">
        <v>265162</v>
      </c>
    </row>
    <row r="78" spans="2:34">
      <c r="B78" s="1">
        <v>74</v>
      </c>
      <c r="C78" s="1">
        <v>8</v>
      </c>
      <c r="D78" s="1" t="s">
        <v>142</v>
      </c>
      <c r="E78" s="1">
        <v>4</v>
      </c>
      <c r="F78" t="s">
        <v>56</v>
      </c>
      <c r="G78" s="1" t="s">
        <v>65</v>
      </c>
      <c r="H78" s="1" t="s">
        <v>146</v>
      </c>
      <c r="I78">
        <v>10000</v>
      </c>
      <c r="L78" s="1">
        <v>74</v>
      </c>
      <c r="M78" s="1">
        <v>740</v>
      </c>
      <c r="N78" s="1">
        <v>740</v>
      </c>
      <c r="U78" s="15" t="s">
        <v>59</v>
      </c>
      <c r="V78" s="15">
        <v>80</v>
      </c>
      <c r="W78" s="16" t="s">
        <v>60</v>
      </c>
      <c r="X78" s="16">
        <f t="shared" si="1"/>
        <v>53</v>
      </c>
      <c r="Y78" s="17" t="s">
        <v>61</v>
      </c>
      <c r="Z78" s="17">
        <v>0</v>
      </c>
      <c r="AA78" s="17" t="s">
        <v>62</v>
      </c>
      <c r="AB78" s="16">
        <v>0</v>
      </c>
      <c r="AC78" s="18">
        <v>7200000</v>
      </c>
      <c r="AH78" s="20">
        <v>285583</v>
      </c>
    </row>
    <row r="79" spans="2:34">
      <c r="B79" s="1">
        <v>75</v>
      </c>
      <c r="C79" s="1">
        <v>8</v>
      </c>
      <c r="D79" s="1" t="s">
        <v>142</v>
      </c>
      <c r="E79" s="1">
        <v>5</v>
      </c>
      <c r="F79" t="s">
        <v>56</v>
      </c>
      <c r="G79" s="1" t="s">
        <v>65</v>
      </c>
      <c r="H79" s="1" t="s">
        <v>147</v>
      </c>
      <c r="I79">
        <v>10000</v>
      </c>
      <c r="L79" s="1">
        <v>75</v>
      </c>
      <c r="M79" s="1">
        <v>750</v>
      </c>
      <c r="N79" s="1">
        <v>750</v>
      </c>
      <c r="U79" s="15" t="s">
        <v>59</v>
      </c>
      <c r="V79" s="15">
        <v>80</v>
      </c>
      <c r="W79" s="16" t="s">
        <v>60</v>
      </c>
      <c r="X79" s="16">
        <f t="shared" si="1"/>
        <v>53</v>
      </c>
      <c r="Y79" s="17" t="s">
        <v>61</v>
      </c>
      <c r="Z79" s="17">
        <v>0</v>
      </c>
      <c r="AA79" s="17" t="s">
        <v>62</v>
      </c>
      <c r="AB79" s="16">
        <v>0</v>
      </c>
      <c r="AC79" s="18">
        <v>7200000</v>
      </c>
      <c r="AH79" s="20">
        <v>312240</v>
      </c>
    </row>
    <row r="80" spans="2:34">
      <c r="B80" s="1">
        <v>76</v>
      </c>
      <c r="C80" s="1">
        <v>8</v>
      </c>
      <c r="D80" s="1" t="s">
        <v>142</v>
      </c>
      <c r="E80" s="1">
        <v>6</v>
      </c>
      <c r="F80" t="s">
        <v>56</v>
      </c>
      <c r="G80" s="1" t="s">
        <v>65</v>
      </c>
      <c r="H80" s="1" t="s">
        <v>148</v>
      </c>
      <c r="I80" s="1">
        <v>5000</v>
      </c>
      <c r="K80" s="1">
        <v>3600</v>
      </c>
      <c r="L80" s="1">
        <v>76</v>
      </c>
      <c r="M80" s="1">
        <v>760</v>
      </c>
      <c r="N80" s="1">
        <v>760</v>
      </c>
      <c r="U80" s="15" t="s">
        <v>59</v>
      </c>
      <c r="V80" s="15">
        <v>80</v>
      </c>
      <c r="W80" s="16" t="s">
        <v>60</v>
      </c>
      <c r="X80" s="16">
        <f t="shared" si="1"/>
        <v>53</v>
      </c>
      <c r="Y80" s="17" t="s">
        <v>61</v>
      </c>
      <c r="Z80" s="17">
        <v>0</v>
      </c>
      <c r="AA80" s="17" t="s">
        <v>62</v>
      </c>
      <c r="AB80" s="16">
        <v>0</v>
      </c>
      <c r="AC80" s="18">
        <v>7200000</v>
      </c>
      <c r="AH80" s="20">
        <v>334186</v>
      </c>
    </row>
    <row r="81" spans="2:34">
      <c r="B81" s="1">
        <v>77</v>
      </c>
      <c r="C81" s="1">
        <v>8</v>
      </c>
      <c r="D81" s="1" t="s">
        <v>142</v>
      </c>
      <c r="E81" s="1">
        <v>7</v>
      </c>
      <c r="F81" t="s">
        <v>56</v>
      </c>
      <c r="G81" s="1" t="s">
        <v>69</v>
      </c>
      <c r="H81" s="1" t="s">
        <v>149</v>
      </c>
      <c r="I81">
        <v>10000</v>
      </c>
      <c r="L81" s="1">
        <v>77</v>
      </c>
      <c r="M81" s="1">
        <v>770</v>
      </c>
      <c r="N81" s="1">
        <v>770</v>
      </c>
      <c r="U81" s="15" t="s">
        <v>59</v>
      </c>
      <c r="V81" s="15">
        <v>80</v>
      </c>
      <c r="W81" s="16" t="s">
        <v>60</v>
      </c>
      <c r="X81" s="16">
        <f t="shared" si="1"/>
        <v>53</v>
      </c>
      <c r="Y81" s="17" t="s">
        <v>61</v>
      </c>
      <c r="Z81" s="17">
        <v>0</v>
      </c>
      <c r="AA81" s="17" t="s">
        <v>62</v>
      </c>
      <c r="AB81" s="16">
        <v>0</v>
      </c>
      <c r="AC81" s="18">
        <v>7200000</v>
      </c>
      <c r="AH81" s="20">
        <v>356718</v>
      </c>
    </row>
    <row r="82" spans="2:34">
      <c r="B82" s="1">
        <v>78</v>
      </c>
      <c r="C82" s="1">
        <v>8</v>
      </c>
      <c r="D82" s="1" t="s">
        <v>142</v>
      </c>
      <c r="E82" s="1">
        <v>8</v>
      </c>
      <c r="F82" t="s">
        <v>56</v>
      </c>
      <c r="G82" s="1" t="s">
        <v>69</v>
      </c>
      <c r="H82" s="1" t="s">
        <v>150</v>
      </c>
      <c r="I82">
        <v>10000</v>
      </c>
      <c r="L82" s="1">
        <v>78</v>
      </c>
      <c r="M82" s="1">
        <v>780</v>
      </c>
      <c r="N82" s="1">
        <v>780</v>
      </c>
      <c r="U82" s="15" t="s">
        <v>59</v>
      </c>
      <c r="V82" s="15">
        <v>80</v>
      </c>
      <c r="W82" s="16" t="s">
        <v>60</v>
      </c>
      <c r="X82" s="16">
        <f t="shared" si="1"/>
        <v>53</v>
      </c>
      <c r="Y82" s="17" t="s">
        <v>61</v>
      </c>
      <c r="Z82" s="17">
        <v>0</v>
      </c>
      <c r="AA82" s="17" t="s">
        <v>62</v>
      </c>
      <c r="AB82" s="16">
        <v>0</v>
      </c>
      <c r="AC82" s="18">
        <v>7200000</v>
      </c>
      <c r="AH82" s="20">
        <v>379842</v>
      </c>
    </row>
    <row r="83" spans="2:34">
      <c r="B83" s="1">
        <v>79</v>
      </c>
      <c r="C83" s="1">
        <v>8</v>
      </c>
      <c r="D83" s="1" t="s">
        <v>142</v>
      </c>
      <c r="E83" s="1">
        <v>9</v>
      </c>
      <c r="F83" t="s">
        <v>56</v>
      </c>
      <c r="G83" s="1" t="s">
        <v>69</v>
      </c>
      <c r="H83" s="1" t="s">
        <v>151</v>
      </c>
      <c r="I83" s="1">
        <v>5000</v>
      </c>
      <c r="K83" s="1">
        <v>3600</v>
      </c>
      <c r="L83" s="1">
        <v>79</v>
      </c>
      <c r="M83" s="1">
        <v>790</v>
      </c>
      <c r="N83" s="1">
        <v>790</v>
      </c>
      <c r="U83" s="15" t="s">
        <v>59</v>
      </c>
      <c r="V83" s="15">
        <v>80</v>
      </c>
      <c r="W83" s="16" t="s">
        <v>60</v>
      </c>
      <c r="X83" s="16">
        <f t="shared" si="1"/>
        <v>53</v>
      </c>
      <c r="Y83" s="17" t="s">
        <v>61</v>
      </c>
      <c r="Z83" s="17">
        <v>0</v>
      </c>
      <c r="AA83" s="17" t="s">
        <v>62</v>
      </c>
      <c r="AB83" s="16">
        <v>0</v>
      </c>
      <c r="AC83" s="18">
        <v>7200000</v>
      </c>
      <c r="AH83" s="20">
        <v>403567</v>
      </c>
    </row>
    <row r="84" spans="2:34">
      <c r="B84" s="1">
        <v>80</v>
      </c>
      <c r="C84" s="1">
        <v>8</v>
      </c>
      <c r="D84" s="1" t="s">
        <v>142</v>
      </c>
      <c r="E84" s="1">
        <v>10</v>
      </c>
      <c r="F84" s="1" t="s">
        <v>73</v>
      </c>
      <c r="G84" s="1" t="s">
        <v>74</v>
      </c>
      <c r="H84" s="1" t="s">
        <v>152</v>
      </c>
      <c r="I84" s="1">
        <v>5000</v>
      </c>
      <c r="K84" s="1">
        <v>3600</v>
      </c>
      <c r="L84" s="1">
        <v>80</v>
      </c>
      <c r="M84" s="1">
        <v>800</v>
      </c>
      <c r="N84" s="1">
        <v>800</v>
      </c>
      <c r="U84" s="15" t="s">
        <v>59</v>
      </c>
      <c r="V84" s="15">
        <v>80</v>
      </c>
      <c r="W84" s="16" t="s">
        <v>60</v>
      </c>
      <c r="X84" s="16">
        <f t="shared" si="1"/>
        <v>53</v>
      </c>
      <c r="Y84" s="17" t="s">
        <v>61</v>
      </c>
      <c r="Z84" s="17">
        <v>0</v>
      </c>
      <c r="AA84" s="17" t="s">
        <v>62</v>
      </c>
      <c r="AB84" s="16">
        <v>0</v>
      </c>
      <c r="AC84" s="18">
        <v>7200000</v>
      </c>
      <c r="AH84" s="20">
        <v>435680</v>
      </c>
    </row>
  </sheetData>
  <mergeCells count="4">
    <mergeCell ref="O1:T1"/>
    <mergeCell ref="U1:AB1"/>
    <mergeCell ref="O2:T2"/>
    <mergeCell ref="U2:A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realm_config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thothSSQS</cp:lastModifiedBy>
  <dcterms:created xsi:type="dcterms:W3CDTF">2015-06-05T18:19:00Z</dcterms:created>
  <dcterms:modified xsi:type="dcterms:W3CDTF">2026-07-31T04:18:58Z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63D71FB227D0467098EAA4964F218F1A_12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